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igliotti HauptPC\Desktop\Verkauf version Urlaubskalender\"/>
    </mc:Choice>
  </mc:AlternateContent>
  <xr:revisionPtr revIDLastSave="0" documentId="13_ncr:1_{1CD052D0-A663-4826-9A0F-B740346223C3}" xr6:coauthVersionLast="36" xr6:coauthVersionMax="36" xr10:uidLastSave="{00000000-0000-0000-0000-000000000000}"/>
  <bookViews>
    <workbookView xWindow="0" yWindow="0" windowWidth="23040" windowHeight="8940" firstSheet="13" activeTab="13" xr2:uid="{00000000-000D-0000-FFFF-FFFF00000000}"/>
  </bookViews>
  <sheets>
    <sheet name="Person1" sheetId="3" state="veryHidden" r:id="rId1"/>
    <sheet name="Person2" sheetId="8" state="veryHidden" r:id="rId2"/>
    <sheet name="Tage Person2 Aus.2" sheetId="9" state="veryHidden" r:id="rId3"/>
    <sheet name="Person3" sheetId="11" state="veryHidden" r:id="rId4"/>
    <sheet name="Person4" sheetId="15" state="veryHidden" r:id="rId5"/>
    <sheet name="Tage Person4 Aus.4" sheetId="16" state="veryHidden" r:id="rId6"/>
    <sheet name="Tage Person3 Aus.3" sheetId="12" state="veryHidden" r:id="rId7"/>
    <sheet name="Tage Person1 Aus." sheetId="5" state="veryHidden" r:id="rId8"/>
    <sheet name="Ferien" sheetId="7" state="veryHidden" r:id="rId9"/>
    <sheet name="Tage ferien Aus." sheetId="6" state="veryHidden" r:id="rId10"/>
    <sheet name="Feiertage" sheetId="13" state="veryHidden" r:id="rId11"/>
    <sheet name="Kalender" sheetId="2" state="veryHidden" r:id="rId12"/>
    <sheet name="Hidden" sheetId="17" state="veryHidden" r:id="rId13"/>
    <sheet name="Start" sheetId="18" r:id="rId14"/>
    <sheet name="Tage feiertage Aus." sheetId="14" state="veryHidden" r:id="rId15"/>
  </sheets>
  <definedNames>
    <definedName name="_xlnm.Print_Titles" localSheetId="11">Kalender!$A:$C</definedName>
  </definedNames>
  <calcPr calcId="191028"/>
</workbook>
</file>

<file path=xl/calcChain.xml><?xml version="1.0" encoding="utf-8"?>
<calcChain xmlns="http://schemas.openxmlformats.org/spreadsheetml/2006/main">
  <c r="B11" i="2" l="1"/>
  <c r="B27" i="2"/>
  <c r="C27" i="2"/>
  <c r="C11" i="2" l="1"/>
  <c r="B1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X92" i="16"/>
  <c r="X93" i="16"/>
  <c r="X94" i="16"/>
  <c r="X95" i="16"/>
  <c r="X96" i="16"/>
  <c r="X97" i="16"/>
  <c r="X98" i="16"/>
  <c r="X99" i="16"/>
  <c r="X100" i="16"/>
  <c r="X101" i="16"/>
  <c r="X102" i="16"/>
  <c r="X10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E4" i="16"/>
  <c r="AE5" i="16"/>
  <c r="AE6" i="16"/>
  <c r="AE7" i="16"/>
  <c r="AE8" i="16"/>
  <c r="AE9" i="16"/>
  <c r="AE10" i="16"/>
  <c r="AE11" i="16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F4" i="16"/>
  <c r="AF5" i="16"/>
  <c r="AF6" i="16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H4" i="16"/>
  <c r="AH5" i="16"/>
  <c r="AH6" i="16"/>
  <c r="AH7" i="16"/>
  <c r="AH8" i="16"/>
  <c r="AH9" i="16"/>
  <c r="AH10" i="16"/>
  <c r="AH11" i="16"/>
  <c r="AH12" i="16"/>
  <c r="AH13" i="16"/>
  <c r="AH14" i="16"/>
  <c r="AH15" i="16"/>
  <c r="AH16" i="16"/>
  <c r="AH17" i="16"/>
  <c r="AH18" i="16"/>
  <c r="AH19" i="16"/>
  <c r="AH20" i="16"/>
  <c r="AH21" i="16"/>
  <c r="AH22" i="16"/>
  <c r="AH23" i="16"/>
  <c r="AH24" i="16"/>
  <c r="AH25" i="16"/>
  <c r="AH26" i="16"/>
  <c r="AH27" i="16"/>
  <c r="AH28" i="16"/>
  <c r="AH29" i="16"/>
  <c r="AH30" i="16"/>
  <c r="AH31" i="16"/>
  <c r="AH32" i="16"/>
  <c r="AH33" i="16"/>
  <c r="AH34" i="16"/>
  <c r="AH35" i="16"/>
  <c r="AH36" i="16"/>
  <c r="AH37" i="16"/>
  <c r="AH38" i="16"/>
  <c r="AH39" i="16"/>
  <c r="AH40" i="16"/>
  <c r="AH41" i="16"/>
  <c r="AH42" i="16"/>
  <c r="AH43" i="16"/>
  <c r="AH44" i="16"/>
  <c r="AH45" i="16"/>
  <c r="AH46" i="16"/>
  <c r="AH47" i="16"/>
  <c r="AH48" i="16"/>
  <c r="AH49" i="16"/>
  <c r="AH50" i="16"/>
  <c r="AH51" i="16"/>
  <c r="AH52" i="16"/>
  <c r="AH53" i="16"/>
  <c r="AH54" i="16"/>
  <c r="AH55" i="16"/>
  <c r="AH56" i="16"/>
  <c r="AH57" i="16"/>
  <c r="AH58" i="16"/>
  <c r="AH59" i="16"/>
  <c r="AH60" i="16"/>
  <c r="AH61" i="16"/>
  <c r="AH62" i="16"/>
  <c r="AH63" i="16"/>
  <c r="AH64" i="16"/>
  <c r="AH65" i="16"/>
  <c r="AH66" i="16"/>
  <c r="AH67" i="16"/>
  <c r="AH68" i="16"/>
  <c r="AH69" i="16"/>
  <c r="AH70" i="16"/>
  <c r="AH71" i="16"/>
  <c r="AH72" i="16"/>
  <c r="AH73" i="16"/>
  <c r="AH74" i="16"/>
  <c r="AH75" i="16"/>
  <c r="AH76" i="16"/>
  <c r="AH77" i="16"/>
  <c r="AH78" i="16"/>
  <c r="AH79" i="16"/>
  <c r="AH80" i="16"/>
  <c r="AH81" i="16"/>
  <c r="AH82" i="16"/>
  <c r="AH83" i="16"/>
  <c r="AH84" i="16"/>
  <c r="AH85" i="16"/>
  <c r="AH86" i="16"/>
  <c r="AH87" i="16"/>
  <c r="AH88" i="16"/>
  <c r="AH89" i="16"/>
  <c r="AH90" i="16"/>
  <c r="AH91" i="16"/>
  <c r="AH92" i="16"/>
  <c r="AH93" i="16"/>
  <c r="AH94" i="16"/>
  <c r="AH95" i="16"/>
  <c r="AH96" i="16"/>
  <c r="AH97" i="16"/>
  <c r="AH98" i="16"/>
  <c r="AH99" i="16"/>
  <c r="AI4" i="16"/>
  <c r="AI5" i="16"/>
  <c r="AI6" i="16"/>
  <c r="AI7" i="16"/>
  <c r="AI8" i="16"/>
  <c r="AI9" i="16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I25" i="16"/>
  <c r="AI26" i="16"/>
  <c r="AI27" i="16"/>
  <c r="AI28" i="16"/>
  <c r="AI29" i="16"/>
  <c r="AI30" i="16"/>
  <c r="AI31" i="16"/>
  <c r="AI32" i="16"/>
  <c r="AI33" i="16"/>
  <c r="AI34" i="16"/>
  <c r="AI35" i="16"/>
  <c r="AI36" i="16"/>
  <c r="AI37" i="16"/>
  <c r="AI38" i="16"/>
  <c r="AI39" i="16"/>
  <c r="AI40" i="16"/>
  <c r="AI41" i="16"/>
  <c r="AI42" i="16"/>
  <c r="AI43" i="16"/>
  <c r="AI44" i="16"/>
  <c r="AI45" i="16"/>
  <c r="AI46" i="16"/>
  <c r="AI47" i="16"/>
  <c r="AI48" i="16"/>
  <c r="AI49" i="16"/>
  <c r="AI50" i="16"/>
  <c r="AI51" i="16"/>
  <c r="AI52" i="16"/>
  <c r="AI53" i="16"/>
  <c r="AI54" i="16"/>
  <c r="AI55" i="16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I75" i="16"/>
  <c r="AI76" i="16"/>
  <c r="AI77" i="16"/>
  <c r="AI78" i="16"/>
  <c r="AI79" i="16"/>
  <c r="AI80" i="16"/>
  <c r="AI81" i="16"/>
  <c r="AI82" i="16"/>
  <c r="AI83" i="16"/>
  <c r="AI84" i="16"/>
  <c r="AI85" i="16"/>
  <c r="AI86" i="16"/>
  <c r="AI87" i="16"/>
  <c r="AI88" i="16"/>
  <c r="AI89" i="16"/>
  <c r="AI90" i="16"/>
  <c r="AI91" i="16"/>
  <c r="AI92" i="16"/>
  <c r="AI93" i="16"/>
  <c r="AI94" i="16"/>
  <c r="AI95" i="16"/>
  <c r="AI96" i="16"/>
  <c r="AI97" i="16"/>
  <c r="AI98" i="16"/>
  <c r="AI99" i="16"/>
  <c r="AI100" i="16"/>
  <c r="AI3" i="16"/>
  <c r="AH3" i="16"/>
  <c r="AG3" i="16"/>
  <c r="AF3" i="16"/>
  <c r="AE3" i="16"/>
  <c r="AA3" i="16"/>
  <c r="Z3" i="16"/>
  <c r="Y3" i="16"/>
  <c r="X3" i="16"/>
  <c r="W3" i="16"/>
  <c r="V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A3" i="16"/>
  <c r="H126" i="16"/>
  <c r="H125" i="16"/>
  <c r="J124" i="16"/>
  <c r="H124" i="16"/>
  <c r="J123" i="16"/>
  <c r="H123" i="16"/>
  <c r="AI102" i="16"/>
  <c r="AH102" i="16"/>
  <c r="AI101" i="16"/>
  <c r="AH101" i="16"/>
  <c r="AH100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O3" i="14"/>
  <c r="N3" i="14"/>
  <c r="M3" i="14"/>
  <c r="L3" i="14"/>
  <c r="K3" i="14"/>
  <c r="J3" i="14"/>
  <c r="I3" i="14"/>
  <c r="H3" i="14"/>
  <c r="G3" i="14"/>
  <c r="F3" i="14"/>
  <c r="E3" i="14"/>
  <c r="D3" i="14"/>
  <c r="C3" i="14"/>
  <c r="B3" i="14"/>
  <c r="A3" i="14"/>
  <c r="A9" i="6"/>
  <c r="A238" i="14"/>
  <c r="A237" i="14"/>
  <c r="A236" i="14"/>
  <c r="A235" i="14"/>
  <c r="A234" i="14"/>
  <c r="A233" i="14"/>
  <c r="O230" i="14"/>
  <c r="O229" i="14"/>
  <c r="O228" i="14"/>
  <c r="O227" i="14"/>
  <c r="O226" i="14"/>
  <c r="O225" i="14"/>
  <c r="O224" i="14"/>
  <c r="O223" i="14"/>
  <c r="O222" i="14"/>
  <c r="O221" i="14"/>
  <c r="O220" i="14"/>
  <c r="O219" i="14"/>
  <c r="O218" i="14"/>
  <c r="O217" i="14"/>
  <c r="O216" i="14"/>
  <c r="N216" i="14"/>
  <c r="O215" i="14"/>
  <c r="N215" i="14"/>
  <c r="O214" i="14"/>
  <c r="N214" i="14"/>
  <c r="O213" i="14"/>
  <c r="N213" i="14"/>
  <c r="O212" i="14"/>
  <c r="N212" i="14"/>
  <c r="E212" i="14"/>
  <c r="O211" i="14"/>
  <c r="N211" i="14"/>
  <c r="E211" i="14"/>
  <c r="O210" i="14"/>
  <c r="N210" i="14"/>
  <c r="E210" i="14"/>
  <c r="O209" i="14"/>
  <c r="N209" i="14"/>
  <c r="E209" i="14"/>
  <c r="O208" i="14"/>
  <c r="N208" i="14"/>
  <c r="E208" i="14"/>
  <c r="O207" i="14"/>
  <c r="N207" i="14"/>
  <c r="E207" i="14"/>
  <c r="O206" i="14"/>
  <c r="N206" i="14"/>
  <c r="E206" i="14"/>
  <c r="O205" i="14"/>
  <c r="N205" i="14"/>
  <c r="E205" i="14"/>
  <c r="O204" i="14"/>
  <c r="N204" i="14"/>
  <c r="E204" i="14"/>
  <c r="O203" i="14"/>
  <c r="N203" i="14"/>
  <c r="E203" i="14"/>
  <c r="O202" i="14"/>
  <c r="N202" i="14"/>
  <c r="E202" i="14"/>
  <c r="O201" i="14"/>
  <c r="N201" i="14"/>
  <c r="K201" i="14"/>
  <c r="E201" i="14"/>
  <c r="O200" i="14"/>
  <c r="N200" i="14"/>
  <c r="K200" i="14"/>
  <c r="E200" i="14"/>
  <c r="O199" i="14"/>
  <c r="N199" i="14"/>
  <c r="L199" i="14"/>
  <c r="K199" i="14"/>
  <c r="E199" i="14"/>
  <c r="O198" i="14"/>
  <c r="N198" i="14"/>
  <c r="L198" i="14"/>
  <c r="K198" i="14"/>
  <c r="E198" i="14"/>
  <c r="O197" i="14"/>
  <c r="N197" i="14"/>
  <c r="L197" i="14"/>
  <c r="K197" i="14"/>
  <c r="E197" i="14"/>
  <c r="O196" i="14"/>
  <c r="N196" i="14"/>
  <c r="L196" i="14"/>
  <c r="K196" i="14"/>
  <c r="E196" i="14"/>
  <c r="O195" i="14"/>
  <c r="N195" i="14"/>
  <c r="L195" i="14"/>
  <c r="K195" i="14"/>
  <c r="E195" i="14"/>
  <c r="O194" i="14"/>
  <c r="N194" i="14"/>
  <c r="L194" i="14"/>
  <c r="K194" i="14"/>
  <c r="E194" i="14"/>
  <c r="O193" i="14"/>
  <c r="N193" i="14"/>
  <c r="L193" i="14"/>
  <c r="K193" i="14"/>
  <c r="E193" i="14"/>
  <c r="O192" i="14"/>
  <c r="N192" i="14"/>
  <c r="L192" i="14"/>
  <c r="K192" i="14"/>
  <c r="E192" i="14"/>
  <c r="O191" i="14"/>
  <c r="N191" i="14"/>
  <c r="L191" i="14"/>
  <c r="K191" i="14"/>
  <c r="E191" i="14"/>
  <c r="O190" i="14"/>
  <c r="N190" i="14"/>
  <c r="M190" i="14"/>
  <c r="L190" i="14"/>
  <c r="K190" i="14"/>
  <c r="E190" i="14"/>
  <c r="O189" i="14"/>
  <c r="N189" i="14"/>
  <c r="M189" i="14"/>
  <c r="L189" i="14"/>
  <c r="K189" i="14"/>
  <c r="E189" i="14"/>
  <c r="O188" i="14"/>
  <c r="N188" i="14"/>
  <c r="M188" i="14"/>
  <c r="L188" i="14"/>
  <c r="K188" i="14"/>
  <c r="E188" i="14"/>
  <c r="O187" i="14"/>
  <c r="N187" i="14"/>
  <c r="M187" i="14"/>
  <c r="L187" i="14"/>
  <c r="K187" i="14"/>
  <c r="E187" i="14"/>
  <c r="O186" i="14"/>
  <c r="N186" i="14"/>
  <c r="M186" i="14"/>
  <c r="L186" i="14"/>
  <c r="K186" i="14"/>
  <c r="E186" i="14"/>
  <c r="O185" i="14"/>
  <c r="N185" i="14"/>
  <c r="M185" i="14"/>
  <c r="L185" i="14"/>
  <c r="K185" i="14"/>
  <c r="E185" i="14"/>
  <c r="O184" i="14"/>
  <c r="N184" i="14"/>
  <c r="M184" i="14"/>
  <c r="L184" i="14"/>
  <c r="K184" i="14"/>
  <c r="E184" i="14"/>
  <c r="O183" i="14"/>
  <c r="N183" i="14"/>
  <c r="M183" i="14"/>
  <c r="L183" i="14"/>
  <c r="K183" i="14"/>
  <c r="E183" i="14"/>
  <c r="O182" i="14"/>
  <c r="N182" i="14"/>
  <c r="M182" i="14"/>
  <c r="L182" i="14"/>
  <c r="K182" i="14"/>
  <c r="E182" i="14"/>
  <c r="O181" i="14"/>
  <c r="N181" i="14"/>
  <c r="M181" i="14"/>
  <c r="L181" i="14"/>
  <c r="K181" i="14"/>
  <c r="E181" i="14"/>
  <c r="O180" i="14"/>
  <c r="N180" i="14"/>
  <c r="M180" i="14"/>
  <c r="L180" i="14"/>
  <c r="K180" i="14"/>
  <c r="E180" i="14"/>
  <c r="O179" i="14"/>
  <c r="N179" i="14"/>
  <c r="M179" i="14"/>
  <c r="L179" i="14"/>
  <c r="K179" i="14"/>
  <c r="E179" i="14"/>
  <c r="N178" i="14"/>
  <c r="M178" i="14"/>
  <c r="L178" i="14"/>
  <c r="K178" i="14"/>
  <c r="E178" i="14"/>
  <c r="N177" i="14"/>
  <c r="M177" i="14"/>
  <c r="L177" i="14"/>
  <c r="K177" i="14"/>
  <c r="E177" i="14"/>
  <c r="N176" i="14"/>
  <c r="M176" i="14"/>
  <c r="L176" i="14"/>
  <c r="K176" i="14"/>
  <c r="E176" i="14"/>
  <c r="N175" i="14"/>
  <c r="M175" i="14"/>
  <c r="L175" i="14"/>
  <c r="K175" i="14"/>
  <c r="E175" i="14"/>
  <c r="N174" i="14"/>
  <c r="M174" i="14"/>
  <c r="K174" i="14"/>
  <c r="E174" i="14"/>
  <c r="N173" i="14"/>
  <c r="M173" i="14"/>
  <c r="K173" i="14"/>
  <c r="E173" i="14"/>
  <c r="N172" i="14"/>
  <c r="M172" i="14"/>
  <c r="K172" i="14"/>
  <c r="E172" i="14"/>
  <c r="N171" i="14"/>
  <c r="M171" i="14"/>
  <c r="K171" i="14"/>
  <c r="E171" i="14"/>
  <c r="N170" i="14"/>
  <c r="M170" i="14"/>
  <c r="K170" i="14"/>
  <c r="E170" i="14"/>
  <c r="N169" i="14"/>
  <c r="M169" i="14"/>
  <c r="K169" i="14"/>
  <c r="E169" i="14"/>
  <c r="N168" i="14"/>
  <c r="M168" i="14"/>
  <c r="K168" i="14"/>
  <c r="E168" i="14"/>
  <c r="N167" i="14"/>
  <c r="M167" i="14"/>
  <c r="K167" i="14"/>
  <c r="E167" i="14"/>
  <c r="N166" i="14"/>
  <c r="M166" i="14"/>
  <c r="K166" i="14"/>
  <c r="E166" i="14"/>
  <c r="N165" i="14"/>
  <c r="K165" i="14"/>
  <c r="E165" i="14"/>
  <c r="N164" i="14"/>
  <c r="K164" i="14"/>
  <c r="E164" i="14"/>
  <c r="N163" i="14"/>
  <c r="K163" i="14"/>
  <c r="E163" i="14"/>
  <c r="N162" i="14"/>
  <c r="K162" i="14"/>
  <c r="E162" i="14"/>
  <c r="N161" i="14"/>
  <c r="K161" i="14"/>
  <c r="E161" i="14"/>
  <c r="N160" i="14"/>
  <c r="K160" i="14"/>
  <c r="E160" i="14"/>
  <c r="N159" i="14"/>
  <c r="K159" i="14"/>
  <c r="E159" i="14"/>
  <c r="N158" i="14"/>
  <c r="K158" i="14"/>
  <c r="E158" i="14"/>
  <c r="N157" i="14"/>
  <c r="K157" i="14"/>
  <c r="E157" i="14"/>
  <c r="N156" i="14"/>
  <c r="K156" i="14"/>
  <c r="E156" i="14"/>
  <c r="N155" i="14"/>
  <c r="K155" i="14"/>
  <c r="E155" i="14"/>
  <c r="N154" i="14"/>
  <c r="K154" i="14"/>
  <c r="E154" i="14"/>
  <c r="N153" i="14"/>
  <c r="K153" i="14"/>
  <c r="E153" i="14"/>
  <c r="N152" i="14"/>
  <c r="K152" i="14"/>
  <c r="E152" i="14"/>
  <c r="N151" i="14"/>
  <c r="K151" i="14"/>
  <c r="E151" i="14"/>
  <c r="N150" i="14"/>
  <c r="E150" i="14"/>
  <c r="N149" i="14"/>
  <c r="E149" i="14"/>
  <c r="N148" i="14"/>
  <c r="E148" i="14"/>
  <c r="N147" i="14"/>
  <c r="E147" i="14"/>
  <c r="N146" i="14"/>
  <c r="E146" i="14"/>
  <c r="N145" i="14"/>
  <c r="E145" i="14"/>
  <c r="N144" i="14"/>
  <c r="E144" i="14"/>
  <c r="N143" i="14"/>
  <c r="E143" i="14"/>
  <c r="N142" i="14"/>
  <c r="E142" i="14"/>
  <c r="N141" i="14"/>
  <c r="E141" i="14"/>
  <c r="N140" i="14"/>
  <c r="E140" i="14"/>
  <c r="N139" i="14"/>
  <c r="E139" i="14"/>
  <c r="N138" i="14"/>
  <c r="E138" i="14"/>
  <c r="N137" i="14"/>
  <c r="E137" i="14"/>
  <c r="N136" i="14"/>
  <c r="E136" i="14"/>
  <c r="N135" i="14"/>
  <c r="E135" i="14"/>
  <c r="N134" i="14"/>
  <c r="E134" i="14"/>
  <c r="N133" i="14"/>
  <c r="E133" i="14"/>
  <c r="N132" i="14"/>
  <c r="E132" i="14"/>
  <c r="N131" i="14"/>
  <c r="E131" i="14"/>
  <c r="N130" i="14"/>
  <c r="E130" i="14"/>
  <c r="N129" i="14"/>
  <c r="E129" i="14"/>
  <c r="N128" i="14"/>
  <c r="E128" i="14"/>
  <c r="N127" i="14"/>
  <c r="E127" i="14"/>
  <c r="N126" i="14"/>
  <c r="E126" i="14"/>
  <c r="N125" i="14"/>
  <c r="E125" i="14"/>
  <c r="N124" i="14"/>
  <c r="E124" i="14"/>
  <c r="N123" i="14"/>
  <c r="E123" i="14"/>
  <c r="N122" i="14"/>
  <c r="E122" i="14"/>
  <c r="N121" i="14"/>
  <c r="E121" i="14"/>
  <c r="N120" i="14"/>
  <c r="E120" i="14"/>
  <c r="N119" i="14"/>
  <c r="E119" i="14"/>
  <c r="N118" i="14"/>
  <c r="E118" i="14"/>
  <c r="N117" i="14"/>
  <c r="E117" i="14"/>
  <c r="N116" i="14"/>
  <c r="E116" i="14"/>
  <c r="E115" i="14"/>
  <c r="E114" i="14"/>
  <c r="E113" i="14"/>
  <c r="E112" i="14"/>
  <c r="E111" i="14"/>
  <c r="E110" i="14"/>
  <c r="E109" i="14"/>
  <c r="E108" i="14"/>
  <c r="AO1" i="2" l="1"/>
  <c r="AA1" i="2"/>
  <c r="CE1" i="2"/>
  <c r="T1" i="2"/>
  <c r="M1" i="2"/>
  <c r="BC1" i="2"/>
  <c r="AV1" i="2"/>
  <c r="AH1" i="2"/>
  <c r="BX1" i="2"/>
  <c r="BQ1" i="2"/>
  <c r="F1" i="2"/>
  <c r="BJ1" i="2"/>
  <c r="AG1" i="2"/>
  <c r="S1" i="2"/>
  <c r="L1" i="2"/>
  <c r="BY1" i="2"/>
  <c r="N1" i="2"/>
  <c r="U1" i="2"/>
  <c r="AI1" i="2"/>
  <c r="BR1" i="2"/>
  <c r="G1" i="2"/>
  <c r="BK1" i="2"/>
  <c r="BD1" i="2"/>
  <c r="AB1" i="2"/>
  <c r="AW1" i="2"/>
  <c r="AP1" i="2"/>
  <c r="CF1" i="2"/>
  <c r="AJ1" i="2"/>
  <c r="BE1" i="2"/>
  <c r="AX1" i="2"/>
  <c r="AQ1" i="2"/>
  <c r="O1" i="2"/>
  <c r="AC1" i="2"/>
  <c r="CG1" i="2"/>
  <c r="V1" i="2"/>
  <c r="BL1" i="2"/>
  <c r="BZ1" i="2"/>
  <c r="H1" i="2"/>
  <c r="BS1" i="2"/>
  <c r="CD1" i="2"/>
  <c r="BW1" i="2"/>
  <c r="E1" i="2"/>
  <c r="Z1" i="2"/>
  <c r="BP1" i="2"/>
  <c r="AU1" i="2"/>
  <c r="AN1" i="2"/>
  <c r="BI1" i="2"/>
  <c r="BB1" i="2"/>
  <c r="AI4" i="12"/>
  <c r="AI5" i="12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I88" i="12"/>
  <c r="AI89" i="12"/>
  <c r="AI90" i="12"/>
  <c r="AI91" i="12"/>
  <c r="AI92" i="12"/>
  <c r="AI93" i="12"/>
  <c r="AI94" i="12"/>
  <c r="AI95" i="12"/>
  <c r="AI96" i="12"/>
  <c r="AI97" i="12"/>
  <c r="AI98" i="12"/>
  <c r="AI99" i="12"/>
  <c r="AI100" i="12"/>
  <c r="AI101" i="12"/>
  <c r="AI102" i="12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E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8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AE80" i="12"/>
  <c r="AE81" i="12"/>
  <c r="AE82" i="12"/>
  <c r="AE83" i="12"/>
  <c r="AE84" i="12"/>
  <c r="AE85" i="12"/>
  <c r="AE86" i="12"/>
  <c r="AE87" i="12"/>
  <c r="AE88" i="12"/>
  <c r="AE89" i="12"/>
  <c r="AE90" i="12"/>
  <c r="AE91" i="12"/>
  <c r="AE92" i="12"/>
  <c r="AE93" i="12"/>
  <c r="AE94" i="12"/>
  <c r="AE95" i="12"/>
  <c r="AE96" i="12"/>
  <c r="AE97" i="12"/>
  <c r="AE98" i="12"/>
  <c r="AE99" i="12"/>
  <c r="AE100" i="12"/>
  <c r="AA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I3" i="12"/>
  <c r="AH3" i="12"/>
  <c r="AG3" i="12"/>
  <c r="AF3" i="12"/>
  <c r="AE3" i="12"/>
  <c r="AA3" i="12"/>
  <c r="Z3" i="12"/>
  <c r="Y3" i="12"/>
  <c r="X3" i="12"/>
  <c r="W3" i="12"/>
  <c r="V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A3" i="12"/>
  <c r="B1" i="12"/>
  <c r="V103" i="12"/>
  <c r="G103" i="12"/>
  <c r="D103" i="12"/>
  <c r="C103" i="12"/>
  <c r="B103" i="12"/>
  <c r="AE102" i="12"/>
  <c r="AE101" i="12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X4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Y4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Z4" i="9"/>
  <c r="Z5" i="9"/>
  <c r="Z6" i="9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AA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G4" i="9"/>
  <c r="AG5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48" i="9"/>
  <c r="AG49" i="9"/>
  <c r="AG50" i="9"/>
  <c r="AG51" i="9"/>
  <c r="AG52" i="9"/>
  <c r="AG53" i="9"/>
  <c r="AG54" i="9"/>
  <c r="AG55" i="9"/>
  <c r="AG56" i="9"/>
  <c r="AG57" i="9"/>
  <c r="AG58" i="9"/>
  <c r="AG59" i="9"/>
  <c r="AG60" i="9"/>
  <c r="AG61" i="9"/>
  <c r="AG62" i="9"/>
  <c r="AG63" i="9"/>
  <c r="AG64" i="9"/>
  <c r="AG65" i="9"/>
  <c r="AG66" i="9"/>
  <c r="AG67" i="9"/>
  <c r="AG68" i="9"/>
  <c r="AG69" i="9"/>
  <c r="AG70" i="9"/>
  <c r="AG71" i="9"/>
  <c r="AG72" i="9"/>
  <c r="AG73" i="9"/>
  <c r="AG74" i="9"/>
  <c r="AG75" i="9"/>
  <c r="AG76" i="9"/>
  <c r="AG77" i="9"/>
  <c r="AG78" i="9"/>
  <c r="AG79" i="9"/>
  <c r="AG80" i="9"/>
  <c r="AG81" i="9"/>
  <c r="AG82" i="9"/>
  <c r="AG83" i="9"/>
  <c r="AG84" i="9"/>
  <c r="AG85" i="9"/>
  <c r="AG86" i="9"/>
  <c r="AG87" i="9"/>
  <c r="AG88" i="9"/>
  <c r="AG89" i="9"/>
  <c r="AG90" i="9"/>
  <c r="AG91" i="9"/>
  <c r="AG92" i="9"/>
  <c r="AG93" i="9"/>
  <c r="AG94" i="9"/>
  <c r="AG95" i="9"/>
  <c r="AG96" i="9"/>
  <c r="AG97" i="9"/>
  <c r="AG98" i="9"/>
  <c r="AG99" i="9"/>
  <c r="AG100" i="9"/>
  <c r="AG101" i="9"/>
  <c r="AG102" i="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65" i="9"/>
  <c r="AH66" i="9"/>
  <c r="AH67" i="9"/>
  <c r="AH68" i="9"/>
  <c r="AH69" i="9"/>
  <c r="AH70" i="9"/>
  <c r="AH71" i="9"/>
  <c r="AH72" i="9"/>
  <c r="AH73" i="9"/>
  <c r="AH74" i="9"/>
  <c r="AH75" i="9"/>
  <c r="AH76" i="9"/>
  <c r="AH77" i="9"/>
  <c r="AH78" i="9"/>
  <c r="AH79" i="9"/>
  <c r="AH80" i="9"/>
  <c r="AH81" i="9"/>
  <c r="AH82" i="9"/>
  <c r="AH83" i="9"/>
  <c r="AH84" i="9"/>
  <c r="AH85" i="9"/>
  <c r="AH86" i="9"/>
  <c r="AH87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H101" i="9"/>
  <c r="AH102" i="9"/>
  <c r="AI4" i="9"/>
  <c r="AI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3" i="9"/>
  <c r="AH3" i="9"/>
  <c r="AG3" i="9"/>
  <c r="AF3" i="9"/>
  <c r="AE3" i="9"/>
  <c r="AA3" i="9"/>
  <c r="Z3" i="9"/>
  <c r="Y3" i="9"/>
  <c r="X3" i="9"/>
  <c r="W3" i="9"/>
  <c r="V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A3" i="9"/>
  <c r="B1" i="9"/>
  <c r="AI102" i="9"/>
  <c r="AI4" i="5" l="1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H4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G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I3" i="5"/>
  <c r="AH3" i="5"/>
  <c r="AG3" i="5"/>
  <c r="AF3" i="5"/>
  <c r="AE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AA3" i="5"/>
  <c r="Z3" i="5"/>
  <c r="Y3" i="5"/>
  <c r="X3" i="5"/>
  <c r="W3" i="5"/>
  <c r="V3" i="5"/>
  <c r="B3" i="5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4" i="6"/>
  <c r="A5" i="6"/>
  <c r="A6" i="6"/>
  <c r="A7" i="6"/>
  <c r="A8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3" i="6"/>
  <c r="B1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O3" i="5"/>
  <c r="N3" i="5"/>
  <c r="M3" i="5"/>
  <c r="L3" i="5"/>
  <c r="K3" i="5"/>
  <c r="J3" i="5"/>
  <c r="I3" i="5"/>
  <c r="H3" i="5"/>
  <c r="G3" i="5"/>
  <c r="F3" i="5"/>
  <c r="E3" i="5"/>
  <c r="D3" i="5"/>
  <c r="C3" i="5"/>
  <c r="A3" i="5"/>
  <c r="CC2" i="2"/>
  <c r="CF2" i="2" s="1"/>
  <c r="BV2" i="2"/>
  <c r="BY2" i="2" s="1"/>
  <c r="BO2" i="2"/>
  <c r="BH2" i="2"/>
  <c r="BA2" i="2"/>
  <c r="AT2" i="2"/>
  <c r="AW2" i="2" s="1"/>
  <c r="AM2" i="2"/>
  <c r="AP2" i="2" s="1"/>
  <c r="AF2" i="2"/>
  <c r="AI2" i="2" s="1"/>
  <c r="Y2" i="2"/>
  <c r="AB2" i="2" s="1"/>
  <c r="K2" i="2"/>
  <c r="R2" i="2"/>
  <c r="D2" i="2"/>
  <c r="G2" i="2" s="1"/>
  <c r="BH3" i="2" l="1"/>
  <c r="BN2" i="2"/>
  <c r="BM2" i="2"/>
  <c r="BJ2" i="2"/>
  <c r="BL2" i="2"/>
  <c r="BO3" i="2"/>
  <c r="BU2" i="2"/>
  <c r="BQ2" i="2"/>
  <c r="BT2" i="2"/>
  <c r="BS2" i="2"/>
  <c r="BA3" i="2"/>
  <c r="BF2" i="2"/>
  <c r="BC2" i="2"/>
  <c r="BG2" i="2"/>
  <c r="BE2" i="2"/>
  <c r="BD2" i="2"/>
  <c r="K3" i="2"/>
  <c r="Q2" i="2"/>
  <c r="P2" i="2"/>
  <c r="M2" i="2"/>
  <c r="O2" i="2"/>
  <c r="BV3" i="2"/>
  <c r="CB2" i="2"/>
  <c r="CA2" i="2"/>
  <c r="BX2" i="2"/>
  <c r="BZ2" i="2"/>
  <c r="AH2" i="2"/>
  <c r="BK2" i="2"/>
  <c r="R3" i="2"/>
  <c r="X2" i="2"/>
  <c r="W2" i="2"/>
  <c r="T2" i="2"/>
  <c r="V2" i="2"/>
  <c r="Y3" i="2"/>
  <c r="AA2" i="2"/>
  <c r="AE2" i="2"/>
  <c r="AD2" i="2"/>
  <c r="AC2" i="2"/>
  <c r="CC3" i="2"/>
  <c r="CI2" i="2"/>
  <c r="CH2" i="2"/>
  <c r="CE2" i="2"/>
  <c r="CG2" i="2"/>
  <c r="U2" i="2"/>
  <c r="AF3" i="2"/>
  <c r="AL2" i="2"/>
  <c r="AJ2" i="2"/>
  <c r="AM3" i="2"/>
  <c r="AN3" i="2" s="1"/>
  <c r="AS2" i="2"/>
  <c r="AR2" i="2"/>
  <c r="AO2" i="2"/>
  <c r="AQ2" i="2"/>
  <c r="BR2" i="2"/>
  <c r="D3" i="2"/>
  <c r="E3" i="2" s="1"/>
  <c r="F2" i="2"/>
  <c r="I2" i="2"/>
  <c r="J2" i="2"/>
  <c r="H2" i="2"/>
  <c r="AT3" i="2"/>
  <c r="AZ2" i="2"/>
  <c r="AY2" i="2"/>
  <c r="AV2" i="2"/>
  <c r="AX2" i="2"/>
  <c r="N2" i="2"/>
  <c r="BP3" i="2"/>
  <c r="BB3" i="2"/>
  <c r="AN2" i="2"/>
  <c r="CD2" i="2"/>
  <c r="BP2" i="2"/>
  <c r="BB2" i="2"/>
  <c r="AG3" i="2"/>
  <c r="Z3" i="2"/>
  <c r="BW3" i="2"/>
  <c r="BI3" i="2"/>
  <c r="AU3" i="2"/>
  <c r="AU2" i="2"/>
  <c r="Z2" i="2"/>
  <c r="BW2" i="2"/>
  <c r="BI2" i="2"/>
  <c r="S3" i="2"/>
  <c r="S2" i="2"/>
  <c r="L2" i="2"/>
  <c r="E2" i="2"/>
  <c r="L3" i="2"/>
  <c r="AK2" i="2"/>
  <c r="AG2" i="2"/>
  <c r="D33" i="2"/>
  <c r="CC4" i="2" l="1"/>
  <c r="CH3" i="2"/>
  <c r="CI3" i="2"/>
  <c r="CE3" i="2"/>
  <c r="CG3" i="2"/>
  <c r="CF3" i="2"/>
  <c r="CD3" i="2"/>
  <c r="AM4" i="2"/>
  <c r="AO3" i="2"/>
  <c r="AR3" i="2"/>
  <c r="AS3" i="2"/>
  <c r="AQ3" i="2"/>
  <c r="AP3" i="2"/>
  <c r="D4" i="2"/>
  <c r="J3" i="2"/>
  <c r="F3" i="2"/>
  <c r="I3" i="2"/>
  <c r="H3" i="2"/>
  <c r="G3" i="2"/>
  <c r="BV4" i="2"/>
  <c r="BX3" i="2"/>
  <c r="CA3" i="2"/>
  <c r="CB3" i="2"/>
  <c r="BZ3" i="2"/>
  <c r="BY3" i="2"/>
  <c r="BO4" i="2"/>
  <c r="BT3" i="2"/>
  <c r="BU3" i="2"/>
  <c r="BQ3" i="2"/>
  <c r="BS3" i="2"/>
  <c r="BR3" i="2"/>
  <c r="AF4" i="2"/>
  <c r="AH3" i="2"/>
  <c r="AL3" i="2"/>
  <c r="AK3" i="2"/>
  <c r="AJ3" i="2"/>
  <c r="AI3" i="2"/>
  <c r="R4" i="2"/>
  <c r="S4" i="2" s="1"/>
  <c r="T3" i="2"/>
  <c r="X3" i="2"/>
  <c r="W3" i="2"/>
  <c r="V3" i="2"/>
  <c r="U3" i="2"/>
  <c r="AT4" i="2"/>
  <c r="AY3" i="2"/>
  <c r="AZ3" i="2"/>
  <c r="AV3" i="2"/>
  <c r="AX3" i="2"/>
  <c r="AW3" i="2"/>
  <c r="BA4" i="2"/>
  <c r="BC3" i="2"/>
  <c r="BF3" i="2"/>
  <c r="BG3" i="2"/>
  <c r="BE3" i="2"/>
  <c r="BD3" i="2"/>
  <c r="Y4" i="2"/>
  <c r="AD3" i="2"/>
  <c r="AE3" i="2"/>
  <c r="AA3" i="2"/>
  <c r="AC3" i="2"/>
  <c r="AB3" i="2"/>
  <c r="K4" i="2"/>
  <c r="M3" i="2"/>
  <c r="P3" i="2"/>
  <c r="Q3" i="2"/>
  <c r="O3" i="2"/>
  <c r="N3" i="2"/>
  <c r="BH4" i="2"/>
  <c r="BN3" i="2"/>
  <c r="BJ3" i="2"/>
  <c r="BM3" i="2"/>
  <c r="BL3" i="2"/>
  <c r="BK3" i="2"/>
  <c r="E4" i="2" l="1"/>
  <c r="G4" i="2"/>
  <c r="H4" i="2"/>
  <c r="I4" i="2"/>
  <c r="J4" i="2"/>
  <c r="F4" i="2"/>
  <c r="N4" i="2"/>
  <c r="M4" i="2"/>
  <c r="Y5" i="2"/>
  <c r="AD4" i="2"/>
  <c r="AE4" i="2"/>
  <c r="AA4" i="2"/>
  <c r="AC4" i="2"/>
  <c r="AB4" i="2"/>
  <c r="Z4" i="2"/>
  <c r="AF5" i="2"/>
  <c r="AL4" i="2"/>
  <c r="AH4" i="2"/>
  <c r="AK4" i="2"/>
  <c r="AJ4" i="2"/>
  <c r="AI4" i="2"/>
  <c r="AG4" i="2"/>
  <c r="AM5" i="2"/>
  <c r="AS4" i="2"/>
  <c r="AO4" i="2"/>
  <c r="AR4" i="2"/>
  <c r="AQ4" i="2"/>
  <c r="AP4" i="2"/>
  <c r="AN4" i="2"/>
  <c r="K5" i="2"/>
  <c r="P4" i="2"/>
  <c r="Q4" i="2"/>
  <c r="O4" i="2"/>
  <c r="L4" i="2"/>
  <c r="R5" i="2"/>
  <c r="X4" i="2"/>
  <c r="T4" i="2"/>
  <c r="W4" i="2"/>
  <c r="V4" i="2"/>
  <c r="U4" i="2"/>
  <c r="D5" i="2"/>
  <c r="BH5" i="2"/>
  <c r="BN4" i="2"/>
  <c r="BJ4" i="2"/>
  <c r="BM4" i="2"/>
  <c r="BL4" i="2"/>
  <c r="BK4" i="2"/>
  <c r="BI4" i="2"/>
  <c r="AT5" i="2"/>
  <c r="AY4" i="2"/>
  <c r="AZ4" i="2"/>
  <c r="AV4" i="2"/>
  <c r="AX4" i="2"/>
  <c r="AW4" i="2"/>
  <c r="AU4" i="2"/>
  <c r="BV5" i="2"/>
  <c r="BX4" i="2"/>
  <c r="CA4" i="2"/>
  <c r="CB4" i="2"/>
  <c r="BZ4" i="2"/>
  <c r="BY4" i="2"/>
  <c r="BW4" i="2"/>
  <c r="BA5" i="2"/>
  <c r="BC4" i="2"/>
  <c r="BF4" i="2"/>
  <c r="BG4" i="2"/>
  <c r="BE4" i="2"/>
  <c r="BD4" i="2"/>
  <c r="BB4" i="2"/>
  <c r="BO5" i="2"/>
  <c r="BQ4" i="2"/>
  <c r="BT4" i="2"/>
  <c r="BU4" i="2"/>
  <c r="BS4" i="2"/>
  <c r="BR4" i="2"/>
  <c r="BP4" i="2"/>
  <c r="CC5" i="2"/>
  <c r="CH4" i="2"/>
  <c r="CI4" i="2"/>
  <c r="CE4" i="2"/>
  <c r="CG4" i="2"/>
  <c r="CF4" i="2"/>
  <c r="CD4" i="2"/>
  <c r="O5" i="2" l="1"/>
  <c r="L5" i="2"/>
  <c r="N5" i="2"/>
  <c r="M5" i="2"/>
  <c r="BO6" i="2"/>
  <c r="BQ5" i="2"/>
  <c r="BT5" i="2"/>
  <c r="BU5" i="2"/>
  <c r="BS5" i="2"/>
  <c r="BR5" i="2"/>
  <c r="BP5" i="2"/>
  <c r="CC6" i="2"/>
  <c r="CE5" i="2"/>
  <c r="CH5" i="2"/>
  <c r="CI5" i="2"/>
  <c r="CG5" i="2"/>
  <c r="CF5" i="2"/>
  <c r="CD5" i="2"/>
  <c r="K6" i="2"/>
  <c r="L6" i="2" s="1"/>
  <c r="P5" i="2"/>
  <c r="Q5" i="2"/>
  <c r="R6" i="2"/>
  <c r="X5" i="2"/>
  <c r="T5" i="2"/>
  <c r="W5" i="2"/>
  <c r="V5" i="2"/>
  <c r="U5" i="2"/>
  <c r="S5" i="2"/>
  <c r="AM6" i="2"/>
  <c r="AS5" i="2"/>
  <c r="AO5" i="2"/>
  <c r="AR5" i="2"/>
  <c r="AQ5" i="2"/>
  <c r="AP5" i="2"/>
  <c r="AN5" i="2"/>
  <c r="BH6" i="2"/>
  <c r="BM5" i="2"/>
  <c r="BN5" i="2"/>
  <c r="BJ5" i="2"/>
  <c r="BL5" i="2"/>
  <c r="BK5" i="2"/>
  <c r="BI5" i="2"/>
  <c r="D6" i="2"/>
  <c r="I5" i="2"/>
  <c r="J5" i="2"/>
  <c r="F5" i="2"/>
  <c r="H5" i="2"/>
  <c r="G5" i="2"/>
  <c r="E5" i="2"/>
  <c r="AF6" i="2"/>
  <c r="AL5" i="2"/>
  <c r="AK5" i="2"/>
  <c r="AH5" i="2"/>
  <c r="AJ5" i="2"/>
  <c r="AI5" i="2"/>
  <c r="AG5" i="2"/>
  <c r="AT6" i="2"/>
  <c r="AV5" i="2"/>
  <c r="AY5" i="2"/>
  <c r="AZ5" i="2"/>
  <c r="AX5" i="2"/>
  <c r="AW5" i="2"/>
  <c r="AU5" i="2"/>
  <c r="BA6" i="2"/>
  <c r="BC5" i="2"/>
  <c r="BF5" i="2"/>
  <c r="BG5" i="2"/>
  <c r="BE5" i="2"/>
  <c r="BD5" i="2"/>
  <c r="BB5" i="2"/>
  <c r="BV6" i="2"/>
  <c r="CB5" i="2"/>
  <c r="BX5" i="2"/>
  <c r="CA5" i="2"/>
  <c r="BZ5" i="2"/>
  <c r="BY5" i="2"/>
  <c r="BW5" i="2"/>
  <c r="Y6" i="2"/>
  <c r="AA5" i="2"/>
  <c r="AD5" i="2"/>
  <c r="AE5" i="2"/>
  <c r="AC5" i="2"/>
  <c r="AB5" i="2"/>
  <c r="Z5" i="2"/>
  <c r="K7" i="2" l="1"/>
  <c r="M6" i="2"/>
  <c r="Q6" i="2"/>
  <c r="P6" i="2"/>
  <c r="O6" i="2"/>
  <c r="N6" i="2"/>
  <c r="AM7" i="2"/>
  <c r="AR6" i="2"/>
  <c r="AS6" i="2"/>
  <c r="AO6" i="2"/>
  <c r="AQ6" i="2"/>
  <c r="AP6" i="2"/>
  <c r="AN6" i="2"/>
  <c r="BA7" i="2"/>
  <c r="BG6" i="2"/>
  <c r="BC6" i="2"/>
  <c r="BF6" i="2"/>
  <c r="BE6" i="2"/>
  <c r="BD6" i="2"/>
  <c r="BB6" i="2"/>
  <c r="R7" i="2"/>
  <c r="W6" i="2"/>
  <c r="X6" i="2"/>
  <c r="T6" i="2"/>
  <c r="V6" i="2"/>
  <c r="U6" i="2"/>
  <c r="S6" i="2"/>
  <c r="BH7" i="2"/>
  <c r="BM6" i="2"/>
  <c r="BN6" i="2"/>
  <c r="BJ6" i="2"/>
  <c r="BL6" i="2"/>
  <c r="BK6" i="2"/>
  <c r="BI6" i="2"/>
  <c r="D7" i="2"/>
  <c r="J6" i="2"/>
  <c r="F6" i="2"/>
  <c r="I6" i="2"/>
  <c r="H6" i="2"/>
  <c r="G6" i="2"/>
  <c r="E6" i="2"/>
  <c r="CC7" i="2"/>
  <c r="CE6" i="2"/>
  <c r="CH6" i="2"/>
  <c r="CI6" i="2"/>
  <c r="CG6" i="2"/>
  <c r="CF6" i="2"/>
  <c r="CD6" i="2"/>
  <c r="Y7" i="2"/>
  <c r="AA6" i="2"/>
  <c r="AD6" i="2"/>
  <c r="AE6" i="2"/>
  <c r="AC6" i="2"/>
  <c r="AB6" i="2"/>
  <c r="Z6" i="2"/>
  <c r="BV7" i="2"/>
  <c r="CB6" i="2"/>
  <c r="BX6" i="2"/>
  <c r="CA6" i="2"/>
  <c r="BZ6" i="2"/>
  <c r="BY6" i="2"/>
  <c r="BW6" i="2"/>
  <c r="AF7" i="2"/>
  <c r="AL6" i="2"/>
  <c r="AK6" i="2"/>
  <c r="AH6" i="2"/>
  <c r="AJ6" i="2"/>
  <c r="AI6" i="2"/>
  <c r="AG6" i="2"/>
  <c r="AT7" i="2"/>
  <c r="AV6" i="2"/>
  <c r="AY6" i="2"/>
  <c r="AZ6" i="2"/>
  <c r="AX6" i="2"/>
  <c r="AW6" i="2"/>
  <c r="AU6" i="2"/>
  <c r="BO7" i="2"/>
  <c r="BQ6" i="2"/>
  <c r="BT6" i="2"/>
  <c r="BU6" i="2"/>
  <c r="BS6" i="2"/>
  <c r="BR6" i="2"/>
  <c r="BP6" i="2"/>
  <c r="E7" i="2" l="1"/>
  <c r="G7" i="2"/>
  <c r="H7" i="2"/>
  <c r="F7" i="2"/>
  <c r="AF8" i="2"/>
  <c r="AH7" i="2"/>
  <c r="AL7" i="2"/>
  <c r="AK7" i="2"/>
  <c r="AJ7" i="2"/>
  <c r="AI7" i="2"/>
  <c r="AG7" i="2"/>
  <c r="AM8" i="2"/>
  <c r="AR7" i="2"/>
  <c r="AS7" i="2"/>
  <c r="AO7" i="2"/>
  <c r="AQ7" i="2"/>
  <c r="AP7" i="2"/>
  <c r="AN7" i="2"/>
  <c r="D8" i="2"/>
  <c r="J7" i="2"/>
  <c r="I7" i="2"/>
  <c r="CC8" i="2"/>
  <c r="CE7" i="2"/>
  <c r="CH7" i="2"/>
  <c r="CI7" i="2"/>
  <c r="CG7" i="2"/>
  <c r="CF7" i="2"/>
  <c r="CD7" i="2"/>
  <c r="BO8" i="2"/>
  <c r="BQ7" i="2"/>
  <c r="BT7" i="2"/>
  <c r="BU7" i="2"/>
  <c r="BS7" i="2"/>
  <c r="BR7" i="2"/>
  <c r="BP7" i="2"/>
  <c r="AT8" i="2"/>
  <c r="AV7" i="2"/>
  <c r="AY7" i="2"/>
  <c r="AZ7" i="2"/>
  <c r="AX7" i="2"/>
  <c r="AW7" i="2"/>
  <c r="AU7" i="2"/>
  <c r="BA8" i="2"/>
  <c r="BG7" i="2"/>
  <c r="BC7" i="2"/>
  <c r="BF7" i="2"/>
  <c r="BE7" i="2"/>
  <c r="BD7" i="2"/>
  <c r="BB7" i="2"/>
  <c r="R8" i="2"/>
  <c r="W7" i="2"/>
  <c r="X7" i="2"/>
  <c r="T7" i="2"/>
  <c r="V7" i="2"/>
  <c r="U7" i="2"/>
  <c r="S7" i="2"/>
  <c r="BH8" i="2"/>
  <c r="BJ7" i="2"/>
  <c r="BM7" i="2"/>
  <c r="BN7" i="2"/>
  <c r="BL7" i="2"/>
  <c r="BK7" i="2"/>
  <c r="BI7" i="2"/>
  <c r="Y8" i="2"/>
  <c r="AA7" i="2"/>
  <c r="AD7" i="2"/>
  <c r="AE7" i="2"/>
  <c r="AC7" i="2"/>
  <c r="AB7" i="2"/>
  <c r="Z7" i="2"/>
  <c r="BV8" i="2"/>
  <c r="CA7" i="2"/>
  <c r="CB7" i="2"/>
  <c r="BX7" i="2"/>
  <c r="BZ7" i="2"/>
  <c r="BY7" i="2"/>
  <c r="BW7" i="2"/>
  <c r="K8" i="2"/>
  <c r="Q7" i="2"/>
  <c r="M7" i="2"/>
  <c r="P7" i="2"/>
  <c r="O7" i="2"/>
  <c r="N7" i="2"/>
  <c r="L7" i="2"/>
  <c r="BV9" i="2" l="1"/>
  <c r="CA8" i="2"/>
  <c r="CB8" i="2"/>
  <c r="BX8" i="2"/>
  <c r="BZ8" i="2"/>
  <c r="BY8" i="2"/>
  <c r="BW8" i="2"/>
  <c r="K9" i="2"/>
  <c r="P8" i="2"/>
  <c r="Q8" i="2"/>
  <c r="M8" i="2"/>
  <c r="O8" i="2"/>
  <c r="N8" i="2"/>
  <c r="L8" i="2"/>
  <c r="BO9" i="2"/>
  <c r="BU8" i="2"/>
  <c r="BQ8" i="2"/>
  <c r="BT8" i="2"/>
  <c r="BS8" i="2"/>
  <c r="BR8" i="2"/>
  <c r="BP8" i="2"/>
  <c r="AT9" i="2"/>
  <c r="AV8" i="2"/>
  <c r="AY8" i="2"/>
  <c r="AZ8" i="2"/>
  <c r="AX8" i="2"/>
  <c r="AW8" i="2"/>
  <c r="AU8" i="2"/>
  <c r="AM9" i="2"/>
  <c r="AO8" i="2"/>
  <c r="AR8" i="2"/>
  <c r="AS8" i="2"/>
  <c r="AQ8" i="2"/>
  <c r="AP8" i="2"/>
  <c r="AN8" i="2"/>
  <c r="D9" i="2"/>
  <c r="E9" i="2" s="1"/>
  <c r="I8" i="2"/>
  <c r="J8" i="2"/>
  <c r="F8" i="2"/>
  <c r="H8" i="2"/>
  <c r="G8" i="2"/>
  <c r="E8" i="2"/>
  <c r="CC9" i="2"/>
  <c r="CE8" i="2"/>
  <c r="CH8" i="2"/>
  <c r="CI8" i="2"/>
  <c r="CG8" i="2"/>
  <c r="CF8" i="2"/>
  <c r="CD8" i="2"/>
  <c r="BA9" i="2"/>
  <c r="BF8" i="2"/>
  <c r="BG8" i="2"/>
  <c r="BC8" i="2"/>
  <c r="BE8" i="2"/>
  <c r="BD8" i="2"/>
  <c r="BB8" i="2"/>
  <c r="R9" i="2"/>
  <c r="T8" i="2"/>
  <c r="W8" i="2"/>
  <c r="X8" i="2"/>
  <c r="V8" i="2"/>
  <c r="U8" i="2"/>
  <c r="S8" i="2"/>
  <c r="Y9" i="2"/>
  <c r="AA8" i="2"/>
  <c r="AD8" i="2"/>
  <c r="AE8" i="2"/>
  <c r="AC8" i="2"/>
  <c r="AB8" i="2"/>
  <c r="Z8" i="2"/>
  <c r="BH9" i="2"/>
  <c r="BJ8" i="2"/>
  <c r="BM8" i="2"/>
  <c r="BN8" i="2"/>
  <c r="BL8" i="2"/>
  <c r="BK8" i="2"/>
  <c r="BI8" i="2"/>
  <c r="AF9" i="2"/>
  <c r="AL8" i="2"/>
  <c r="AH8" i="2"/>
  <c r="AK8" i="2"/>
  <c r="AJ8" i="2"/>
  <c r="AI8" i="2"/>
  <c r="AG8" i="2"/>
  <c r="K10" i="2" l="1"/>
  <c r="P9" i="2"/>
  <c r="Q9" i="2"/>
  <c r="M9" i="2"/>
  <c r="O9" i="2"/>
  <c r="N9" i="2"/>
  <c r="L9" i="2"/>
  <c r="AF10" i="2"/>
  <c r="AL9" i="2"/>
  <c r="AH9" i="2"/>
  <c r="AK9" i="2"/>
  <c r="AJ9" i="2"/>
  <c r="AI9" i="2"/>
  <c r="AG9" i="2"/>
  <c r="D10" i="2"/>
  <c r="I9" i="2"/>
  <c r="J9" i="2"/>
  <c r="F9" i="2"/>
  <c r="H9" i="2"/>
  <c r="G9" i="2"/>
  <c r="BO10" i="2"/>
  <c r="BU9" i="2"/>
  <c r="BQ9" i="2"/>
  <c r="BT9" i="2"/>
  <c r="BS9" i="2"/>
  <c r="BR9" i="2"/>
  <c r="BP9" i="2"/>
  <c r="CC10" i="2"/>
  <c r="CI9" i="2"/>
  <c r="CE9" i="2"/>
  <c r="CH9" i="2"/>
  <c r="CG9" i="2"/>
  <c r="CF9" i="2"/>
  <c r="CD9" i="2"/>
  <c r="Y10" i="2"/>
  <c r="AE9" i="2"/>
  <c r="AA9" i="2"/>
  <c r="AD9" i="2"/>
  <c r="AC9" i="2"/>
  <c r="AB9" i="2"/>
  <c r="Z9" i="2"/>
  <c r="AM10" i="2"/>
  <c r="AO9" i="2"/>
  <c r="AR9" i="2"/>
  <c r="AS9" i="2"/>
  <c r="AQ9" i="2"/>
  <c r="AP9" i="2"/>
  <c r="AN9" i="2"/>
  <c r="BA10" i="2"/>
  <c r="BF9" i="2"/>
  <c r="BG9" i="2"/>
  <c r="BC9" i="2"/>
  <c r="BE9" i="2"/>
  <c r="BD9" i="2"/>
  <c r="BB9" i="2"/>
  <c r="BH10" i="2"/>
  <c r="BJ9" i="2"/>
  <c r="BM9" i="2"/>
  <c r="BN9" i="2"/>
  <c r="BL9" i="2"/>
  <c r="BK9" i="2"/>
  <c r="BI9" i="2"/>
  <c r="AT10" i="2"/>
  <c r="AZ9" i="2"/>
  <c r="AV9" i="2"/>
  <c r="AY9" i="2"/>
  <c r="AX9" i="2"/>
  <c r="AW9" i="2"/>
  <c r="AU9" i="2"/>
  <c r="R10" i="2"/>
  <c r="T9" i="2"/>
  <c r="W9" i="2"/>
  <c r="X9" i="2"/>
  <c r="V9" i="2"/>
  <c r="U9" i="2"/>
  <c r="S9" i="2"/>
  <c r="BV10" i="2"/>
  <c r="BX9" i="2"/>
  <c r="CA9" i="2"/>
  <c r="CB9" i="2"/>
  <c r="BZ9" i="2"/>
  <c r="BY9" i="2"/>
  <c r="BW9" i="2"/>
  <c r="Y11" i="2" l="1"/>
  <c r="AE10" i="2"/>
  <c r="AA10" i="2"/>
  <c r="AD10" i="2"/>
  <c r="AC10" i="2"/>
  <c r="AB10" i="2"/>
  <c r="Z10" i="2"/>
  <c r="AF11" i="2"/>
  <c r="AL10" i="2"/>
  <c r="AH10" i="2"/>
  <c r="AK10" i="2"/>
  <c r="AJ10" i="2"/>
  <c r="AI10" i="2"/>
  <c r="AG10" i="2"/>
  <c r="BV11" i="2"/>
  <c r="BX10" i="2"/>
  <c r="CA10" i="2"/>
  <c r="CB10" i="2"/>
  <c r="BZ10" i="2"/>
  <c r="BY10" i="2"/>
  <c r="BW10" i="2"/>
  <c r="AM11" i="2"/>
  <c r="AO10" i="2"/>
  <c r="AR10" i="2"/>
  <c r="AS10" i="2"/>
  <c r="AQ10" i="2"/>
  <c r="AP10" i="2"/>
  <c r="AN10" i="2"/>
  <c r="R11" i="2"/>
  <c r="T10" i="2"/>
  <c r="W10" i="2"/>
  <c r="X10" i="2"/>
  <c r="V10" i="2"/>
  <c r="U10" i="2"/>
  <c r="S10" i="2"/>
  <c r="CC11" i="2"/>
  <c r="CI10" i="2"/>
  <c r="CE10" i="2"/>
  <c r="CH10" i="2"/>
  <c r="CG10" i="2"/>
  <c r="CF10" i="2"/>
  <c r="CD10" i="2"/>
  <c r="BA11" i="2"/>
  <c r="BC10" i="2"/>
  <c r="BF10" i="2"/>
  <c r="BG10" i="2"/>
  <c r="BE10" i="2"/>
  <c r="BD10" i="2"/>
  <c r="BB10" i="2"/>
  <c r="AT11" i="2"/>
  <c r="AZ10" i="2"/>
  <c r="AV10" i="2"/>
  <c r="AY10" i="2"/>
  <c r="AX10" i="2"/>
  <c r="AW10" i="2"/>
  <c r="AU10" i="2"/>
  <c r="D11" i="2"/>
  <c r="F10" i="2"/>
  <c r="I10" i="2"/>
  <c r="J10" i="2"/>
  <c r="H10" i="2"/>
  <c r="G10" i="2"/>
  <c r="E10" i="2"/>
  <c r="BO11" i="2"/>
  <c r="BT10" i="2"/>
  <c r="BU10" i="2"/>
  <c r="BQ10" i="2"/>
  <c r="BS10" i="2"/>
  <c r="BR10" i="2"/>
  <c r="BP10" i="2"/>
  <c r="BH11" i="2"/>
  <c r="BJ10" i="2"/>
  <c r="BM10" i="2"/>
  <c r="BN10" i="2"/>
  <c r="BL10" i="2"/>
  <c r="BK10" i="2"/>
  <c r="BI10" i="2"/>
  <c r="K11" i="2"/>
  <c r="P10" i="2"/>
  <c r="Q10" i="2"/>
  <c r="M10" i="2"/>
  <c r="O10" i="2"/>
  <c r="N10" i="2"/>
  <c r="L10" i="2"/>
  <c r="BO12" i="2" l="1"/>
  <c r="BT11" i="2"/>
  <c r="BU11" i="2"/>
  <c r="BQ11" i="2"/>
  <c r="BS11" i="2"/>
  <c r="BR11" i="2"/>
  <c r="BP11" i="2"/>
  <c r="AF12" i="2"/>
  <c r="AL11" i="2"/>
  <c r="AH11" i="2"/>
  <c r="AK11" i="2"/>
  <c r="AJ11" i="2"/>
  <c r="AI11" i="2"/>
  <c r="AG11" i="2"/>
  <c r="K12" i="2"/>
  <c r="P11" i="2"/>
  <c r="Q11" i="2"/>
  <c r="M11" i="2"/>
  <c r="O11" i="2"/>
  <c r="N11" i="2"/>
  <c r="L11" i="2"/>
  <c r="AM12" i="2"/>
  <c r="AO11" i="2"/>
  <c r="AR11" i="2"/>
  <c r="AS11" i="2"/>
  <c r="AQ11" i="2"/>
  <c r="AP11" i="2"/>
  <c r="AN11" i="2"/>
  <c r="CC12" i="2"/>
  <c r="CH11" i="2"/>
  <c r="CI11" i="2"/>
  <c r="CE11" i="2"/>
  <c r="CG11" i="2"/>
  <c r="CF11" i="2"/>
  <c r="CD11" i="2"/>
  <c r="BH12" i="2"/>
  <c r="BN11" i="2"/>
  <c r="BJ11" i="2"/>
  <c r="BM11" i="2"/>
  <c r="BL11" i="2"/>
  <c r="BK11" i="2"/>
  <c r="BI11" i="2"/>
  <c r="BV12" i="2"/>
  <c r="BX11" i="2"/>
  <c r="CA11" i="2"/>
  <c r="CB11" i="2"/>
  <c r="BZ11" i="2"/>
  <c r="BY11" i="2"/>
  <c r="BW11" i="2"/>
  <c r="BA12" i="2"/>
  <c r="BC11" i="2"/>
  <c r="BF11" i="2"/>
  <c r="BG11" i="2"/>
  <c r="BE11" i="2"/>
  <c r="BD11" i="2"/>
  <c r="BB11" i="2"/>
  <c r="AT12" i="2"/>
  <c r="AY11" i="2"/>
  <c r="AZ11" i="2"/>
  <c r="AV11" i="2"/>
  <c r="AX11" i="2"/>
  <c r="AW11" i="2"/>
  <c r="AU11" i="2"/>
  <c r="R12" i="2"/>
  <c r="T11" i="2"/>
  <c r="W11" i="2"/>
  <c r="X11" i="2"/>
  <c r="V11" i="2"/>
  <c r="U11" i="2"/>
  <c r="S11" i="2"/>
  <c r="D12" i="2"/>
  <c r="F11" i="2"/>
  <c r="I11" i="2"/>
  <c r="J11" i="2"/>
  <c r="H11" i="2"/>
  <c r="G11" i="2"/>
  <c r="E11" i="2"/>
  <c r="Y12" i="2"/>
  <c r="AD11" i="2"/>
  <c r="AE11" i="2"/>
  <c r="AA11" i="2"/>
  <c r="AC11" i="2"/>
  <c r="AB11" i="2"/>
  <c r="Z11" i="2"/>
  <c r="AF13" i="2" l="1"/>
  <c r="AL12" i="2"/>
  <c r="AH12" i="2"/>
  <c r="AK12" i="2"/>
  <c r="AJ12" i="2"/>
  <c r="AI12" i="2"/>
  <c r="AG12" i="2"/>
  <c r="Y13" i="2"/>
  <c r="AD12" i="2"/>
  <c r="AA12" i="2"/>
  <c r="AE12" i="2"/>
  <c r="AC12" i="2"/>
  <c r="AB12" i="2"/>
  <c r="Z12" i="2"/>
  <c r="BH13" i="2"/>
  <c r="BN12" i="2"/>
  <c r="BJ12" i="2"/>
  <c r="BM12" i="2"/>
  <c r="BL12" i="2"/>
  <c r="BK12" i="2"/>
  <c r="BI12" i="2"/>
  <c r="R13" i="2"/>
  <c r="X12" i="2"/>
  <c r="T12" i="2"/>
  <c r="W12" i="2"/>
  <c r="V12" i="2"/>
  <c r="U12" i="2"/>
  <c r="S12" i="2"/>
  <c r="CC13" i="2"/>
  <c r="CH12" i="2"/>
  <c r="CE12" i="2"/>
  <c r="CI12" i="2"/>
  <c r="CG12" i="2"/>
  <c r="CF12" i="2"/>
  <c r="CD12" i="2"/>
  <c r="BV13" i="2"/>
  <c r="BX12" i="2"/>
  <c r="CA12" i="2"/>
  <c r="CB12" i="2"/>
  <c r="BZ12" i="2"/>
  <c r="BY12" i="2"/>
  <c r="BW12" i="2"/>
  <c r="BA13" i="2"/>
  <c r="BC12" i="2"/>
  <c r="BF12" i="2"/>
  <c r="BG12" i="2"/>
  <c r="BE12" i="2"/>
  <c r="BD12" i="2"/>
  <c r="BB12" i="2"/>
  <c r="D13" i="2"/>
  <c r="F12" i="2"/>
  <c r="I12" i="2"/>
  <c r="J12" i="2"/>
  <c r="H12" i="2"/>
  <c r="G12" i="2"/>
  <c r="E12" i="2"/>
  <c r="K13" i="2"/>
  <c r="M12" i="2"/>
  <c r="P12" i="2"/>
  <c r="Q12" i="2"/>
  <c r="O12" i="2"/>
  <c r="N12" i="2"/>
  <c r="L12" i="2"/>
  <c r="AM13" i="2"/>
  <c r="AS12" i="2"/>
  <c r="AO12" i="2"/>
  <c r="AR12" i="2"/>
  <c r="AQ12" i="2"/>
  <c r="AP12" i="2"/>
  <c r="AN12" i="2"/>
  <c r="AT13" i="2"/>
  <c r="AY12" i="2"/>
  <c r="AZ12" i="2"/>
  <c r="AV12" i="2"/>
  <c r="AX12" i="2"/>
  <c r="AW12" i="2"/>
  <c r="AU12" i="2"/>
  <c r="BO13" i="2"/>
  <c r="BQ12" i="2"/>
  <c r="BT12" i="2"/>
  <c r="BU12" i="2"/>
  <c r="BS12" i="2"/>
  <c r="BR12" i="2"/>
  <c r="BP12" i="2"/>
  <c r="AT14" i="2" l="1"/>
  <c r="AV13" i="2"/>
  <c r="AY13" i="2"/>
  <c r="AZ13" i="2"/>
  <c r="AX13" i="2"/>
  <c r="AW13" i="2"/>
  <c r="AU13" i="2"/>
  <c r="BV14" i="2"/>
  <c r="CB13" i="2"/>
  <c r="BX13" i="2"/>
  <c r="CA13" i="2"/>
  <c r="BZ13" i="2"/>
  <c r="BY13" i="2"/>
  <c r="BW13" i="2"/>
  <c r="CC14" i="2"/>
  <c r="CH13" i="2"/>
  <c r="CI13" i="2"/>
  <c r="CE13" i="2"/>
  <c r="CG13" i="2"/>
  <c r="CF13" i="2"/>
  <c r="CD13" i="2"/>
  <c r="BA14" i="2"/>
  <c r="BC13" i="2"/>
  <c r="BF13" i="2"/>
  <c r="BG13" i="2"/>
  <c r="BE13" i="2"/>
  <c r="BD13" i="2"/>
  <c r="BB13" i="2"/>
  <c r="AM14" i="2"/>
  <c r="AS13" i="2"/>
  <c r="AO13" i="2"/>
  <c r="AR13" i="2"/>
  <c r="AQ13" i="2"/>
  <c r="AP13" i="2"/>
  <c r="AN13" i="2"/>
  <c r="BH14" i="2"/>
  <c r="BM13" i="2"/>
  <c r="BN13" i="2"/>
  <c r="BJ13" i="2"/>
  <c r="BL13" i="2"/>
  <c r="BK13" i="2"/>
  <c r="BI13" i="2"/>
  <c r="R14" i="2"/>
  <c r="X13" i="2"/>
  <c r="W13" i="2"/>
  <c r="T13" i="2"/>
  <c r="V13" i="2"/>
  <c r="U13" i="2"/>
  <c r="S13" i="2"/>
  <c r="D14" i="2"/>
  <c r="J13" i="2"/>
  <c r="F13" i="2"/>
  <c r="I13" i="2"/>
  <c r="H13" i="2"/>
  <c r="G13" i="2"/>
  <c r="E13" i="2"/>
  <c r="Y14" i="2"/>
  <c r="AA13" i="2"/>
  <c r="AD13" i="2"/>
  <c r="AE13" i="2"/>
  <c r="AC13" i="2"/>
  <c r="AB13" i="2"/>
  <c r="Z13" i="2"/>
  <c r="BO14" i="2"/>
  <c r="BQ13" i="2"/>
  <c r="BT13" i="2"/>
  <c r="BU13" i="2"/>
  <c r="BS13" i="2"/>
  <c r="BR13" i="2"/>
  <c r="BP13" i="2"/>
  <c r="K14" i="2"/>
  <c r="M13" i="2"/>
  <c r="P13" i="2"/>
  <c r="Q13" i="2"/>
  <c r="O13" i="2"/>
  <c r="N13" i="2"/>
  <c r="L13" i="2"/>
  <c r="AF14" i="2"/>
  <c r="AK13" i="2"/>
  <c r="AL13" i="2"/>
  <c r="AH13" i="2"/>
  <c r="AJ13" i="2"/>
  <c r="AI13" i="2"/>
  <c r="AG13" i="2"/>
  <c r="BO15" i="2" l="1"/>
  <c r="BQ14" i="2"/>
  <c r="BT14" i="2"/>
  <c r="BU14" i="2"/>
  <c r="BS14" i="2"/>
  <c r="BR14" i="2"/>
  <c r="BP14" i="2"/>
  <c r="CC15" i="2"/>
  <c r="CE14" i="2"/>
  <c r="CH14" i="2"/>
  <c r="CI14" i="2"/>
  <c r="CG14" i="2"/>
  <c r="CF14" i="2"/>
  <c r="CD14" i="2"/>
  <c r="BA15" i="2"/>
  <c r="BG14" i="2"/>
  <c r="BC14" i="2"/>
  <c r="BF14" i="2"/>
  <c r="BE14" i="2"/>
  <c r="BD14" i="2"/>
  <c r="BB14" i="2"/>
  <c r="BH15" i="2"/>
  <c r="BM14" i="2"/>
  <c r="BN14" i="2"/>
  <c r="BJ14" i="2"/>
  <c r="BL14" i="2"/>
  <c r="BK14" i="2"/>
  <c r="BI14" i="2"/>
  <c r="K15" i="2"/>
  <c r="M14" i="2"/>
  <c r="Q14" i="2"/>
  <c r="P14" i="2"/>
  <c r="O14" i="2"/>
  <c r="N14" i="2"/>
  <c r="L14" i="2"/>
  <c r="R15" i="2"/>
  <c r="W14" i="2"/>
  <c r="X14" i="2"/>
  <c r="T14" i="2"/>
  <c r="V14" i="2"/>
  <c r="U14" i="2"/>
  <c r="S14" i="2"/>
  <c r="BV15" i="2"/>
  <c r="CB14" i="2"/>
  <c r="BX14" i="2"/>
  <c r="CA14" i="2"/>
  <c r="BZ14" i="2"/>
  <c r="BY14" i="2"/>
  <c r="BW14" i="2"/>
  <c r="AF15" i="2"/>
  <c r="AL14" i="2"/>
  <c r="AK14" i="2"/>
  <c r="AH14" i="2"/>
  <c r="AJ14" i="2"/>
  <c r="AI14" i="2"/>
  <c r="AG14" i="2"/>
  <c r="D15" i="2"/>
  <c r="J14" i="2"/>
  <c r="F14" i="2"/>
  <c r="I14" i="2"/>
  <c r="H14" i="2"/>
  <c r="G14" i="2"/>
  <c r="E14" i="2"/>
  <c r="AM15" i="2"/>
  <c r="AR14" i="2"/>
  <c r="AS14" i="2"/>
  <c r="AO14" i="2"/>
  <c r="AQ14" i="2"/>
  <c r="AP14" i="2"/>
  <c r="AN14" i="2"/>
  <c r="Y15" i="2"/>
  <c r="AA14" i="2"/>
  <c r="AD14" i="2"/>
  <c r="AE14" i="2"/>
  <c r="AC14" i="2"/>
  <c r="AB14" i="2"/>
  <c r="Z14" i="2"/>
  <c r="AT15" i="2"/>
  <c r="AV14" i="2"/>
  <c r="AY14" i="2"/>
  <c r="AZ14" i="2"/>
  <c r="AX14" i="2"/>
  <c r="AW14" i="2"/>
  <c r="AU14" i="2"/>
  <c r="CC16" i="2" l="1"/>
  <c r="CE15" i="2"/>
  <c r="CH15" i="2"/>
  <c r="CI15" i="2"/>
  <c r="CG15" i="2"/>
  <c r="CF15" i="2"/>
  <c r="CD15" i="2"/>
  <c r="BA16" i="2"/>
  <c r="BG15" i="2"/>
  <c r="BC15" i="2"/>
  <c r="BF15" i="2"/>
  <c r="BE15" i="2"/>
  <c r="BD15" i="2"/>
  <c r="BB15" i="2"/>
  <c r="BH16" i="2"/>
  <c r="BJ15" i="2"/>
  <c r="BM15" i="2"/>
  <c r="BN15" i="2"/>
  <c r="BL15" i="2"/>
  <c r="BK15" i="2"/>
  <c r="BI15" i="2"/>
  <c r="K16" i="2"/>
  <c r="Q15" i="2"/>
  <c r="M15" i="2"/>
  <c r="P15" i="2"/>
  <c r="O15" i="2"/>
  <c r="N15" i="2"/>
  <c r="L15" i="2"/>
  <c r="R16" i="2"/>
  <c r="T15" i="2"/>
  <c r="W15" i="2"/>
  <c r="X15" i="2"/>
  <c r="V15" i="2"/>
  <c r="U15" i="2"/>
  <c r="S15" i="2"/>
  <c r="AM16" i="2"/>
  <c r="AR15" i="2"/>
  <c r="AS15" i="2"/>
  <c r="AO15" i="2"/>
  <c r="AQ15" i="2"/>
  <c r="AP15" i="2"/>
  <c r="AN15" i="2"/>
  <c r="AT16" i="2"/>
  <c r="AV15" i="2"/>
  <c r="AY15" i="2"/>
  <c r="AZ15" i="2"/>
  <c r="AX15" i="2"/>
  <c r="AW15" i="2"/>
  <c r="AU15" i="2"/>
  <c r="BV16" i="2"/>
  <c r="CA15" i="2"/>
  <c r="CB15" i="2"/>
  <c r="BX15" i="2"/>
  <c r="BZ15" i="2"/>
  <c r="BY15" i="2"/>
  <c r="BW15" i="2"/>
  <c r="Y16" i="2"/>
  <c r="AA15" i="2"/>
  <c r="AD15" i="2"/>
  <c r="AE15" i="2"/>
  <c r="AC15" i="2"/>
  <c r="AB15" i="2"/>
  <c r="Z15" i="2"/>
  <c r="AF16" i="2"/>
  <c r="AG16" i="2" s="1"/>
  <c r="AH15" i="2"/>
  <c r="AK15" i="2"/>
  <c r="AL15" i="2"/>
  <c r="AJ15" i="2"/>
  <c r="AI15" i="2"/>
  <c r="AG15" i="2"/>
  <c r="D16" i="2"/>
  <c r="J15" i="2"/>
  <c r="F15" i="2"/>
  <c r="I15" i="2"/>
  <c r="H15" i="2"/>
  <c r="G15" i="2"/>
  <c r="E15" i="2"/>
  <c r="BO16" i="2"/>
  <c r="BQ15" i="2"/>
  <c r="BT15" i="2"/>
  <c r="BU15" i="2"/>
  <c r="BS15" i="2"/>
  <c r="BR15" i="2"/>
  <c r="BP15" i="2"/>
  <c r="AF17" i="2" l="1"/>
  <c r="AH16" i="2"/>
  <c r="AK16" i="2"/>
  <c r="AL16" i="2"/>
  <c r="AJ16" i="2"/>
  <c r="AI16" i="2"/>
  <c r="BH17" i="2"/>
  <c r="BJ16" i="2"/>
  <c r="BM16" i="2"/>
  <c r="BN16" i="2"/>
  <c r="BL16" i="2"/>
  <c r="BK16" i="2"/>
  <c r="BI16" i="2"/>
  <c r="R17" i="2"/>
  <c r="T16" i="2"/>
  <c r="W16" i="2"/>
  <c r="X16" i="2"/>
  <c r="V16" i="2"/>
  <c r="U16" i="2"/>
  <c r="S16" i="2"/>
  <c r="AM17" i="2"/>
  <c r="AO16" i="2"/>
  <c r="AR16" i="2"/>
  <c r="AS16" i="2"/>
  <c r="AQ16" i="2"/>
  <c r="AP16" i="2"/>
  <c r="AN16" i="2"/>
  <c r="BA17" i="2"/>
  <c r="BF16" i="2"/>
  <c r="BG16" i="2"/>
  <c r="BC16" i="2"/>
  <c r="BE16" i="2"/>
  <c r="BD16" i="2"/>
  <c r="BB16" i="2"/>
  <c r="BO17" i="2"/>
  <c r="BU16" i="2"/>
  <c r="BQ16" i="2"/>
  <c r="BT16" i="2"/>
  <c r="BS16" i="2"/>
  <c r="BR16" i="2"/>
  <c r="BP16" i="2"/>
  <c r="AT17" i="2"/>
  <c r="AV16" i="2"/>
  <c r="AY16" i="2"/>
  <c r="AZ16" i="2"/>
  <c r="AX16" i="2"/>
  <c r="AW16" i="2"/>
  <c r="AU16" i="2"/>
  <c r="D17" i="2"/>
  <c r="I16" i="2"/>
  <c r="J16" i="2"/>
  <c r="F16" i="2"/>
  <c r="H16" i="2"/>
  <c r="G16" i="2"/>
  <c r="E16" i="2"/>
  <c r="K17" i="2"/>
  <c r="Q16" i="2"/>
  <c r="M16" i="2"/>
  <c r="P16" i="2"/>
  <c r="O16" i="2"/>
  <c r="N16" i="2"/>
  <c r="L16" i="2"/>
  <c r="BV17" i="2"/>
  <c r="CA16" i="2"/>
  <c r="CB16" i="2"/>
  <c r="BX16" i="2"/>
  <c r="BZ16" i="2"/>
  <c r="BY16" i="2"/>
  <c r="BW16" i="2"/>
  <c r="Y17" i="2"/>
  <c r="AE16" i="2"/>
  <c r="AA16" i="2"/>
  <c r="AD16" i="2"/>
  <c r="AC16" i="2"/>
  <c r="AB16" i="2"/>
  <c r="Z16" i="2"/>
  <c r="CC17" i="2"/>
  <c r="CE16" i="2"/>
  <c r="CH16" i="2"/>
  <c r="CI16" i="2"/>
  <c r="CG16" i="2"/>
  <c r="CF16" i="2"/>
  <c r="CD16" i="2"/>
  <c r="Y18" i="2" l="1"/>
  <c r="AE17" i="2"/>
  <c r="AA17" i="2"/>
  <c r="AD17" i="2"/>
  <c r="AC17" i="2"/>
  <c r="AB17" i="2"/>
  <c r="Z17" i="2"/>
  <c r="R18" i="2"/>
  <c r="T17" i="2"/>
  <c r="W17" i="2"/>
  <c r="X17" i="2"/>
  <c r="V17" i="2"/>
  <c r="U17" i="2"/>
  <c r="S17" i="2"/>
  <c r="BO18" i="2"/>
  <c r="BU17" i="2"/>
  <c r="BQ17" i="2"/>
  <c r="BT17" i="2"/>
  <c r="BS17" i="2"/>
  <c r="BR17" i="2"/>
  <c r="BP17" i="2"/>
  <c r="BH18" i="2"/>
  <c r="BJ17" i="2"/>
  <c r="BM17" i="2"/>
  <c r="BN17" i="2"/>
  <c r="BL17" i="2"/>
  <c r="BK17" i="2"/>
  <c r="BI17" i="2"/>
  <c r="CC18" i="2"/>
  <c r="CI17" i="2"/>
  <c r="CE17" i="2"/>
  <c r="CH17" i="2"/>
  <c r="CG17" i="2"/>
  <c r="CF17" i="2"/>
  <c r="CD17" i="2"/>
  <c r="AT18" i="2"/>
  <c r="AZ17" i="2"/>
  <c r="AV17" i="2"/>
  <c r="AY17" i="2"/>
  <c r="AX17" i="2"/>
  <c r="AW17" i="2"/>
  <c r="AU17" i="2"/>
  <c r="D18" i="2"/>
  <c r="I17" i="2"/>
  <c r="F17" i="2"/>
  <c r="J17" i="2"/>
  <c r="H17" i="2"/>
  <c r="G17" i="2"/>
  <c r="E17" i="2"/>
  <c r="BV18" i="2"/>
  <c r="BX17" i="2"/>
  <c r="CA17" i="2"/>
  <c r="CB17" i="2"/>
  <c r="BZ17" i="2"/>
  <c r="BY17" i="2"/>
  <c r="BW17" i="2"/>
  <c r="AM18" i="2"/>
  <c r="AO17" i="2"/>
  <c r="AR17" i="2"/>
  <c r="AS17" i="2"/>
  <c r="AQ17" i="2"/>
  <c r="AP17" i="2"/>
  <c r="AN17" i="2"/>
  <c r="BA18" i="2"/>
  <c r="BF17" i="2"/>
  <c r="BG17" i="2"/>
  <c r="BC17" i="2"/>
  <c r="BE17" i="2"/>
  <c r="BD17" i="2"/>
  <c r="BB17" i="2"/>
  <c r="K18" i="2"/>
  <c r="P17" i="2"/>
  <c r="Q17" i="2"/>
  <c r="M17" i="2"/>
  <c r="O17" i="2"/>
  <c r="N17" i="2"/>
  <c r="L17" i="2"/>
  <c r="AF18" i="2"/>
  <c r="AL17" i="2"/>
  <c r="AH17" i="2"/>
  <c r="AK17" i="2"/>
  <c r="AJ17" i="2"/>
  <c r="AI17" i="2"/>
  <c r="AG17" i="2"/>
  <c r="R19" i="2" l="1"/>
  <c r="T18" i="2"/>
  <c r="W18" i="2"/>
  <c r="X18" i="2"/>
  <c r="V18" i="2"/>
  <c r="U18" i="2"/>
  <c r="S18" i="2"/>
  <c r="AF19" i="2"/>
  <c r="AL18" i="2"/>
  <c r="AH18" i="2"/>
  <c r="AK18" i="2"/>
  <c r="AJ18" i="2"/>
  <c r="AI18" i="2"/>
  <c r="AG18" i="2"/>
  <c r="BH19" i="2"/>
  <c r="BJ18" i="2"/>
  <c r="BM18" i="2"/>
  <c r="BN18" i="2"/>
  <c r="BL18" i="2"/>
  <c r="BK18" i="2"/>
  <c r="BI18" i="2"/>
  <c r="AT19" i="2"/>
  <c r="AZ18" i="2"/>
  <c r="AV18" i="2"/>
  <c r="AY18" i="2"/>
  <c r="AX18" i="2"/>
  <c r="AW18" i="2"/>
  <c r="AU18" i="2"/>
  <c r="BA19" i="2"/>
  <c r="BC18" i="2"/>
  <c r="BF18" i="2"/>
  <c r="BG18" i="2"/>
  <c r="BE18" i="2"/>
  <c r="BD18" i="2"/>
  <c r="BB18" i="2"/>
  <c r="BO19" i="2"/>
  <c r="BT18" i="2"/>
  <c r="BU18" i="2"/>
  <c r="BQ18" i="2"/>
  <c r="BS18" i="2"/>
  <c r="BR18" i="2"/>
  <c r="BP18" i="2"/>
  <c r="D19" i="2"/>
  <c r="I18" i="2"/>
  <c r="F18" i="2"/>
  <c r="J18" i="2"/>
  <c r="H18" i="2"/>
  <c r="G18" i="2"/>
  <c r="E18" i="2"/>
  <c r="BV19" i="2"/>
  <c r="BX18" i="2"/>
  <c r="CA18" i="2"/>
  <c r="CB18" i="2"/>
  <c r="BZ18" i="2"/>
  <c r="BY18" i="2"/>
  <c r="BW18" i="2"/>
  <c r="K19" i="2"/>
  <c r="O19" i="2" s="1"/>
  <c r="P18" i="2"/>
  <c r="Q18" i="2"/>
  <c r="M18" i="2"/>
  <c r="O18" i="2"/>
  <c r="N18" i="2"/>
  <c r="L18" i="2"/>
  <c r="CC19" i="2"/>
  <c r="CI18" i="2"/>
  <c r="CE18" i="2"/>
  <c r="CH18" i="2"/>
  <c r="CG18" i="2"/>
  <c r="CF18" i="2"/>
  <c r="CD18" i="2"/>
  <c r="AM19" i="2"/>
  <c r="AO18" i="2"/>
  <c r="AR18" i="2"/>
  <c r="AS18" i="2"/>
  <c r="AQ18" i="2"/>
  <c r="AP18" i="2"/>
  <c r="AN18" i="2"/>
  <c r="Y19" i="2"/>
  <c r="AE18" i="2"/>
  <c r="AA18" i="2"/>
  <c r="AD18" i="2"/>
  <c r="AC18" i="2"/>
  <c r="AB18" i="2"/>
  <c r="Z18" i="2"/>
  <c r="I19" i="2" l="1"/>
  <c r="J19" i="2"/>
  <c r="E19" i="2"/>
  <c r="G19" i="2"/>
  <c r="F19" i="2"/>
  <c r="S19" i="2"/>
  <c r="U19" i="2"/>
  <c r="V19" i="2"/>
  <c r="T19" i="2"/>
  <c r="AM20" i="2"/>
  <c r="AO19" i="2"/>
  <c r="AR19" i="2"/>
  <c r="AS19" i="2"/>
  <c r="AQ19" i="2"/>
  <c r="AP19" i="2"/>
  <c r="AN19" i="2"/>
  <c r="AT20" i="2"/>
  <c r="AY19" i="2"/>
  <c r="AZ19" i="2"/>
  <c r="AV19" i="2"/>
  <c r="AX19" i="2"/>
  <c r="AW19" i="2"/>
  <c r="AU19" i="2"/>
  <c r="BO20" i="2"/>
  <c r="BT19" i="2"/>
  <c r="BU19" i="2"/>
  <c r="BQ19" i="2"/>
  <c r="BS19" i="2"/>
  <c r="BR19" i="2"/>
  <c r="BP19" i="2"/>
  <c r="BA20" i="2"/>
  <c r="BC19" i="2"/>
  <c r="BF19" i="2"/>
  <c r="BG19" i="2"/>
  <c r="BE19" i="2"/>
  <c r="BD19" i="2"/>
  <c r="BB19" i="2"/>
  <c r="D20" i="2"/>
  <c r="CC20" i="2"/>
  <c r="CH19" i="2"/>
  <c r="CI19" i="2"/>
  <c r="CE19" i="2"/>
  <c r="CG19" i="2"/>
  <c r="CF19" i="2"/>
  <c r="CD19" i="2"/>
  <c r="AF20" i="2"/>
  <c r="AL19" i="2"/>
  <c r="AH19" i="2"/>
  <c r="AK19" i="2"/>
  <c r="AJ19" i="2"/>
  <c r="AI19" i="2"/>
  <c r="AG19" i="2"/>
  <c r="Y20" i="2"/>
  <c r="AD19" i="2"/>
  <c r="AE19" i="2"/>
  <c r="AA19" i="2"/>
  <c r="AC19" i="2"/>
  <c r="AB19" i="2"/>
  <c r="Z19" i="2"/>
  <c r="BV20" i="2"/>
  <c r="BX19" i="2"/>
  <c r="CA19" i="2"/>
  <c r="CB19" i="2"/>
  <c r="BZ19" i="2"/>
  <c r="BY19" i="2"/>
  <c r="BW19" i="2"/>
  <c r="BH20" i="2"/>
  <c r="BN19" i="2"/>
  <c r="BJ19" i="2"/>
  <c r="BM19" i="2"/>
  <c r="BL19" i="2"/>
  <c r="BK19" i="2"/>
  <c r="BI19" i="2"/>
  <c r="K20" i="2"/>
  <c r="P19" i="2"/>
  <c r="Q19" i="2"/>
  <c r="M19" i="2"/>
  <c r="N19" i="2"/>
  <c r="L19" i="2"/>
  <c r="R20" i="2"/>
  <c r="X19" i="2"/>
  <c r="W19" i="2"/>
  <c r="K21" i="2" l="1"/>
  <c r="P20" i="2"/>
  <c r="M20" i="2"/>
  <c r="Q20" i="2"/>
  <c r="O20" i="2"/>
  <c r="N20" i="2"/>
  <c r="L20" i="2"/>
  <c r="BA21" i="2"/>
  <c r="BC20" i="2"/>
  <c r="BF20" i="2"/>
  <c r="BG20" i="2"/>
  <c r="BE20" i="2"/>
  <c r="BD20" i="2"/>
  <c r="BB20" i="2"/>
  <c r="CC21" i="2"/>
  <c r="CH20" i="2"/>
  <c r="CI20" i="2"/>
  <c r="CE20" i="2"/>
  <c r="CG20" i="2"/>
  <c r="CF20" i="2"/>
  <c r="CD20" i="2"/>
  <c r="AT21" i="2"/>
  <c r="AY20" i="2"/>
  <c r="AZ20" i="2"/>
  <c r="AV20" i="2"/>
  <c r="AX20" i="2"/>
  <c r="AW20" i="2"/>
  <c r="AU20" i="2"/>
  <c r="R21" i="2"/>
  <c r="X20" i="2"/>
  <c r="T20" i="2"/>
  <c r="W20" i="2"/>
  <c r="V20" i="2"/>
  <c r="U20" i="2"/>
  <c r="S20" i="2"/>
  <c r="D21" i="2"/>
  <c r="F20" i="2"/>
  <c r="I20" i="2"/>
  <c r="J20" i="2"/>
  <c r="H20" i="2"/>
  <c r="G20" i="2"/>
  <c r="E20" i="2"/>
  <c r="AF21" i="2"/>
  <c r="AL20" i="2"/>
  <c r="AH20" i="2"/>
  <c r="AK20" i="2"/>
  <c r="AJ20" i="2"/>
  <c r="AI20" i="2"/>
  <c r="AG20" i="2"/>
  <c r="BH21" i="2"/>
  <c r="BN20" i="2"/>
  <c r="BJ20" i="2"/>
  <c r="BM20" i="2"/>
  <c r="BL20" i="2"/>
  <c r="BK20" i="2"/>
  <c r="BI20" i="2"/>
  <c r="BO21" i="2"/>
  <c r="BQ20" i="2"/>
  <c r="BT20" i="2"/>
  <c r="BU20" i="2"/>
  <c r="BS20" i="2"/>
  <c r="BR20" i="2"/>
  <c r="BP20" i="2"/>
  <c r="Y21" i="2"/>
  <c r="AD20" i="2"/>
  <c r="AE20" i="2"/>
  <c r="AA20" i="2"/>
  <c r="AC20" i="2"/>
  <c r="AB20" i="2"/>
  <c r="Z20" i="2"/>
  <c r="BV21" i="2"/>
  <c r="BX20" i="2"/>
  <c r="CA20" i="2"/>
  <c r="CB20" i="2"/>
  <c r="BZ20" i="2"/>
  <c r="BY20" i="2"/>
  <c r="BW20" i="2"/>
  <c r="AM21" i="2"/>
  <c r="AS20" i="2"/>
  <c r="AO20" i="2"/>
  <c r="AR20" i="2"/>
  <c r="AQ20" i="2"/>
  <c r="AP20" i="2"/>
  <c r="AN20" i="2"/>
  <c r="Y22" i="2" l="1"/>
  <c r="AA21" i="2"/>
  <c r="AD21" i="2"/>
  <c r="AE21" i="2"/>
  <c r="AC21" i="2"/>
  <c r="AB21" i="2"/>
  <c r="Z21" i="2"/>
  <c r="D22" i="2"/>
  <c r="J21" i="2"/>
  <c r="F21" i="2"/>
  <c r="I21" i="2"/>
  <c r="H21" i="2"/>
  <c r="G21" i="2"/>
  <c r="E21" i="2"/>
  <c r="BA22" i="2"/>
  <c r="BC21" i="2"/>
  <c r="BF21" i="2"/>
  <c r="BG21" i="2"/>
  <c r="BE21" i="2"/>
  <c r="BD21" i="2"/>
  <c r="BB21" i="2"/>
  <c r="AM22" i="2"/>
  <c r="AS21" i="2"/>
  <c r="AO21" i="2"/>
  <c r="AR21" i="2"/>
  <c r="AQ21" i="2"/>
  <c r="AP21" i="2"/>
  <c r="AN21" i="2"/>
  <c r="AF22" i="2"/>
  <c r="AK21" i="2"/>
  <c r="AL21" i="2"/>
  <c r="AH21" i="2"/>
  <c r="AJ21" i="2"/>
  <c r="AI21" i="2"/>
  <c r="AG21" i="2"/>
  <c r="CC22" i="2"/>
  <c r="CH21" i="2"/>
  <c r="CI21" i="2"/>
  <c r="CE21" i="2"/>
  <c r="CG21" i="2"/>
  <c r="CF21" i="2"/>
  <c r="CD21" i="2"/>
  <c r="AT22" i="2"/>
  <c r="AV21" i="2"/>
  <c r="AY21" i="2"/>
  <c r="AZ21" i="2"/>
  <c r="AX21" i="2"/>
  <c r="AW21" i="2"/>
  <c r="AU21" i="2"/>
  <c r="R22" i="2"/>
  <c r="X21" i="2"/>
  <c r="W21" i="2"/>
  <c r="T21" i="2"/>
  <c r="V21" i="2"/>
  <c r="U21" i="2"/>
  <c r="S21" i="2"/>
  <c r="BH22" i="2"/>
  <c r="BM21" i="2"/>
  <c r="BN21" i="2"/>
  <c r="BJ21" i="2"/>
  <c r="BL21" i="2"/>
  <c r="BK21" i="2"/>
  <c r="BI21" i="2"/>
  <c r="BV22" i="2"/>
  <c r="CB21" i="2"/>
  <c r="BX21" i="2"/>
  <c r="CA21" i="2"/>
  <c r="BZ21" i="2"/>
  <c r="BY21" i="2"/>
  <c r="BW21" i="2"/>
  <c r="BO22" i="2"/>
  <c r="BQ21" i="2"/>
  <c r="BT21" i="2"/>
  <c r="BU21" i="2"/>
  <c r="BS21" i="2"/>
  <c r="BR21" i="2"/>
  <c r="BP21" i="2"/>
  <c r="K22" i="2"/>
  <c r="M21" i="2"/>
  <c r="P21" i="2"/>
  <c r="Q21" i="2"/>
  <c r="O21" i="2"/>
  <c r="N21" i="2"/>
  <c r="L21" i="2"/>
  <c r="G22" i="2" l="1"/>
  <c r="H22" i="2"/>
  <c r="E22" i="2"/>
  <c r="F22" i="2"/>
  <c r="D23" i="2"/>
  <c r="J22" i="2"/>
  <c r="I22" i="2"/>
  <c r="K23" i="2"/>
  <c r="M22" i="2"/>
  <c r="P22" i="2"/>
  <c r="Q22" i="2"/>
  <c r="O22" i="2"/>
  <c r="N22" i="2"/>
  <c r="L22" i="2"/>
  <c r="AM23" i="2"/>
  <c r="AR22" i="2"/>
  <c r="AS22" i="2"/>
  <c r="AO22" i="2"/>
  <c r="AQ22" i="2"/>
  <c r="AP22" i="2"/>
  <c r="AN22" i="2"/>
  <c r="AF23" i="2"/>
  <c r="AL22" i="2"/>
  <c r="AK22" i="2"/>
  <c r="AH22" i="2"/>
  <c r="AJ22" i="2"/>
  <c r="AI22" i="2"/>
  <c r="AG22" i="2"/>
  <c r="CC23" i="2"/>
  <c r="CE22" i="2"/>
  <c r="CH22" i="2"/>
  <c r="CI22" i="2"/>
  <c r="CG22" i="2"/>
  <c r="CF22" i="2"/>
  <c r="CD22" i="2"/>
  <c r="BA23" i="2"/>
  <c r="BG22" i="2"/>
  <c r="BC22" i="2"/>
  <c r="BF22" i="2"/>
  <c r="BE22" i="2"/>
  <c r="BD22" i="2"/>
  <c r="BB22" i="2"/>
  <c r="AT23" i="2"/>
  <c r="AV22" i="2"/>
  <c r="AY22" i="2"/>
  <c r="AZ22" i="2"/>
  <c r="AX22" i="2"/>
  <c r="AW22" i="2"/>
  <c r="AU22" i="2"/>
  <c r="BV23" i="2"/>
  <c r="CB22" i="2"/>
  <c r="BX22" i="2"/>
  <c r="CA22" i="2"/>
  <c r="BZ22" i="2"/>
  <c r="BY22" i="2"/>
  <c r="BW22" i="2"/>
  <c r="R23" i="2"/>
  <c r="W22" i="2"/>
  <c r="X22" i="2"/>
  <c r="T22" i="2"/>
  <c r="V22" i="2"/>
  <c r="U22" i="2"/>
  <c r="S22" i="2"/>
  <c r="BO23" i="2"/>
  <c r="BQ22" i="2"/>
  <c r="BT22" i="2"/>
  <c r="BU22" i="2"/>
  <c r="BS22" i="2"/>
  <c r="BR22" i="2"/>
  <c r="BP22" i="2"/>
  <c r="BH23" i="2"/>
  <c r="BM22" i="2"/>
  <c r="BN22" i="2"/>
  <c r="BJ22" i="2"/>
  <c r="BL22" i="2"/>
  <c r="BK22" i="2"/>
  <c r="BI22" i="2"/>
  <c r="Y23" i="2"/>
  <c r="AA22" i="2"/>
  <c r="AD22" i="2"/>
  <c r="AE22" i="2"/>
  <c r="AC22" i="2"/>
  <c r="AB22" i="2"/>
  <c r="Z22" i="2"/>
  <c r="AM24" i="2" l="1"/>
  <c r="AR23" i="2"/>
  <c r="AS23" i="2"/>
  <c r="AO23" i="2"/>
  <c r="AQ23" i="2"/>
  <c r="AP23" i="2"/>
  <c r="AN23" i="2"/>
  <c r="AF24" i="2"/>
  <c r="AH23" i="2"/>
  <c r="AK23" i="2"/>
  <c r="AL23" i="2"/>
  <c r="AJ23" i="2"/>
  <c r="AI23" i="2"/>
  <c r="AG23" i="2"/>
  <c r="BA24" i="2"/>
  <c r="BG23" i="2"/>
  <c r="BC23" i="2"/>
  <c r="BF23" i="2"/>
  <c r="BE23" i="2"/>
  <c r="BD23" i="2"/>
  <c r="BB23" i="2"/>
  <c r="BO24" i="2"/>
  <c r="BQ23" i="2"/>
  <c r="BT23" i="2"/>
  <c r="BU23" i="2"/>
  <c r="BS23" i="2"/>
  <c r="BR23" i="2"/>
  <c r="BP23" i="2"/>
  <c r="BH24" i="2"/>
  <c r="BJ23" i="2"/>
  <c r="BM23" i="2"/>
  <c r="BN23" i="2"/>
  <c r="BL23" i="2"/>
  <c r="BK23" i="2"/>
  <c r="BI23" i="2"/>
  <c r="AT24" i="2"/>
  <c r="AV23" i="2"/>
  <c r="AY23" i="2"/>
  <c r="AZ23" i="2"/>
  <c r="AX23" i="2"/>
  <c r="AW23" i="2"/>
  <c r="AU23" i="2"/>
  <c r="K24" i="2"/>
  <c r="Q23" i="2"/>
  <c r="M23" i="2"/>
  <c r="P23" i="2"/>
  <c r="O23" i="2"/>
  <c r="N23" i="2"/>
  <c r="L23" i="2"/>
  <c r="Y24" i="2"/>
  <c r="AA23" i="2"/>
  <c r="AD23" i="2"/>
  <c r="AE23" i="2"/>
  <c r="AC23" i="2"/>
  <c r="AB23" i="2"/>
  <c r="Z23" i="2"/>
  <c r="BV24" i="2"/>
  <c r="CA23" i="2"/>
  <c r="CB23" i="2"/>
  <c r="BX23" i="2"/>
  <c r="BZ23" i="2"/>
  <c r="BY23" i="2"/>
  <c r="BW23" i="2"/>
  <c r="CC24" i="2"/>
  <c r="CE23" i="2"/>
  <c r="CH23" i="2"/>
  <c r="CI23" i="2"/>
  <c r="CG23" i="2"/>
  <c r="CF23" i="2"/>
  <c r="CD23" i="2"/>
  <c r="R24" i="2"/>
  <c r="W23" i="2"/>
  <c r="X23" i="2"/>
  <c r="T23" i="2"/>
  <c r="V23" i="2"/>
  <c r="U23" i="2"/>
  <c r="S23" i="2"/>
  <c r="D24" i="2"/>
  <c r="I23" i="2"/>
  <c r="J23" i="2"/>
  <c r="F23" i="2"/>
  <c r="H23" i="2"/>
  <c r="G23" i="2"/>
  <c r="E23" i="2"/>
  <c r="CC25" i="2" l="1"/>
  <c r="CE24" i="2"/>
  <c r="CH24" i="2"/>
  <c r="CI24" i="2"/>
  <c r="CG24" i="2"/>
  <c r="CF24" i="2"/>
  <c r="CD24" i="2"/>
  <c r="AT25" i="2"/>
  <c r="AV24" i="2"/>
  <c r="AY24" i="2"/>
  <c r="AZ24" i="2"/>
  <c r="AX24" i="2"/>
  <c r="AW24" i="2"/>
  <c r="AU24" i="2"/>
  <c r="R25" i="2"/>
  <c r="T24" i="2"/>
  <c r="W24" i="2"/>
  <c r="X24" i="2"/>
  <c r="V24" i="2"/>
  <c r="U24" i="2"/>
  <c r="S24" i="2"/>
  <c r="BA25" i="2"/>
  <c r="BF24" i="2"/>
  <c r="BG24" i="2"/>
  <c r="BC24" i="2"/>
  <c r="BE24" i="2"/>
  <c r="BD24" i="2"/>
  <c r="BB24" i="2"/>
  <c r="BO25" i="2"/>
  <c r="BU24" i="2"/>
  <c r="BQ24" i="2"/>
  <c r="BT24" i="2"/>
  <c r="BS24" i="2"/>
  <c r="BR24" i="2"/>
  <c r="BP24" i="2"/>
  <c r="K25" i="2"/>
  <c r="Q24" i="2"/>
  <c r="M24" i="2"/>
  <c r="P24" i="2"/>
  <c r="O24" i="2"/>
  <c r="N24" i="2"/>
  <c r="L24" i="2"/>
  <c r="BH25" i="2"/>
  <c r="BJ24" i="2"/>
  <c r="BM24" i="2"/>
  <c r="BN24" i="2"/>
  <c r="BL24" i="2"/>
  <c r="BK24" i="2"/>
  <c r="BI24" i="2"/>
  <c r="Y25" i="2"/>
  <c r="AA24" i="2"/>
  <c r="AE24" i="2"/>
  <c r="AD24" i="2"/>
  <c r="AC24" i="2"/>
  <c r="AB24" i="2"/>
  <c r="Z24" i="2"/>
  <c r="AF25" i="2"/>
  <c r="AH24" i="2"/>
  <c r="AK24" i="2"/>
  <c r="AL24" i="2"/>
  <c r="AJ24" i="2"/>
  <c r="AI24" i="2"/>
  <c r="AG24" i="2"/>
  <c r="D25" i="2"/>
  <c r="I24" i="2"/>
  <c r="J24" i="2"/>
  <c r="F24" i="2"/>
  <c r="H24" i="2"/>
  <c r="G24" i="2"/>
  <c r="E24" i="2"/>
  <c r="BV25" i="2"/>
  <c r="CA24" i="2"/>
  <c r="CB24" i="2"/>
  <c r="BX24" i="2"/>
  <c r="BZ24" i="2"/>
  <c r="BY24" i="2"/>
  <c r="BW24" i="2"/>
  <c r="AM25" i="2"/>
  <c r="AO24" i="2"/>
  <c r="AR24" i="2"/>
  <c r="AS24" i="2"/>
  <c r="AQ24" i="2"/>
  <c r="AP24" i="2"/>
  <c r="AN24" i="2"/>
  <c r="BV26" i="2" l="1"/>
  <c r="BX25" i="2"/>
  <c r="CA25" i="2"/>
  <c r="CB25" i="2"/>
  <c r="BZ25" i="2"/>
  <c r="BY25" i="2"/>
  <c r="BW25" i="2"/>
  <c r="BO26" i="2"/>
  <c r="BU25" i="2"/>
  <c r="BQ25" i="2"/>
  <c r="BT25" i="2"/>
  <c r="BS25" i="2"/>
  <c r="BR25" i="2"/>
  <c r="BP25" i="2"/>
  <c r="K26" i="2"/>
  <c r="P25" i="2"/>
  <c r="Q25" i="2"/>
  <c r="M25" i="2"/>
  <c r="O25" i="2"/>
  <c r="N25" i="2"/>
  <c r="L25" i="2"/>
  <c r="R26" i="2"/>
  <c r="T25" i="2"/>
  <c r="W25" i="2"/>
  <c r="X25" i="2"/>
  <c r="V25" i="2"/>
  <c r="U25" i="2"/>
  <c r="S25" i="2"/>
  <c r="BA26" i="2"/>
  <c r="BF25" i="2"/>
  <c r="BG25" i="2"/>
  <c r="BC25" i="2"/>
  <c r="BE25" i="2"/>
  <c r="BD25" i="2"/>
  <c r="BB25" i="2"/>
  <c r="BH26" i="2"/>
  <c r="BJ25" i="2"/>
  <c r="BM25" i="2"/>
  <c r="BN25" i="2"/>
  <c r="BL25" i="2"/>
  <c r="BK25" i="2"/>
  <c r="BI25" i="2"/>
  <c r="Y26" i="2"/>
  <c r="AE25" i="2"/>
  <c r="AA25" i="2"/>
  <c r="AD25" i="2"/>
  <c r="AC25" i="2"/>
  <c r="AB25" i="2"/>
  <c r="Z25" i="2"/>
  <c r="D26" i="2"/>
  <c r="I25" i="2"/>
  <c r="J25" i="2"/>
  <c r="F25" i="2"/>
  <c r="H25" i="2"/>
  <c r="G25" i="2"/>
  <c r="E25" i="2"/>
  <c r="AT26" i="2"/>
  <c r="AZ25" i="2"/>
  <c r="AV25" i="2"/>
  <c r="AY25" i="2"/>
  <c r="AX25" i="2"/>
  <c r="AW25" i="2"/>
  <c r="AU25" i="2"/>
  <c r="AM26" i="2"/>
  <c r="AO25" i="2"/>
  <c r="AR25" i="2"/>
  <c r="AS25" i="2"/>
  <c r="AQ25" i="2"/>
  <c r="AP25" i="2"/>
  <c r="AN25" i="2"/>
  <c r="AF26" i="2"/>
  <c r="AH25" i="2"/>
  <c r="AK25" i="2"/>
  <c r="AL25" i="2"/>
  <c r="AJ25" i="2"/>
  <c r="AI25" i="2"/>
  <c r="AG25" i="2"/>
  <c r="CC26" i="2"/>
  <c r="CI25" i="2"/>
  <c r="CE25" i="2"/>
  <c r="CH25" i="2"/>
  <c r="CG25" i="2"/>
  <c r="CF25" i="2"/>
  <c r="CD25" i="2"/>
  <c r="K27" i="2" l="1"/>
  <c r="P26" i="2"/>
  <c r="Q26" i="2"/>
  <c r="M26" i="2"/>
  <c r="O26" i="2"/>
  <c r="N26" i="2"/>
  <c r="L26" i="2"/>
  <c r="BH27" i="2"/>
  <c r="BJ26" i="2"/>
  <c r="BM26" i="2"/>
  <c r="BN26" i="2"/>
  <c r="BL26" i="2"/>
  <c r="BK26" i="2"/>
  <c r="BI26" i="2"/>
  <c r="AM27" i="2"/>
  <c r="AO26" i="2"/>
  <c r="AR26" i="2"/>
  <c r="AS26" i="2"/>
  <c r="AQ26" i="2"/>
  <c r="AP26" i="2"/>
  <c r="AN26" i="2"/>
  <c r="BO27" i="2"/>
  <c r="BT26" i="2"/>
  <c r="BU26" i="2"/>
  <c r="BQ26" i="2"/>
  <c r="BS26" i="2"/>
  <c r="BR26" i="2"/>
  <c r="BP26" i="2"/>
  <c r="Y27" i="2"/>
  <c r="AE26" i="2"/>
  <c r="AA26" i="2"/>
  <c r="AD26" i="2"/>
  <c r="AC26" i="2"/>
  <c r="AB26" i="2"/>
  <c r="Z26" i="2"/>
  <c r="R27" i="2"/>
  <c r="T26" i="2"/>
  <c r="W26" i="2"/>
  <c r="X26" i="2"/>
  <c r="V26" i="2"/>
  <c r="U26" i="2"/>
  <c r="S26" i="2"/>
  <c r="BA27" i="2"/>
  <c r="BC26" i="2"/>
  <c r="BF26" i="2"/>
  <c r="BG26" i="2"/>
  <c r="BE26" i="2"/>
  <c r="BD26" i="2"/>
  <c r="BB26" i="2"/>
  <c r="AF27" i="2"/>
  <c r="AH26" i="2"/>
  <c r="AK26" i="2"/>
  <c r="AL26" i="2"/>
  <c r="AJ26" i="2"/>
  <c r="AI26" i="2"/>
  <c r="AG26" i="2"/>
  <c r="CC27" i="2"/>
  <c r="CI26" i="2"/>
  <c r="CE26" i="2"/>
  <c r="CH26" i="2"/>
  <c r="CG26" i="2"/>
  <c r="CF26" i="2"/>
  <c r="CD26" i="2"/>
  <c r="D27" i="2"/>
  <c r="I26" i="2"/>
  <c r="J26" i="2"/>
  <c r="F26" i="2"/>
  <c r="H26" i="2"/>
  <c r="G26" i="2"/>
  <c r="E26" i="2"/>
  <c r="AT27" i="2"/>
  <c r="AZ26" i="2"/>
  <c r="AV26" i="2"/>
  <c r="AY26" i="2"/>
  <c r="AX26" i="2"/>
  <c r="AW26" i="2"/>
  <c r="AU26" i="2"/>
  <c r="BV27" i="2"/>
  <c r="BX26" i="2"/>
  <c r="CA26" i="2"/>
  <c r="CB26" i="2"/>
  <c r="BZ26" i="2"/>
  <c r="BY26" i="2"/>
  <c r="BW26" i="2"/>
  <c r="AM28" i="2" l="1"/>
  <c r="AO27" i="2"/>
  <c r="AR27" i="2"/>
  <c r="AS27" i="2"/>
  <c r="AQ27" i="2"/>
  <c r="AP27" i="2"/>
  <c r="AN27" i="2"/>
  <c r="BO28" i="2"/>
  <c r="BT27" i="2"/>
  <c r="BU27" i="2"/>
  <c r="BQ27" i="2"/>
  <c r="BS27" i="2"/>
  <c r="BR27" i="2"/>
  <c r="BP27" i="2"/>
  <c r="Y28" i="2"/>
  <c r="AD27" i="2"/>
  <c r="AE27" i="2"/>
  <c r="AA27" i="2"/>
  <c r="AC27" i="2"/>
  <c r="AB27" i="2"/>
  <c r="Z27" i="2"/>
  <c r="R28" i="2"/>
  <c r="T27" i="2"/>
  <c r="W27" i="2"/>
  <c r="X27" i="2"/>
  <c r="V27" i="2"/>
  <c r="U27" i="2"/>
  <c r="S27" i="2"/>
  <c r="AT28" i="2"/>
  <c r="AY27" i="2"/>
  <c r="AZ27" i="2"/>
  <c r="AV27" i="2"/>
  <c r="AX27" i="2"/>
  <c r="AW27" i="2"/>
  <c r="AU27" i="2"/>
  <c r="BA28" i="2"/>
  <c r="BC27" i="2"/>
  <c r="BF27" i="2"/>
  <c r="BG27" i="2"/>
  <c r="BE27" i="2"/>
  <c r="BD27" i="2"/>
  <c r="BB27" i="2"/>
  <c r="D28" i="2"/>
  <c r="F27" i="2"/>
  <c r="I27" i="2"/>
  <c r="J27" i="2"/>
  <c r="H27" i="2"/>
  <c r="G27" i="2"/>
  <c r="E27" i="2"/>
  <c r="AF28" i="2"/>
  <c r="AL27" i="2"/>
  <c r="AH27" i="2"/>
  <c r="AK27" i="2"/>
  <c r="AJ27" i="2"/>
  <c r="AI27" i="2"/>
  <c r="AG27" i="2"/>
  <c r="BH28" i="2"/>
  <c r="BN27" i="2"/>
  <c r="BJ27" i="2"/>
  <c r="BM27" i="2"/>
  <c r="BL27" i="2"/>
  <c r="BK27" i="2"/>
  <c r="BI27" i="2"/>
  <c r="BV28" i="2"/>
  <c r="BX27" i="2"/>
  <c r="CA27" i="2"/>
  <c r="CB27" i="2"/>
  <c r="BZ27" i="2"/>
  <c r="BY27" i="2"/>
  <c r="BW27" i="2"/>
  <c r="CC28" i="2"/>
  <c r="CH27" i="2"/>
  <c r="CI27" i="2"/>
  <c r="CE27" i="2"/>
  <c r="CG27" i="2"/>
  <c r="CF27" i="2"/>
  <c r="CD27" i="2"/>
  <c r="K28" i="2"/>
  <c r="P27" i="2"/>
  <c r="Q27" i="2"/>
  <c r="M27" i="2"/>
  <c r="O27" i="2"/>
  <c r="N27" i="2"/>
  <c r="L27" i="2"/>
  <c r="CC29" i="2" l="1"/>
  <c r="CH28" i="2"/>
  <c r="CI28" i="2"/>
  <c r="CE28" i="2"/>
  <c r="CG28" i="2"/>
  <c r="CF28" i="2"/>
  <c r="CD28" i="2"/>
  <c r="Y29" i="2"/>
  <c r="AA28" i="2"/>
  <c r="AD28" i="2"/>
  <c r="AE28" i="2"/>
  <c r="AC28" i="2"/>
  <c r="AB28" i="2"/>
  <c r="Z28" i="2"/>
  <c r="R29" i="2"/>
  <c r="X28" i="2"/>
  <c r="T28" i="2"/>
  <c r="W28" i="2"/>
  <c r="V28" i="2"/>
  <c r="U28" i="2"/>
  <c r="S28" i="2"/>
  <c r="BA29" i="2"/>
  <c r="BC28" i="2"/>
  <c r="BF28" i="2"/>
  <c r="BG28" i="2"/>
  <c r="BE28" i="2"/>
  <c r="BD28" i="2"/>
  <c r="BB28" i="2"/>
  <c r="BV29" i="2"/>
  <c r="BX28" i="2"/>
  <c r="CA28" i="2"/>
  <c r="CB28" i="2"/>
  <c r="BZ28" i="2"/>
  <c r="BY28" i="2"/>
  <c r="BW28" i="2"/>
  <c r="D29" i="2"/>
  <c r="F28" i="2"/>
  <c r="J28" i="2"/>
  <c r="I28" i="2"/>
  <c r="H28" i="2"/>
  <c r="G28" i="2"/>
  <c r="E28" i="2"/>
  <c r="AF29" i="2"/>
  <c r="AL28" i="2"/>
  <c r="AH28" i="2"/>
  <c r="AK28" i="2"/>
  <c r="AJ28" i="2"/>
  <c r="AI28" i="2"/>
  <c r="AG28" i="2"/>
  <c r="BO29" i="2"/>
  <c r="BQ28" i="2"/>
  <c r="BT28" i="2"/>
  <c r="BU28" i="2"/>
  <c r="BS28" i="2"/>
  <c r="BR28" i="2"/>
  <c r="BP28" i="2"/>
  <c r="K29" i="2"/>
  <c r="P28" i="2"/>
  <c r="Q28" i="2"/>
  <c r="M28" i="2"/>
  <c r="O28" i="2"/>
  <c r="N28" i="2"/>
  <c r="L28" i="2"/>
  <c r="AT29" i="2"/>
  <c r="AY28" i="2"/>
  <c r="AZ28" i="2"/>
  <c r="AV28" i="2"/>
  <c r="AX28" i="2"/>
  <c r="AW28" i="2"/>
  <c r="AU28" i="2"/>
  <c r="BH29" i="2"/>
  <c r="BN28" i="2"/>
  <c r="BJ28" i="2"/>
  <c r="BM28" i="2"/>
  <c r="BL28" i="2"/>
  <c r="BK28" i="2"/>
  <c r="BI28" i="2"/>
  <c r="AM29" i="2"/>
  <c r="AS28" i="2"/>
  <c r="AO28" i="2"/>
  <c r="AR28" i="2"/>
  <c r="AQ28" i="2"/>
  <c r="AP28" i="2"/>
  <c r="AN28" i="2"/>
  <c r="Y30" i="2" l="1"/>
  <c r="AA29" i="2"/>
  <c r="AD29" i="2"/>
  <c r="AE29" i="2"/>
  <c r="AC29" i="2"/>
  <c r="AB29" i="2"/>
  <c r="Z29" i="2"/>
  <c r="AM30" i="2"/>
  <c r="AS29" i="2"/>
  <c r="AO29" i="2"/>
  <c r="AR29" i="2"/>
  <c r="AQ29" i="2"/>
  <c r="AP29" i="2"/>
  <c r="AN29" i="2"/>
  <c r="BA30" i="2"/>
  <c r="BC29" i="2"/>
  <c r="BF29" i="2"/>
  <c r="BG29" i="2"/>
  <c r="BE29" i="2"/>
  <c r="BD29" i="2"/>
  <c r="BB29" i="2"/>
  <c r="BV30" i="2"/>
  <c r="CB29" i="2"/>
  <c r="BX29" i="2"/>
  <c r="CA29" i="2"/>
  <c r="BZ29" i="2"/>
  <c r="BY29" i="2"/>
  <c r="BW29" i="2"/>
  <c r="D30" i="2"/>
  <c r="J29" i="2"/>
  <c r="F29" i="2"/>
  <c r="I29" i="2"/>
  <c r="H29" i="2"/>
  <c r="G29" i="2"/>
  <c r="E29" i="2"/>
  <c r="AT30" i="2"/>
  <c r="AV29" i="2"/>
  <c r="AY29" i="2"/>
  <c r="AZ29" i="2"/>
  <c r="AX29" i="2"/>
  <c r="AW29" i="2"/>
  <c r="AU29" i="2"/>
  <c r="AF30" i="2"/>
  <c r="AK29" i="2"/>
  <c r="AL29" i="2"/>
  <c r="AH29" i="2"/>
  <c r="AJ29" i="2"/>
  <c r="AI29" i="2"/>
  <c r="AG29" i="2"/>
  <c r="BO30" i="2"/>
  <c r="BQ29" i="2"/>
  <c r="BT29" i="2"/>
  <c r="BU29" i="2"/>
  <c r="BS29" i="2"/>
  <c r="BR29" i="2"/>
  <c r="BP29" i="2"/>
  <c r="BH30" i="2"/>
  <c r="BM29" i="2"/>
  <c r="BN29" i="2"/>
  <c r="BJ29" i="2"/>
  <c r="BL29" i="2"/>
  <c r="BK29" i="2"/>
  <c r="BI29" i="2"/>
  <c r="R30" i="2"/>
  <c r="X29" i="2"/>
  <c r="T29" i="2"/>
  <c r="W29" i="2"/>
  <c r="V29" i="2"/>
  <c r="U29" i="2"/>
  <c r="S29" i="2"/>
  <c r="K30" i="2"/>
  <c r="M29" i="2"/>
  <c r="P29" i="2"/>
  <c r="Q29" i="2"/>
  <c r="O29" i="2"/>
  <c r="N29" i="2"/>
  <c r="L29" i="2"/>
  <c r="CC30" i="2"/>
  <c r="CH29" i="2"/>
  <c r="CI29" i="2"/>
  <c r="CE29" i="2"/>
  <c r="CG29" i="2"/>
  <c r="CF29" i="2"/>
  <c r="CD29" i="2"/>
  <c r="R31" i="2" l="1"/>
  <c r="W30" i="2"/>
  <c r="X30" i="2"/>
  <c r="T30" i="2"/>
  <c r="V30" i="2"/>
  <c r="U30" i="2"/>
  <c r="S30" i="2"/>
  <c r="BA31" i="2"/>
  <c r="BG30" i="2"/>
  <c r="BC30" i="2"/>
  <c r="BF30" i="2"/>
  <c r="BE30" i="2"/>
  <c r="BD30" i="2"/>
  <c r="BB30" i="2"/>
  <c r="BV31" i="2"/>
  <c r="CB30" i="2"/>
  <c r="BX30" i="2"/>
  <c r="CA30" i="2"/>
  <c r="BZ30" i="2"/>
  <c r="BY30" i="2"/>
  <c r="BW30" i="2"/>
  <c r="D31" i="2"/>
  <c r="J30" i="2"/>
  <c r="F30" i="2"/>
  <c r="I30" i="2"/>
  <c r="H30" i="2"/>
  <c r="G30" i="2"/>
  <c r="E30" i="2"/>
  <c r="AT31" i="2"/>
  <c r="AV30" i="2"/>
  <c r="AY30" i="2"/>
  <c r="AZ30" i="2"/>
  <c r="AX30" i="2"/>
  <c r="AW30" i="2"/>
  <c r="AU30" i="2"/>
  <c r="CC31" i="2"/>
  <c r="CE30" i="2"/>
  <c r="CH30" i="2"/>
  <c r="CI30" i="2"/>
  <c r="CG30" i="2"/>
  <c r="CF30" i="2"/>
  <c r="CD30" i="2"/>
  <c r="AF31" i="2"/>
  <c r="AK30" i="2"/>
  <c r="AH30" i="2"/>
  <c r="AL30" i="2"/>
  <c r="AJ30" i="2"/>
  <c r="AI30" i="2"/>
  <c r="AG30" i="2"/>
  <c r="K31" i="2"/>
  <c r="M30" i="2"/>
  <c r="Q30" i="2"/>
  <c r="P30" i="2"/>
  <c r="O30" i="2"/>
  <c r="N30" i="2"/>
  <c r="L30" i="2"/>
  <c r="BO31" i="2"/>
  <c r="BQ30" i="2"/>
  <c r="BT30" i="2"/>
  <c r="BU30" i="2"/>
  <c r="BS30" i="2"/>
  <c r="BR30" i="2"/>
  <c r="BP30" i="2"/>
  <c r="AM31" i="2"/>
  <c r="AR30" i="2"/>
  <c r="AS30" i="2"/>
  <c r="AO30" i="2"/>
  <c r="AQ30" i="2"/>
  <c r="AP30" i="2"/>
  <c r="AN30" i="2"/>
  <c r="BH31" i="2"/>
  <c r="BM30" i="2"/>
  <c r="BN30" i="2"/>
  <c r="BJ30" i="2"/>
  <c r="BL30" i="2"/>
  <c r="BK30" i="2"/>
  <c r="BI30" i="2"/>
  <c r="Y31" i="2"/>
  <c r="AA30" i="2"/>
  <c r="AD30" i="2"/>
  <c r="AE30" i="2"/>
  <c r="AC30" i="2"/>
  <c r="AB30" i="2"/>
  <c r="Z30" i="2"/>
  <c r="D32" i="2" l="1"/>
  <c r="J31" i="2"/>
  <c r="F31" i="2"/>
  <c r="I31" i="2"/>
  <c r="H31" i="2"/>
  <c r="G31" i="2"/>
  <c r="E31" i="2"/>
  <c r="AT32" i="2"/>
  <c r="AV31" i="2"/>
  <c r="AY31" i="2"/>
  <c r="AZ31" i="2"/>
  <c r="AX31" i="2"/>
  <c r="AW31" i="2"/>
  <c r="AU31" i="2"/>
  <c r="CC32" i="2"/>
  <c r="CE31" i="2"/>
  <c r="CH31" i="2"/>
  <c r="CI31" i="2"/>
  <c r="CG31" i="2"/>
  <c r="CF31" i="2"/>
  <c r="CD31" i="2"/>
  <c r="BA32" i="2"/>
  <c r="BG31" i="2"/>
  <c r="BC31" i="2"/>
  <c r="BF31" i="2"/>
  <c r="BE31" i="2"/>
  <c r="BD31" i="2"/>
  <c r="BB31" i="2"/>
  <c r="Y32" i="2"/>
  <c r="AA31" i="2"/>
  <c r="AD31" i="2"/>
  <c r="AE31" i="2"/>
  <c r="AC31" i="2"/>
  <c r="AB31" i="2"/>
  <c r="Z31" i="2"/>
  <c r="AF32" i="2"/>
  <c r="AH31" i="2"/>
  <c r="AK31" i="2"/>
  <c r="AL31" i="2"/>
  <c r="AJ31" i="2"/>
  <c r="AI31" i="2"/>
  <c r="AG31" i="2"/>
  <c r="AM32" i="2"/>
  <c r="AR31" i="2"/>
  <c r="AS31" i="2"/>
  <c r="AO31" i="2"/>
  <c r="AQ31" i="2"/>
  <c r="AP31" i="2"/>
  <c r="AN31" i="2"/>
  <c r="K32" i="2"/>
  <c r="Q31" i="2"/>
  <c r="M31" i="2"/>
  <c r="P31" i="2"/>
  <c r="O31" i="2"/>
  <c r="N31" i="2"/>
  <c r="L31" i="2"/>
  <c r="BH32" i="2"/>
  <c r="BJ31" i="2"/>
  <c r="BM31" i="2"/>
  <c r="BN31" i="2"/>
  <c r="BL31" i="2"/>
  <c r="BK31" i="2"/>
  <c r="BI31" i="2"/>
  <c r="BV32" i="2"/>
  <c r="CA31" i="2"/>
  <c r="CB31" i="2"/>
  <c r="BX31" i="2"/>
  <c r="BZ31" i="2"/>
  <c r="BY31" i="2"/>
  <c r="BW31" i="2"/>
  <c r="BO32" i="2"/>
  <c r="BQ31" i="2"/>
  <c r="BT31" i="2"/>
  <c r="BU31" i="2"/>
  <c r="BS31" i="2"/>
  <c r="BR31" i="2"/>
  <c r="BP31" i="2"/>
  <c r="R32" i="2"/>
  <c r="W31" i="2"/>
  <c r="X31" i="2"/>
  <c r="T31" i="2"/>
  <c r="V31" i="2"/>
  <c r="U31" i="2"/>
  <c r="S31" i="2"/>
  <c r="BF32" i="2" l="1"/>
  <c r="BG32" i="2"/>
  <c r="BC32" i="2"/>
  <c r="BE32" i="2"/>
  <c r="BD32" i="2"/>
  <c r="BB32" i="2"/>
  <c r="AA32" i="2"/>
  <c r="AE32" i="2"/>
  <c r="Z32" i="2"/>
  <c r="AD32" i="2"/>
  <c r="AC32" i="2"/>
  <c r="AB32" i="2"/>
  <c r="AH32" i="2"/>
  <c r="AK32" i="2"/>
  <c r="AL32" i="2"/>
  <c r="AJ32" i="2"/>
  <c r="AI32" i="2"/>
  <c r="AG32" i="2"/>
  <c r="CE32" i="2"/>
  <c r="CH32" i="2"/>
  <c r="CI32" i="2"/>
  <c r="CG32" i="2"/>
  <c r="CF32" i="2"/>
  <c r="CD32" i="2"/>
  <c r="AR32" i="2"/>
  <c r="AS32" i="2"/>
  <c r="AO32" i="2"/>
  <c r="AQ32" i="2"/>
  <c r="AP32" i="2"/>
  <c r="AN32" i="2"/>
  <c r="AV32" i="2"/>
  <c r="AY32" i="2"/>
  <c r="AZ32" i="2"/>
  <c r="AX32" i="2"/>
  <c r="AW32" i="2"/>
  <c r="AU32" i="2"/>
  <c r="BU32" i="2"/>
  <c r="BQ32" i="2"/>
  <c r="BT32" i="2"/>
  <c r="BS32" i="2"/>
  <c r="BR32" i="2"/>
  <c r="BP32" i="2"/>
  <c r="T32" i="2"/>
  <c r="W32" i="2"/>
  <c r="X32" i="2"/>
  <c r="V32" i="2"/>
  <c r="U32" i="2"/>
  <c r="S32" i="2"/>
  <c r="Q32" i="2"/>
  <c r="M32" i="2"/>
  <c r="P32" i="2"/>
  <c r="O32" i="2"/>
  <c r="N32" i="2"/>
  <c r="L32" i="2"/>
  <c r="CA32" i="2"/>
  <c r="CB32" i="2"/>
  <c r="BX32" i="2"/>
  <c r="BZ32" i="2"/>
  <c r="BY32" i="2"/>
  <c r="BW32" i="2"/>
  <c r="BJ32" i="2"/>
  <c r="BM32" i="2"/>
  <c r="BN32" i="2"/>
  <c r="BL32" i="2"/>
  <c r="BK32" i="2"/>
  <c r="BI32" i="2"/>
  <c r="I32" i="2"/>
  <c r="J32" i="2"/>
  <c r="F32" i="2"/>
  <c r="H32" i="2"/>
  <c r="G32" i="2"/>
  <c r="E32" i="2"/>
  <c r="C2" i="2" l="1"/>
  <c r="C18" i="2"/>
  <c r="B18" i="2"/>
  <c r="B2" i="2"/>
</calcChain>
</file>

<file path=xl/sharedStrings.xml><?xml version="1.0" encoding="utf-8"?>
<sst xmlns="http://schemas.openxmlformats.org/spreadsheetml/2006/main" count="127" uniqueCount="54">
  <si>
    <t>Jahr</t>
  </si>
  <si>
    <t>Urlaub</t>
  </si>
  <si>
    <t>bis</t>
  </si>
  <si>
    <t>von</t>
  </si>
  <si>
    <t>Urlaubstage</t>
  </si>
  <si>
    <t>Ferien</t>
  </si>
  <si>
    <t>Ferien NRW</t>
  </si>
  <si>
    <t>Sonderurlaub</t>
  </si>
  <si>
    <t>Halbentag</t>
  </si>
  <si>
    <t>Feiertage</t>
  </si>
  <si>
    <t>Feiertage NRW</t>
  </si>
  <si>
    <t>Resturlaub</t>
  </si>
  <si>
    <t>F</t>
  </si>
  <si>
    <t>E</t>
  </si>
  <si>
    <t>Legende:</t>
  </si>
  <si>
    <t>E=Ferien</t>
  </si>
  <si>
    <t>F=Feiertag</t>
  </si>
  <si>
    <t>H=Halbe Tag urlaub</t>
  </si>
  <si>
    <t>U=Urlaub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</si>
  <si>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</si>
  <si>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</si>
  <si>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</si>
  <si>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</si>
  <si>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</si>
  <si>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</si>
  <si>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</si>
  <si>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</si>
  <si>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</si>
  <si>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</si>
  <si>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</si>
  <si>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</si>
  <si>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GesamtUrlaub</t>
  </si>
  <si>
    <t>Person4</t>
  </si>
  <si>
    <t>Gesamturlaub</t>
  </si>
  <si>
    <t>Person3</t>
  </si>
  <si>
    <t>Neujahr</t>
  </si>
  <si>
    <t>Christi H.</t>
  </si>
  <si>
    <t>allerheiligen</t>
  </si>
  <si>
    <t>Kafreitag</t>
  </si>
  <si>
    <t>Pfingstmontag</t>
  </si>
  <si>
    <t>1.Weihna.</t>
  </si>
  <si>
    <t>2.Weihna.</t>
  </si>
  <si>
    <t>Ostermontag</t>
  </si>
  <si>
    <t>Fronleichnam</t>
  </si>
  <si>
    <t>Tag der Arbeit</t>
  </si>
  <si>
    <t>Tag der D.E.</t>
  </si>
  <si>
    <t>Osterferien</t>
  </si>
  <si>
    <t>Pfingsten</t>
  </si>
  <si>
    <t>Sommerferien</t>
  </si>
  <si>
    <t>Herbstferien</t>
  </si>
  <si>
    <t>Weihnachtsferien</t>
  </si>
  <si>
    <t>Makros aktivieren, um Datei zu nutzen</t>
  </si>
  <si>
    <t>Person1</t>
  </si>
  <si>
    <t>Person2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</si>
</sst>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;@"/>
    <numFmt numFmtId="165" formatCode="ddd"/>
    <numFmt numFmtId="166" formatCode="dd\ ddd"/>
    <numFmt numFmtId="167" formatCode="[$-F800]dddd\,\ mmmm\ dd\,\ yyyy"/>
  </numFmts>
  <fonts count="8" x14ac:knownFonts="1">
    <font>
      <sz val="11"/>
      <color theme="1"/>
      <name val="Calibri"/>
      <family val="2"/>
      <scheme val="minor"/>
    </font>
    <font>
      <sz val="8"/>
      <color rgb="FF0A0A0A"/>
      <name val="Courier New"/>
      <family val="3"/>
    </font>
    <font>
      <sz val="8"/>
      <color theme="1"/>
      <name val="Courier New"/>
      <family val="3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1" xfId="0" applyNumberFormat="1" applyBorder="1" applyAlignment="1">
      <alignment horizontal="left"/>
    </xf>
    <xf numFmtId="167" fontId="0" fillId="0" borderId="1" xfId="0" applyNumberFormat="1" applyBorder="1" applyAlignment="1">
      <alignment horizontal="left"/>
    </xf>
    <xf numFmtId="0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166" fontId="0" fillId="0" borderId="3" xfId="0" applyNumberFormat="1" applyBorder="1" applyAlignment="1">
      <alignment horizontal="left"/>
    </xf>
    <xf numFmtId="167" fontId="0" fillId="0" borderId="3" xfId="0" applyNumberFormat="1" applyBorder="1" applyAlignment="1">
      <alignment horizontal="left"/>
    </xf>
    <xf numFmtId="0" fontId="0" fillId="0" borderId="3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0" fillId="0" borderId="3" xfId="0" applyNumberFormat="1" applyBorder="1"/>
    <xf numFmtId="165" fontId="0" fillId="0" borderId="3" xfId="0" applyNumberFormat="1" applyBorder="1"/>
    <xf numFmtId="0" fontId="2" fillId="0" borderId="2" xfId="0" applyFont="1" applyBorder="1"/>
    <xf numFmtId="0" fontId="3" fillId="0" borderId="2" xfId="0" applyFont="1" applyBorder="1"/>
    <xf numFmtId="0" fontId="1" fillId="0" borderId="2" xfId="0" applyFont="1" applyBorder="1"/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/>
    <xf numFmtId="0" fontId="0" fillId="7" borderId="4" xfId="0" applyFill="1" applyBorder="1" applyAlignment="1" applyProtection="1">
      <alignment horizontal="center" vertical="center"/>
      <protection locked="0"/>
    </xf>
    <xf numFmtId="14" fontId="0" fillId="7" borderId="9" xfId="0" applyNumberFormat="1" applyFill="1" applyBorder="1" applyAlignment="1" applyProtection="1">
      <alignment horizontal="center" vertical="center"/>
      <protection locked="0"/>
    </xf>
    <xf numFmtId="14" fontId="0" fillId="7" borderId="10" xfId="0" applyNumberFormat="1" applyFill="1" applyBorder="1" applyAlignment="1" applyProtection="1">
      <alignment horizontal="center" vertical="center"/>
      <protection locked="0"/>
    </xf>
    <xf numFmtId="14" fontId="0" fillId="7" borderId="8" xfId="0" applyNumberFormat="1" applyFill="1" applyBorder="1" applyAlignment="1" applyProtection="1">
      <alignment horizontal="center" vertical="center"/>
      <protection locked="0"/>
    </xf>
    <xf numFmtId="14" fontId="0" fillId="7" borderId="5" xfId="0" applyNumberFormat="1" applyFill="1" applyBorder="1" applyAlignment="1" applyProtection="1">
      <alignment horizontal="center" vertical="center"/>
      <protection locked="0"/>
    </xf>
    <xf numFmtId="0" fontId="0" fillId="7" borderId="8" xfId="0" applyFill="1" applyBorder="1" applyAlignment="1" applyProtection="1">
      <alignment horizontal="center" vertical="center"/>
      <protection locked="0"/>
    </xf>
    <xf numFmtId="0" fontId="0" fillId="7" borderId="5" xfId="0" applyFill="1" applyBorder="1" applyAlignment="1" applyProtection="1">
      <alignment horizontal="center" vertical="center"/>
      <protection locked="0"/>
    </xf>
    <xf numFmtId="14" fontId="0" fillId="7" borderId="4" xfId="0" applyNumberFormat="1" applyFill="1" applyBorder="1" applyAlignment="1" applyProtection="1">
      <alignment horizontal="center" vertical="center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14" fontId="0" fillId="7" borderId="11" xfId="0" applyNumberFormat="1" applyFill="1" applyBorder="1" applyAlignment="1" applyProtection="1">
      <alignment horizontal="center" vertical="center"/>
      <protection locked="0"/>
    </xf>
    <xf numFmtId="0" fontId="0" fillId="7" borderId="13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/>
    <xf numFmtId="0" fontId="0" fillId="7" borderId="2" xfId="0" applyFill="1" applyBorder="1" applyProtection="1">
      <protection locked="0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 textRotation="90"/>
    </xf>
    <xf numFmtId="0" fontId="0" fillId="3" borderId="1" xfId="0" applyFill="1" applyBorder="1" applyAlignment="1">
      <alignment horizontal="center" vertical="center" textRotation="90"/>
    </xf>
    <xf numFmtId="0" fontId="0" fillId="3" borderId="3" xfId="0" applyFill="1" applyBorder="1" applyAlignment="1">
      <alignment horizontal="center" vertical="center" textRotation="90"/>
    </xf>
    <xf numFmtId="0" fontId="0" fillId="3" borderId="3" xfId="0" applyNumberFormat="1" applyFill="1" applyBorder="1" applyAlignment="1">
      <alignment horizontal="center" vertical="center" textRotation="90"/>
    </xf>
    <xf numFmtId="0" fontId="0" fillId="3" borderId="1" xfId="0" applyNumberFormat="1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right"/>
    </xf>
    <xf numFmtId="0" fontId="0" fillId="5" borderId="3" xfId="0" applyNumberFormat="1" applyFill="1" applyBorder="1" applyAlignment="1">
      <alignment horizontal="center" vertical="center" textRotation="90"/>
    </xf>
    <xf numFmtId="0" fontId="0" fillId="5" borderId="1" xfId="0" applyNumberFormat="1" applyFill="1" applyBorder="1" applyAlignment="1">
      <alignment horizontal="center" vertical="center" textRotation="90"/>
    </xf>
    <xf numFmtId="165" fontId="0" fillId="4" borderId="1" xfId="0" applyNumberFormat="1" applyFill="1" applyBorder="1" applyAlignment="1">
      <alignment horizontal="center" vertical="center" textRotation="90"/>
    </xf>
    <xf numFmtId="165" fontId="0" fillId="2" borderId="1" xfId="0" applyNumberFormat="1" applyFill="1" applyBorder="1" applyAlignment="1">
      <alignment horizontal="center" vertical="center" textRotation="90"/>
    </xf>
    <xf numFmtId="165" fontId="0" fillId="6" borderId="1" xfId="0" applyNumberForma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Standard" xfId="0" builtinId="0"/>
  </cellStyles>
  <dxfs count="180"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BCCC1-864F-4033-B4E9-DEB5FE20423F}">
  <sheetPr codeName="Tabelle2"/>
  <dimension ref="A1:I22"/>
  <sheetViews>
    <sheetView workbookViewId="0">
      <selection activeCell="F4" sqref="F4:G4"/>
    </sheetView>
  </sheetViews>
  <sheetFormatPr baseColWidth="10" defaultRowHeight="14.4" x14ac:dyDescent="0.3"/>
  <cols>
    <col min="8" max="8" width="13.109375" bestFit="1" customWidth="1"/>
    <col min="9" max="9" width="12.33203125" bestFit="1" customWidth="1"/>
  </cols>
  <sheetData>
    <row r="1" spans="1:9" ht="15" thickBot="1" x14ac:dyDescent="0.35">
      <c r="A1" s="47" t="s">
        <v>52</v>
      </c>
      <c r="B1" s="52" t="s">
        <v>1</v>
      </c>
      <c r="C1" s="53"/>
      <c r="D1" s="52" t="s">
        <v>7</v>
      </c>
      <c r="E1" s="53"/>
      <c r="F1" s="52" t="s">
        <v>8</v>
      </c>
      <c r="G1" s="53"/>
      <c r="H1" s="46">
        <v>30</v>
      </c>
      <c r="I1" s="34" t="s">
        <v>33</v>
      </c>
    </row>
    <row r="2" spans="1:9" x14ac:dyDescent="0.3">
      <c r="B2" s="28" t="s">
        <v>3</v>
      </c>
      <c r="C2" s="29" t="s">
        <v>2</v>
      </c>
      <c r="D2" s="28" t="s">
        <v>3</v>
      </c>
      <c r="E2" s="29" t="s">
        <v>2</v>
      </c>
      <c r="F2" s="28" t="s">
        <v>3</v>
      </c>
      <c r="G2" s="29" t="s">
        <v>2</v>
      </c>
    </row>
    <row r="3" spans="1:9" x14ac:dyDescent="0.3">
      <c r="A3" s="1"/>
      <c r="B3" s="38">
        <v>46024</v>
      </c>
      <c r="C3" s="42">
        <v>46024</v>
      </c>
      <c r="D3" s="38"/>
      <c r="E3" s="42"/>
      <c r="F3" s="38">
        <v>46380</v>
      </c>
      <c r="G3" s="42">
        <v>46380</v>
      </c>
    </row>
    <row r="4" spans="1:9" x14ac:dyDescent="0.3">
      <c r="B4" s="38"/>
      <c r="C4" s="42"/>
      <c r="D4" s="40"/>
      <c r="E4" s="35"/>
      <c r="F4" s="38"/>
      <c r="G4" s="42"/>
    </row>
    <row r="5" spans="1:9" x14ac:dyDescent="0.3">
      <c r="B5" s="38"/>
      <c r="C5" s="42"/>
      <c r="D5" s="40"/>
      <c r="E5" s="35"/>
      <c r="F5" s="40"/>
      <c r="G5" s="35"/>
    </row>
    <row r="6" spans="1:9" x14ac:dyDescent="0.3">
      <c r="B6" s="38"/>
      <c r="C6" s="42"/>
      <c r="D6" s="40"/>
      <c r="E6" s="35"/>
      <c r="F6" s="40"/>
      <c r="G6" s="35"/>
    </row>
    <row r="7" spans="1:9" ht="15" thickBot="1" x14ac:dyDescent="0.35">
      <c r="B7" s="38"/>
      <c r="C7" s="42"/>
      <c r="D7" s="40"/>
      <c r="E7" s="35"/>
      <c r="F7" s="43"/>
      <c r="G7" s="44"/>
    </row>
    <row r="8" spans="1:9" ht="15" thickBot="1" x14ac:dyDescent="0.35">
      <c r="B8" s="38"/>
      <c r="C8" s="42"/>
      <c r="D8" s="43"/>
      <c r="E8" s="44"/>
      <c r="F8" s="32"/>
      <c r="G8" s="32"/>
    </row>
    <row r="9" spans="1:9" x14ac:dyDescent="0.3">
      <c r="B9" s="38"/>
      <c r="C9" s="42"/>
      <c r="D9" s="32"/>
      <c r="E9" s="32"/>
      <c r="F9" s="32"/>
      <c r="G9" s="32"/>
    </row>
    <row r="10" spans="1:9" x14ac:dyDescent="0.3">
      <c r="B10" s="38"/>
      <c r="C10" s="42"/>
      <c r="D10" s="32"/>
      <c r="E10" s="32"/>
      <c r="F10" s="32"/>
      <c r="G10" s="32"/>
    </row>
    <row r="11" spans="1:9" x14ac:dyDescent="0.3">
      <c r="B11" s="38"/>
      <c r="C11" s="42"/>
      <c r="D11" s="32"/>
      <c r="E11" s="32"/>
      <c r="F11" s="32"/>
      <c r="G11" s="32"/>
    </row>
    <row r="12" spans="1:9" x14ac:dyDescent="0.3">
      <c r="B12" s="40"/>
      <c r="C12" s="35"/>
      <c r="D12" s="32"/>
      <c r="E12" s="32"/>
      <c r="F12" s="32"/>
      <c r="G12" s="32"/>
    </row>
    <row r="13" spans="1:9" x14ac:dyDescent="0.3">
      <c r="B13" s="40"/>
      <c r="C13" s="35"/>
      <c r="D13" s="32"/>
      <c r="E13" s="32"/>
      <c r="F13" s="32"/>
      <c r="G13" s="32"/>
    </row>
    <row r="14" spans="1:9" x14ac:dyDescent="0.3">
      <c r="B14" s="40"/>
      <c r="C14" s="35"/>
      <c r="D14" s="32"/>
      <c r="E14" s="32"/>
      <c r="F14" s="32"/>
      <c r="G14" s="32"/>
    </row>
    <row r="15" spans="1:9" x14ac:dyDescent="0.3">
      <c r="B15" s="40"/>
      <c r="C15" s="35"/>
      <c r="D15" s="32"/>
      <c r="E15" s="32"/>
      <c r="F15" s="32"/>
      <c r="G15" s="32"/>
    </row>
    <row r="16" spans="1:9" x14ac:dyDescent="0.3">
      <c r="B16" s="40"/>
      <c r="C16" s="35"/>
      <c r="D16" s="32"/>
      <c r="E16" s="32"/>
      <c r="F16" s="32"/>
      <c r="G16" s="32"/>
    </row>
    <row r="17" spans="2:7" ht="15" thickBot="1" x14ac:dyDescent="0.35">
      <c r="B17" s="43"/>
      <c r="C17" s="44"/>
      <c r="D17" s="32"/>
      <c r="E17" s="32"/>
      <c r="F17" s="32"/>
      <c r="G17" s="32"/>
    </row>
    <row r="18" spans="2:7" x14ac:dyDescent="0.3">
      <c r="B18" s="32"/>
      <c r="C18" s="32"/>
      <c r="D18" s="32"/>
      <c r="E18" s="32"/>
      <c r="F18" s="32"/>
      <c r="G18" s="32"/>
    </row>
    <row r="19" spans="2:7" x14ac:dyDescent="0.3">
      <c r="B19" s="32"/>
      <c r="C19" s="32"/>
      <c r="D19" s="32"/>
      <c r="E19" s="32"/>
      <c r="F19" s="32"/>
      <c r="G19" s="32"/>
    </row>
    <row r="20" spans="2:7" x14ac:dyDescent="0.3">
      <c r="B20" s="32"/>
      <c r="C20" s="32"/>
      <c r="D20" s="32"/>
      <c r="E20" s="32"/>
      <c r="F20" s="32"/>
      <c r="G20" s="32"/>
    </row>
    <row r="21" spans="2:7" x14ac:dyDescent="0.3">
      <c r="B21" s="32"/>
      <c r="C21" s="32"/>
      <c r="D21" s="32"/>
      <c r="E21" s="32"/>
      <c r="F21" s="32"/>
      <c r="G21" s="32"/>
    </row>
    <row r="22" spans="2:7" x14ac:dyDescent="0.3">
      <c r="B22" s="32"/>
      <c r="C22" s="32"/>
      <c r="D22" s="32"/>
      <c r="E22" s="32"/>
      <c r="F22" s="32"/>
      <c r="G22" s="32"/>
    </row>
  </sheetData>
  <sheetProtection password="CFF0" sheet="1" objects="1" scenarios="1"/>
  <mergeCells count="3">
    <mergeCell ref="B1:C1"/>
    <mergeCell ref="D1:E1"/>
    <mergeCell ref="F1:G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A74A-F428-4FDF-8C54-6F96DC3363D7}">
  <sheetPr codeName="Tabelle3"/>
  <dimension ref="A1:I17"/>
  <sheetViews>
    <sheetView workbookViewId="0">
      <selection activeCell="B4" sqref="B4:C8"/>
    </sheetView>
  </sheetViews>
  <sheetFormatPr baseColWidth="10" defaultRowHeight="14.4" x14ac:dyDescent="0.3"/>
  <cols>
    <col min="7" max="7" width="13.109375" bestFit="1" customWidth="1"/>
    <col min="9" max="9" width="12.6640625" bestFit="1" customWidth="1"/>
  </cols>
  <sheetData>
    <row r="1" spans="1:9" ht="15" thickBot="1" x14ac:dyDescent="0.35">
      <c r="A1" s="47" t="s">
        <v>53</v>
      </c>
      <c r="B1" s="54" t="s">
        <v>1</v>
      </c>
      <c r="C1" s="55"/>
      <c r="D1" s="54" t="s">
        <v>7</v>
      </c>
      <c r="E1" s="55"/>
      <c r="F1" s="54" t="s">
        <v>8</v>
      </c>
      <c r="G1" s="56"/>
      <c r="H1" s="46">
        <v>30</v>
      </c>
      <c r="I1" s="34" t="s">
        <v>31</v>
      </c>
    </row>
    <row r="2" spans="1:9" ht="15" thickBot="1" x14ac:dyDescent="0.35">
      <c r="B2" s="30" t="s">
        <v>3</v>
      </c>
      <c r="C2" s="33" t="s">
        <v>2</v>
      </c>
      <c r="D2" s="30" t="s">
        <v>3</v>
      </c>
      <c r="E2" s="33" t="s">
        <v>2</v>
      </c>
      <c r="F2" s="30" t="s">
        <v>3</v>
      </c>
      <c r="G2" s="31" t="s">
        <v>2</v>
      </c>
    </row>
    <row r="3" spans="1:9" x14ac:dyDescent="0.3">
      <c r="A3" s="1"/>
      <c r="B3" s="36">
        <v>46027</v>
      </c>
      <c r="C3" s="37">
        <v>46027</v>
      </c>
      <c r="D3" s="36"/>
      <c r="E3" s="37"/>
      <c r="F3" s="36"/>
      <c r="G3" s="45"/>
    </row>
    <row r="4" spans="1:9" x14ac:dyDescent="0.3">
      <c r="B4" s="38"/>
      <c r="C4" s="39"/>
      <c r="D4" s="40"/>
      <c r="E4" s="41"/>
      <c r="F4" s="40"/>
      <c r="G4" s="35"/>
    </row>
    <row r="5" spans="1:9" x14ac:dyDescent="0.3">
      <c r="B5" s="38"/>
      <c r="C5" s="39"/>
      <c r="D5" s="40"/>
      <c r="E5" s="41"/>
      <c r="F5" s="40"/>
      <c r="G5" s="35"/>
    </row>
    <row r="6" spans="1:9" x14ac:dyDescent="0.3">
      <c r="B6" s="38"/>
      <c r="C6" s="39"/>
      <c r="D6" s="40"/>
      <c r="E6" s="41"/>
      <c r="F6" s="40"/>
      <c r="G6" s="35"/>
    </row>
    <row r="7" spans="1:9" ht="15" thickBot="1" x14ac:dyDescent="0.35">
      <c r="B7" s="38"/>
      <c r="C7" s="39"/>
      <c r="D7" s="40"/>
      <c r="E7" s="41"/>
      <c r="F7" s="43"/>
      <c r="G7" s="44"/>
    </row>
    <row r="8" spans="1:9" ht="15" thickBot="1" x14ac:dyDescent="0.35">
      <c r="B8" s="38"/>
      <c r="C8" s="39"/>
      <c r="D8" s="43"/>
      <c r="E8" s="44"/>
      <c r="F8" s="32"/>
      <c r="G8" s="32"/>
    </row>
    <row r="9" spans="1:9" x14ac:dyDescent="0.3">
      <c r="B9" s="38"/>
      <c r="C9" s="42"/>
      <c r="D9" s="32"/>
      <c r="E9" s="32"/>
      <c r="F9" s="32"/>
      <c r="G9" s="32"/>
    </row>
    <row r="10" spans="1:9" x14ac:dyDescent="0.3">
      <c r="B10" s="40"/>
      <c r="C10" s="35"/>
      <c r="D10" s="32"/>
      <c r="E10" s="32"/>
      <c r="F10" s="32"/>
      <c r="G10" s="32"/>
    </row>
    <row r="11" spans="1:9" x14ac:dyDescent="0.3">
      <c r="B11" s="40"/>
      <c r="C11" s="35"/>
      <c r="D11" s="32"/>
      <c r="E11" s="32"/>
      <c r="F11" s="32"/>
      <c r="G11" s="32"/>
    </row>
    <row r="12" spans="1:9" x14ac:dyDescent="0.3">
      <c r="B12" s="40"/>
      <c r="C12" s="35"/>
      <c r="D12" s="32"/>
      <c r="E12" s="32"/>
      <c r="F12" s="32"/>
      <c r="G12" s="32"/>
    </row>
    <row r="13" spans="1:9" x14ac:dyDescent="0.3">
      <c r="B13" s="40"/>
      <c r="C13" s="35"/>
      <c r="D13" s="32"/>
      <c r="E13" s="32"/>
      <c r="F13" s="32"/>
      <c r="G13" s="32"/>
    </row>
    <row r="14" spans="1:9" x14ac:dyDescent="0.3">
      <c r="B14" s="40"/>
      <c r="C14" s="35"/>
      <c r="D14" s="32"/>
      <c r="E14" s="32"/>
      <c r="F14" s="32"/>
      <c r="G14" s="32"/>
    </row>
    <row r="15" spans="1:9" x14ac:dyDescent="0.3">
      <c r="B15" s="40"/>
      <c r="C15" s="35"/>
      <c r="D15" s="32"/>
      <c r="E15" s="32"/>
      <c r="F15" s="32"/>
      <c r="G15" s="32"/>
    </row>
    <row r="16" spans="1:9" x14ac:dyDescent="0.3">
      <c r="B16" s="40"/>
      <c r="C16" s="35"/>
      <c r="D16" s="32"/>
      <c r="E16" s="32"/>
      <c r="F16" s="32"/>
      <c r="G16" s="32"/>
    </row>
    <row r="17" spans="2:7" ht="15" thickBot="1" x14ac:dyDescent="0.35">
      <c r="B17" s="43"/>
      <c r="C17" s="44"/>
      <c r="D17" s="32"/>
      <c r="E17" s="32"/>
      <c r="F17" s="32"/>
      <c r="G17" s="32"/>
    </row>
  </sheetData>
  <sheetProtection password="CFF0" sheet="1" objects="1" scenarios="1"/>
  <mergeCells count="3">
    <mergeCell ref="B1:C1"/>
    <mergeCell ref="D1:E1"/>
    <mergeCell ref="F1:G1"/>
  </mergeCells>
  <pageMargins left="0.7" right="0.7" top="0.78740157499999996" bottom="0.78740157499999996" header="0.3" footer="0.3"/>
  <pageSetup paperSize="271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C8D0-4C32-48F5-84B3-52F2D2191C1D}">
  <sheetPr codeName="Tabelle4"/>
  <dimension ref="A1:AI103"/>
  <sheetViews>
    <sheetView workbookViewId="0">
      <selection activeCell="E25" sqref="E25"/>
    </sheetView>
  </sheetViews>
  <sheetFormatPr baseColWidth="10" defaultRowHeight="14.4" x14ac:dyDescent="0.3"/>
  <cols>
    <col min="1" max="1" width="11.5546875" customWidth="1"/>
  </cols>
  <sheetData>
    <row r="1" spans="1:35" x14ac:dyDescent="0.3">
      <c r="A1" t="s">
        <v>4</v>
      </c>
      <c r="B1" t="str">
        <f>Person2!B1:C1</f>
        <v>Urlaub</v>
      </c>
      <c r="V1" t="s">
        <v>7</v>
      </c>
      <c r="AE1" t="s">
        <v>8</v>
      </c>
    </row>
    <row r="2" spans="1:35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V2">
        <v>1</v>
      </c>
      <c r="W2">
        <v>2</v>
      </c>
      <c r="X2">
        <v>3</v>
      </c>
      <c r="Y2">
        <v>4</v>
      </c>
      <c r="Z2">
        <v>5</v>
      </c>
      <c r="AA2">
        <v>6</v>
      </c>
      <c r="AE2">
        <v>1</v>
      </c>
      <c r="AF2">
        <v>2</v>
      </c>
      <c r="AG2">
        <v>3</v>
      </c>
      <c r="AH2">
        <v>4</v>
      </c>
      <c r="AI2">
        <v>5</v>
      </c>
    </row>
    <row r="3" spans="1:35" x14ac:dyDescent="0.3">
      <c r="A3" s="1">
        <f>IF(Person2!$B$3+ROW(A1)-1&lt;=Person2!$C$3, Person2!$B$3+ROW(A1)-1, "")</f>
        <v>46027</v>
      </c>
      <c r="B3" s="1">
        <f>IF(Person2!$B$4+ROW(B1)-1&lt;=Person2!$C$4, Person2!$B$4+ROW(B1)-1, "")</f>
        <v>0</v>
      </c>
      <c r="C3" s="1">
        <f>IF(Person2!$B$5+ROW(B1)-1&lt;=Person2!$C$5, Person2!$B$5+ROW(B1)-1, "")</f>
        <v>0</v>
      </c>
      <c r="D3" s="1">
        <f>IF(Person2!$B$6+ROW(B1)-1&lt;=Person2!$C$6, Person2!$B$6+ROW(B1)-1, "")</f>
        <v>0</v>
      </c>
      <c r="E3" s="1">
        <f>IF(Person2!$B$7+ROW(B1)-1&lt;=Person2!$C$7, Person2!$B$7+ROW(B1)-1, "")</f>
        <v>0</v>
      </c>
      <c r="F3" s="1">
        <f>IF(Person2!$B$8+ROW(B1)-1&lt;=Person2!$C$8, Person2!$B$8+ROW(B1)-1, "")</f>
        <v>0</v>
      </c>
      <c r="G3" s="1">
        <f>IF(Person2!$B$9+ROW(B1)-1&lt;=Person2!$C$9, Person2!$B$9+ROW(B1)-1, "")</f>
        <v>0</v>
      </c>
      <c r="H3" s="1">
        <f>IF(Person2!$B$10+ROW(B1)-1&lt;=Person2!$C$10, Person2!$B$10+ROW(B1)-1, "")</f>
        <v>0</v>
      </c>
      <c r="I3" s="1">
        <f>IF(Person2!$B$11+ROW(B1)-1&lt;=Person2!$C$11, Person2!$B$11+ROW(B1)-1, "")</f>
        <v>0</v>
      </c>
      <c r="J3" s="1">
        <f>IF(Person2!$B$12+ROW(B1)-1&lt;=Person2!$C$12, Person2!$B$12+ROW(B1)-1, "")</f>
        <v>0</v>
      </c>
      <c r="K3" s="1">
        <f>IF(Person2!$B$13+ROW(B1)-1&lt;=Person2!$C$13, Person2!$B$13+ROW(B1)-1, "")</f>
        <v>0</v>
      </c>
      <c r="L3" s="1">
        <f>IF(Person2!$B$14+ROW(B1)-1&lt;=Person2!$C$14, Person2!$B$14+ROW(B1)-1, "")</f>
        <v>0</v>
      </c>
      <c r="M3" s="1">
        <f>IF(Person2!$B$15+ROW(B1)-1&lt;=Person2!$C$15, Person2!$B$15+ROW(B1)-1, "")</f>
        <v>0</v>
      </c>
      <c r="N3" s="1">
        <f>IF(Person2!$B$16+ROW(B1)-1&lt;=Person2!$C$16, Person2!$B$16+ROW(B1)-1, "")</f>
        <v>0</v>
      </c>
      <c r="O3" s="1">
        <f>IF(Person2!$B$17+ROW(B1)-1&lt;=Person2!$C$17, Person2!$B$17+ROW(B1)-1, "")</f>
        <v>0</v>
      </c>
      <c r="V3" s="1">
        <f>IF(Person2!$D$3+ROW(A1)-1&lt;=Person2!$E$3, Person2!$D$3+ROW(A1)-1, "")</f>
        <v>0</v>
      </c>
      <c r="W3" s="1">
        <f>IF(Person2!$D$4+ROW(A1)-1&lt;=Person2!$E$4, Person2!$D$4+ROW(A1)-1, "")</f>
        <v>0</v>
      </c>
      <c r="X3" s="1">
        <f>IF(Person2!$D$5+ROW(A1)-1&lt;=Person2!$E$5, Person2!$D$5+ROW(A1)-1, "")</f>
        <v>0</v>
      </c>
      <c r="Y3" s="1">
        <f>IF(Person2!$D$6+ROW(A1)-1&lt;=Person2!$E$6, Person2!$D$6+ROW(A1)-1, "")</f>
        <v>0</v>
      </c>
      <c r="Z3" s="1">
        <f>IF(Person2!$D$7+ROW(A1)-1&lt;=Person2!$E$7, Person2!$D$7+ROW(A1)-1, "")</f>
        <v>0</v>
      </c>
      <c r="AA3" s="1">
        <f>IF(Person2!$D$8+ROW(A1)-1&lt;=Person2!$E$8, Person2!$D$8+ROW(A1)-1, "")</f>
        <v>0</v>
      </c>
      <c r="AE3" s="1">
        <f>IF(Person2!$F$3+ROW(A1)-1&lt;=Person2!$G$3, Person2!$F$3+ROW(A1)-1, "")</f>
        <v>0</v>
      </c>
      <c r="AF3" s="1">
        <f>IF(Person2!$F$4+ROW(A1)-1&lt;=Person2!$G$4, Person2!$F$4+ROW(A1)-1, "")</f>
        <v>0</v>
      </c>
      <c r="AG3" s="1">
        <f>IF(Person2!$F$5+ROW(A1)-1&lt;=Person2!$G$5, Person2!$F$5+ROW(A1)-1, "")</f>
        <v>0</v>
      </c>
      <c r="AH3" s="1">
        <f>IF(Person2!$F$6+ROW(A1)-1&lt;=Person2!$G$6, Person2!$F$6+ROW(A1)-1, "")</f>
        <v>0</v>
      </c>
      <c r="AI3" s="1">
        <f>IF(Person2!$F$7+ROW(A1)-1&lt;=Person2!$G$7, Person2!$F$7+ROW(A1)-1, "")</f>
        <v>0</v>
      </c>
    </row>
    <row r="4" spans="1:35" x14ac:dyDescent="0.3">
      <c r="A4" s="1" t="str">
        <f>IF(Person2!$B$3+ROW(A2)-1&lt;=Person2!$C$3, Person2!$B$3+ROW(A2)-1, "")</f>
        <v/>
      </c>
      <c r="B4" s="1" t="str">
        <f>IF(Person2!$B$4+ROW(B2)-1&lt;=Person2!$C$4, Person2!$B$4+ROW(B2)-1, "")</f>
        <v/>
      </c>
      <c r="C4" s="1" t="str">
        <f>IF(Person2!$B$5+ROW(B2)-1&lt;=Person2!$C$5, Person2!$B$5+ROW(B2)-1, "")</f>
        <v/>
      </c>
      <c r="D4" s="1" t="str">
        <f>IF(Person2!$B$6+ROW(B2)-1&lt;=Person2!$C$6, Person2!$B$6+ROW(B2)-1, "")</f>
        <v/>
      </c>
      <c r="E4" s="1" t="str">
        <f>IF(Person2!$B$7+ROW(B2)-1&lt;=Person2!$C$7, Person2!$B$7+ROW(B2)-1, "")</f>
        <v/>
      </c>
      <c r="F4" s="1" t="str">
        <f>IF(Person2!$B$8+ROW(B2)-1&lt;=Person2!$C$8, Person2!$B$8+ROW(B2)-1, "")</f>
        <v/>
      </c>
      <c r="G4" s="1" t="str">
        <f>IF(Person2!$B$9+ROW(B2)-1&lt;=Person2!$C$9, Person2!$B$9+ROW(B2)-1, "")</f>
        <v/>
      </c>
      <c r="H4" s="1" t="str">
        <f>IF(Person2!$B$10+ROW(B2)-1&lt;=Person2!$C$10, Person2!$B$10+ROW(B2)-1, "")</f>
        <v/>
      </c>
      <c r="I4" s="1" t="str">
        <f>IF(Person2!$B$11+ROW(B2)-1&lt;=Person2!$C$11, Person2!$B$11+ROW(B2)-1, "")</f>
        <v/>
      </c>
      <c r="J4" s="1" t="str">
        <f>IF(Person2!$B$12+ROW(B2)-1&lt;=Person2!$C$12, Person2!$B$12+ROW(B2)-1, "")</f>
        <v/>
      </c>
      <c r="K4" s="1" t="str">
        <f>IF(Person2!$B$13+ROW(B2)-1&lt;=Person2!$C$13, Person2!$B$13+ROW(B2)-1, "")</f>
        <v/>
      </c>
      <c r="L4" s="1" t="str">
        <f>IF(Person2!$B$14+ROW(B2)-1&lt;=Person2!$C$14, Person2!$B$14+ROW(B2)-1, "")</f>
        <v/>
      </c>
      <c r="M4" s="1" t="str">
        <f>IF(Person2!$B$15+ROW(B2)-1&lt;=Person2!$C$15, Person2!$B$15+ROW(B2)-1, "")</f>
        <v/>
      </c>
      <c r="N4" s="1" t="str">
        <f>IF(Person2!$B$16+ROW(B2)-1&lt;=Person2!$C$16, Person2!$B$16+ROW(B2)-1, "")</f>
        <v/>
      </c>
      <c r="O4" s="1" t="str">
        <f>IF(Person2!$B$17+ROW(B2)-1&lt;=Person2!$C$17, Person2!$B$17+ROW(B2)-1, "")</f>
        <v/>
      </c>
      <c r="V4" s="1" t="str">
        <f>IF(Person2!$D$3+ROW(A2)-1&lt;=Person2!$E$3, Person2!$D$3+ROW(A2)-1, "")</f>
        <v/>
      </c>
      <c r="W4" s="1" t="str">
        <f>IF(Person2!$D$4+ROW(A2)-1&lt;=Person2!$E$4, Person2!$D$4+ROW(A2)-1, "")</f>
        <v/>
      </c>
      <c r="X4" s="1" t="str">
        <f>IF(Person2!$D$5+ROW(A2)-1&lt;=Person2!$E$5, Person2!$D$5+ROW(A2)-1, "")</f>
        <v/>
      </c>
      <c r="Y4" s="1" t="str">
        <f>IF(Person2!$D$6+ROW(A2)-1&lt;=Person2!$E$6, Person2!$D$6+ROW(A2)-1, "")</f>
        <v/>
      </c>
      <c r="Z4" s="1" t="str">
        <f>IF(Person2!$D$7+ROW(A2)-1&lt;=Person2!$E$7, Person2!$D$7+ROW(A2)-1, "")</f>
        <v/>
      </c>
      <c r="AA4" s="1" t="str">
        <f>IF(Person2!$D$8+ROW(A2)-1&lt;=Person2!$E$8, Person2!$D$8+ROW(A2)-1, "")</f>
        <v/>
      </c>
      <c r="AE4" s="1" t="str">
        <f>IF(Person2!$F$3+ROW(A2)-1&lt;=Person2!$G$3, Person2!$F$3+ROW(A2)-1, "")</f>
        <v/>
      </c>
      <c r="AF4" s="1" t="str">
        <f>IF(Person2!$F$4+ROW(A2)-1&lt;=Person2!$G$4, Person2!$F$4+ROW(A2)-1, "")</f>
        <v/>
      </c>
      <c r="AG4" s="1" t="str">
        <f>IF(Person2!$F$5+ROW(A2)-1&lt;=Person2!$G$5, Person2!$F$5+ROW(A2)-1, "")</f>
        <v/>
      </c>
      <c r="AH4" s="1" t="str">
        <f>IF(Person2!$F$6+ROW(A2)-1&lt;=Person2!$G$6, Person2!$F$6+ROW(A2)-1, "")</f>
        <v/>
      </c>
      <c r="AI4" s="1" t="str">
        <f>IF(Person2!$F$7+ROW(A2)-1&lt;=Person2!$G$7, Person2!$F$7+ROW(A2)-1, "")</f>
        <v/>
      </c>
    </row>
    <row r="5" spans="1:35" x14ac:dyDescent="0.3">
      <c r="A5" s="1" t="str">
        <f>IF(Person2!$B$3+ROW(A3)-1&lt;=Person2!$C$3, Person2!$B$3+ROW(A3)-1, "")</f>
        <v/>
      </c>
      <c r="B5" s="1" t="str">
        <f>IF(Person2!$B$4+ROW(B3)-1&lt;=Person2!$C$4, Person2!$B$4+ROW(B3)-1, "")</f>
        <v/>
      </c>
      <c r="C5" s="1" t="str">
        <f>IF(Person2!$B$5+ROW(B3)-1&lt;=Person2!$C$5, Person2!$B$5+ROW(B3)-1, "")</f>
        <v/>
      </c>
      <c r="D5" s="1" t="str">
        <f>IF(Person2!$B$6+ROW(B3)-1&lt;=Person2!$C$6, Person2!$B$6+ROW(B3)-1, "")</f>
        <v/>
      </c>
      <c r="E5" s="1" t="str">
        <f>IF(Person2!$B$7+ROW(B3)-1&lt;=Person2!$C$7, Person2!$B$7+ROW(B3)-1, "")</f>
        <v/>
      </c>
      <c r="F5" s="1" t="str">
        <f>IF(Person2!$B$8+ROW(B3)-1&lt;=Person2!$C$8, Person2!$B$8+ROW(B3)-1, "")</f>
        <v/>
      </c>
      <c r="G5" s="1" t="str">
        <f>IF(Person2!$B$9+ROW(B3)-1&lt;=Person2!$C$9, Person2!$B$9+ROW(B3)-1, "")</f>
        <v/>
      </c>
      <c r="H5" s="1" t="str">
        <f>IF(Person2!$B$10+ROW(B3)-1&lt;=Person2!$C$10, Person2!$B$10+ROW(B3)-1, "")</f>
        <v/>
      </c>
      <c r="I5" s="1" t="str">
        <f>IF(Person2!$B$11+ROW(B3)-1&lt;=Person2!$C$11, Person2!$B$11+ROW(B3)-1, "")</f>
        <v/>
      </c>
      <c r="J5" s="1" t="str">
        <f>IF(Person2!$B$12+ROW(B3)-1&lt;=Person2!$C$12, Person2!$B$12+ROW(B3)-1, "")</f>
        <v/>
      </c>
      <c r="K5" s="1" t="str">
        <f>IF(Person2!$B$13+ROW(B3)-1&lt;=Person2!$C$13, Person2!$B$13+ROW(B3)-1, "")</f>
        <v/>
      </c>
      <c r="L5" s="1" t="str">
        <f>IF(Person2!$B$14+ROW(B3)-1&lt;=Person2!$C$14, Person2!$B$14+ROW(B3)-1, "")</f>
        <v/>
      </c>
      <c r="M5" s="1" t="str">
        <f>IF(Person2!$B$15+ROW(B3)-1&lt;=Person2!$C$15, Person2!$B$15+ROW(B3)-1, "")</f>
        <v/>
      </c>
      <c r="N5" s="1" t="str">
        <f>IF(Person2!$B$16+ROW(B3)-1&lt;=Person2!$C$16, Person2!$B$16+ROW(B3)-1, "")</f>
        <v/>
      </c>
      <c r="O5" s="1" t="str">
        <f>IF(Person2!$B$17+ROW(B3)-1&lt;=Person2!$C$17, Person2!$B$17+ROW(B3)-1, "")</f>
        <v/>
      </c>
      <c r="V5" s="1" t="str">
        <f>IF(Person2!$D$3+ROW(A3)-1&lt;=Person2!$E$3, Person2!$D$3+ROW(A3)-1, "")</f>
        <v/>
      </c>
      <c r="W5" s="1" t="str">
        <f>IF(Person2!$D$4+ROW(A3)-1&lt;=Person2!$E$4, Person2!$D$4+ROW(A3)-1, "")</f>
        <v/>
      </c>
      <c r="X5" s="1" t="str">
        <f>IF(Person2!$D$5+ROW(A3)-1&lt;=Person2!$E$5, Person2!$D$5+ROW(A3)-1, "")</f>
        <v/>
      </c>
      <c r="Y5" s="1" t="str">
        <f>IF(Person2!$D$6+ROW(A3)-1&lt;=Person2!$E$6, Person2!$D$6+ROW(A3)-1, "")</f>
        <v/>
      </c>
      <c r="Z5" s="1" t="str">
        <f>IF(Person2!$D$7+ROW(A3)-1&lt;=Person2!$E$7, Person2!$D$7+ROW(A3)-1, "")</f>
        <v/>
      </c>
      <c r="AA5" s="1" t="str">
        <f>IF(Person2!$D$8+ROW(A3)-1&lt;=Person2!$E$8, Person2!$D$8+ROW(A3)-1, "")</f>
        <v/>
      </c>
      <c r="AE5" s="1" t="str">
        <f>IF(Person2!$F$3+ROW(A3)-1&lt;=Person2!$G$3, Person2!$F$3+ROW(A3)-1, "")</f>
        <v/>
      </c>
      <c r="AF5" s="1" t="str">
        <f>IF(Person2!$F$4+ROW(A3)-1&lt;=Person2!$G$4, Person2!$F$4+ROW(A3)-1, "")</f>
        <v/>
      </c>
      <c r="AG5" s="1" t="str">
        <f>IF(Person2!$F$5+ROW(A3)-1&lt;=Person2!$G$5, Person2!$F$5+ROW(A3)-1, "")</f>
        <v/>
      </c>
      <c r="AH5" s="1" t="str">
        <f>IF(Person2!$F$6+ROW(A3)-1&lt;=Person2!$G$6, Person2!$F$6+ROW(A3)-1, "")</f>
        <v/>
      </c>
      <c r="AI5" s="1" t="str">
        <f>IF(Person2!$F$7+ROW(A3)-1&lt;=Person2!$G$7, Person2!$F$7+ROW(A3)-1, "")</f>
        <v/>
      </c>
    </row>
    <row r="6" spans="1:35" x14ac:dyDescent="0.3">
      <c r="A6" s="1" t="str">
        <f>IF(Person2!$B$3+ROW(A4)-1&lt;=Person2!$C$3, Person2!$B$3+ROW(A4)-1, "")</f>
        <v/>
      </c>
      <c r="B6" s="1" t="str">
        <f>IF(Person2!$B$4+ROW(B4)-1&lt;=Person2!$C$4, Person2!$B$4+ROW(B4)-1, "")</f>
        <v/>
      </c>
      <c r="C6" s="1" t="str">
        <f>IF(Person2!$B$5+ROW(B4)-1&lt;=Person2!$C$5, Person2!$B$5+ROW(B4)-1, "")</f>
        <v/>
      </c>
      <c r="D6" s="1" t="str">
        <f>IF(Person2!$B$6+ROW(B4)-1&lt;=Person2!$C$6, Person2!$B$6+ROW(B4)-1, "")</f>
        <v/>
      </c>
      <c r="E6" s="1" t="str">
        <f>IF(Person2!$B$7+ROW(B4)-1&lt;=Person2!$C$7, Person2!$B$7+ROW(B4)-1, "")</f>
        <v/>
      </c>
      <c r="F6" s="1" t="str">
        <f>IF(Person2!$B$8+ROW(B4)-1&lt;=Person2!$C$8, Person2!$B$8+ROW(B4)-1, "")</f>
        <v/>
      </c>
      <c r="G6" s="1" t="str">
        <f>IF(Person2!$B$9+ROW(B4)-1&lt;=Person2!$C$9, Person2!$B$9+ROW(B4)-1, "")</f>
        <v/>
      </c>
      <c r="H6" s="1" t="str">
        <f>IF(Person2!$B$10+ROW(B4)-1&lt;=Person2!$C$10, Person2!$B$10+ROW(B4)-1, "")</f>
        <v/>
      </c>
      <c r="I6" s="1" t="str">
        <f>IF(Person2!$B$11+ROW(B4)-1&lt;=Person2!$C$11, Person2!$B$11+ROW(B4)-1, "")</f>
        <v/>
      </c>
      <c r="J6" s="1" t="str">
        <f>IF(Person2!$B$12+ROW(B4)-1&lt;=Person2!$C$12, Person2!$B$12+ROW(B4)-1, "")</f>
        <v/>
      </c>
      <c r="K6" s="1" t="str">
        <f>IF(Person2!$B$13+ROW(B4)-1&lt;=Person2!$C$13, Person2!$B$13+ROW(B4)-1, "")</f>
        <v/>
      </c>
      <c r="L6" s="1" t="str">
        <f>IF(Person2!$B$14+ROW(B4)-1&lt;=Person2!$C$14, Person2!$B$14+ROW(B4)-1, "")</f>
        <v/>
      </c>
      <c r="M6" s="1" t="str">
        <f>IF(Person2!$B$15+ROW(B4)-1&lt;=Person2!$C$15, Person2!$B$15+ROW(B4)-1, "")</f>
        <v/>
      </c>
      <c r="N6" s="1" t="str">
        <f>IF(Person2!$B$16+ROW(B4)-1&lt;=Person2!$C$16, Person2!$B$16+ROW(B4)-1, "")</f>
        <v/>
      </c>
      <c r="O6" s="1" t="str">
        <f>IF(Person2!$B$17+ROW(B4)-1&lt;=Person2!$C$17, Person2!$B$17+ROW(B4)-1, "")</f>
        <v/>
      </c>
      <c r="V6" s="1" t="str">
        <f>IF(Person2!$D$3+ROW(A4)-1&lt;=Person2!$E$3, Person2!$D$3+ROW(A4)-1, "")</f>
        <v/>
      </c>
      <c r="W6" s="1" t="str">
        <f>IF(Person2!$D$4+ROW(A4)-1&lt;=Person2!$E$4, Person2!$D$4+ROW(A4)-1, "")</f>
        <v/>
      </c>
      <c r="X6" s="1" t="str">
        <f>IF(Person2!$D$5+ROW(A4)-1&lt;=Person2!$E$5, Person2!$D$5+ROW(A4)-1, "")</f>
        <v/>
      </c>
      <c r="Y6" s="1" t="str">
        <f>IF(Person2!$D$6+ROW(A4)-1&lt;=Person2!$E$6, Person2!$D$6+ROW(A4)-1, "")</f>
        <v/>
      </c>
      <c r="Z6" s="1" t="str">
        <f>IF(Person2!$D$7+ROW(A4)-1&lt;=Person2!$E$7, Person2!$D$7+ROW(A4)-1, "")</f>
        <v/>
      </c>
      <c r="AA6" s="1" t="str">
        <f>IF(Person2!$D$8+ROW(A4)-1&lt;=Person2!$E$8, Person2!$D$8+ROW(A4)-1, "")</f>
        <v/>
      </c>
      <c r="AE6" s="1" t="str">
        <f>IF(Person2!$F$3+ROW(A4)-1&lt;=Person2!$G$3, Person2!$F$3+ROW(A4)-1, "")</f>
        <v/>
      </c>
      <c r="AF6" s="1" t="str">
        <f>IF(Person2!$F$4+ROW(A4)-1&lt;=Person2!$G$4, Person2!$F$4+ROW(A4)-1, "")</f>
        <v/>
      </c>
      <c r="AG6" s="1" t="str">
        <f>IF(Person2!$F$5+ROW(A4)-1&lt;=Person2!$G$5, Person2!$F$5+ROW(A4)-1, "")</f>
        <v/>
      </c>
      <c r="AH6" s="1" t="str">
        <f>IF(Person2!$F$6+ROW(A4)-1&lt;=Person2!$G$6, Person2!$F$6+ROW(A4)-1, "")</f>
        <v/>
      </c>
      <c r="AI6" s="1" t="str">
        <f>IF(Person2!$F$7+ROW(A4)-1&lt;=Person2!$G$7, Person2!$F$7+ROW(A4)-1, "")</f>
        <v/>
      </c>
    </row>
    <row r="7" spans="1:35" x14ac:dyDescent="0.3">
      <c r="A7" s="1" t="str">
        <f>IF(Person2!$B$3+ROW(A5)-1&lt;=Person2!$C$3, Person2!$B$3+ROW(A5)-1, "")</f>
        <v/>
      </c>
      <c r="B7" s="1" t="str">
        <f>IF(Person2!$B$4+ROW(B5)-1&lt;=Person2!$C$4, Person2!$B$4+ROW(B5)-1, "")</f>
        <v/>
      </c>
      <c r="C7" s="1" t="str">
        <f>IF(Person2!$B$5+ROW(B5)-1&lt;=Person2!$C$5, Person2!$B$5+ROW(B5)-1, "")</f>
        <v/>
      </c>
      <c r="D7" s="1" t="str">
        <f>IF(Person2!$B$6+ROW(B5)-1&lt;=Person2!$C$6, Person2!$B$6+ROW(B5)-1, "")</f>
        <v/>
      </c>
      <c r="E7" s="1" t="str">
        <f>IF(Person2!$B$7+ROW(B5)-1&lt;=Person2!$C$7, Person2!$B$7+ROW(B5)-1, "")</f>
        <v/>
      </c>
      <c r="F7" s="1" t="str">
        <f>IF(Person2!$B$8+ROW(B5)-1&lt;=Person2!$C$8, Person2!$B$8+ROW(B5)-1, "")</f>
        <v/>
      </c>
      <c r="G7" s="1" t="str">
        <f>IF(Person2!$B$9+ROW(B5)-1&lt;=Person2!$C$9, Person2!$B$9+ROW(B5)-1, "")</f>
        <v/>
      </c>
      <c r="H7" s="1" t="str">
        <f>IF(Person2!$B$10+ROW(B5)-1&lt;=Person2!$C$10, Person2!$B$10+ROW(B5)-1, "")</f>
        <v/>
      </c>
      <c r="I7" s="1" t="str">
        <f>IF(Person2!$B$11+ROW(B5)-1&lt;=Person2!$C$11, Person2!$B$11+ROW(B5)-1, "")</f>
        <v/>
      </c>
      <c r="J7" s="1" t="str">
        <f>IF(Person2!$B$12+ROW(B5)-1&lt;=Person2!$C$12, Person2!$B$12+ROW(B5)-1, "")</f>
        <v/>
      </c>
      <c r="K7" s="1" t="str">
        <f>IF(Person2!$B$13+ROW(B5)-1&lt;=Person2!$C$13, Person2!$B$13+ROW(B5)-1, "")</f>
        <v/>
      </c>
      <c r="L7" s="1" t="str">
        <f>IF(Person2!$B$14+ROW(B5)-1&lt;=Person2!$C$14, Person2!$B$14+ROW(B5)-1, "")</f>
        <v/>
      </c>
      <c r="M7" s="1" t="str">
        <f>IF(Person2!$B$15+ROW(B5)-1&lt;=Person2!$C$15, Person2!$B$15+ROW(B5)-1, "")</f>
        <v/>
      </c>
      <c r="N7" s="1" t="str">
        <f>IF(Person2!$B$16+ROW(B5)-1&lt;=Person2!$C$16, Person2!$B$16+ROW(B5)-1, "")</f>
        <v/>
      </c>
      <c r="O7" s="1" t="str">
        <f>IF(Person2!$B$17+ROW(B5)-1&lt;=Person2!$C$17, Person2!$B$17+ROW(B5)-1, "")</f>
        <v/>
      </c>
      <c r="V7" s="1" t="str">
        <f>IF(Person2!$D$3+ROW(A5)-1&lt;=Person2!$E$3, Person2!$D$3+ROW(A5)-1, "")</f>
        <v/>
      </c>
      <c r="W7" s="1" t="str">
        <f>IF(Person2!$D$4+ROW(A5)-1&lt;=Person2!$E$4, Person2!$D$4+ROW(A5)-1, "")</f>
        <v/>
      </c>
      <c r="X7" s="1" t="str">
        <f>IF(Person2!$D$5+ROW(A5)-1&lt;=Person2!$E$5, Person2!$D$5+ROW(A5)-1, "")</f>
        <v/>
      </c>
      <c r="Y7" s="1" t="str">
        <f>IF(Person2!$D$6+ROW(A5)-1&lt;=Person2!$E$6, Person2!$D$6+ROW(A5)-1, "")</f>
        <v/>
      </c>
      <c r="Z7" s="1" t="str">
        <f>IF(Person2!$D$7+ROW(A5)-1&lt;=Person2!$E$7, Person2!$D$7+ROW(A5)-1, "")</f>
        <v/>
      </c>
      <c r="AA7" s="1" t="str">
        <f>IF(Person2!$D$8+ROW(A5)-1&lt;=Person2!$E$8, Person2!$D$8+ROW(A5)-1, "")</f>
        <v/>
      </c>
      <c r="AE7" s="1" t="str">
        <f>IF(Person2!$F$3+ROW(A5)-1&lt;=Person2!$G$3, Person2!$F$3+ROW(A5)-1, "")</f>
        <v/>
      </c>
      <c r="AF7" s="1" t="str">
        <f>IF(Person2!$F$4+ROW(A5)-1&lt;=Person2!$G$4, Person2!$F$4+ROW(A5)-1, "")</f>
        <v/>
      </c>
      <c r="AG7" s="1" t="str">
        <f>IF(Person2!$F$5+ROW(A5)-1&lt;=Person2!$G$5, Person2!$F$5+ROW(A5)-1, "")</f>
        <v/>
      </c>
      <c r="AH7" s="1" t="str">
        <f>IF(Person2!$F$6+ROW(A5)-1&lt;=Person2!$G$6, Person2!$F$6+ROW(A5)-1, "")</f>
        <v/>
      </c>
      <c r="AI7" s="1" t="str">
        <f>IF(Person2!$F$7+ROW(A5)-1&lt;=Person2!$G$7, Person2!$F$7+ROW(A5)-1, "")</f>
        <v/>
      </c>
    </row>
    <row r="8" spans="1:35" x14ac:dyDescent="0.3">
      <c r="A8" s="1" t="str">
        <f>IF(Person2!$B$3+ROW(A6)-1&lt;=Person2!$C$3, Person2!$B$3+ROW(A6)-1, "")</f>
        <v/>
      </c>
      <c r="B8" s="1" t="str">
        <f>IF(Person2!$B$4+ROW(B6)-1&lt;=Person2!$C$4, Person2!$B$4+ROW(B6)-1, "")</f>
        <v/>
      </c>
      <c r="C8" s="1" t="str">
        <f>IF(Person2!$B$5+ROW(B6)-1&lt;=Person2!$C$5, Person2!$B$5+ROW(B6)-1, "")</f>
        <v/>
      </c>
      <c r="D8" s="1" t="str">
        <f>IF(Person2!$B$6+ROW(B6)-1&lt;=Person2!$C$6, Person2!$B$6+ROW(B6)-1, "")</f>
        <v/>
      </c>
      <c r="E8" s="1" t="str">
        <f>IF(Person2!$B$7+ROW(B6)-1&lt;=Person2!$C$7, Person2!$B$7+ROW(B6)-1, "")</f>
        <v/>
      </c>
      <c r="F8" s="1" t="str">
        <f>IF(Person2!$B$8+ROW(B6)-1&lt;=Person2!$C$8, Person2!$B$8+ROW(B6)-1, "")</f>
        <v/>
      </c>
      <c r="G8" s="1" t="str">
        <f>IF(Person2!$B$9+ROW(B6)-1&lt;=Person2!$C$9, Person2!$B$9+ROW(B6)-1, "")</f>
        <v/>
      </c>
      <c r="H8" s="1" t="str">
        <f>IF(Person2!$B$10+ROW(B6)-1&lt;=Person2!$C$10, Person2!$B$10+ROW(B6)-1, "")</f>
        <v/>
      </c>
      <c r="I8" s="1" t="str">
        <f>IF(Person2!$B$11+ROW(B6)-1&lt;=Person2!$C$11, Person2!$B$11+ROW(B6)-1, "")</f>
        <v/>
      </c>
      <c r="J8" s="1" t="str">
        <f>IF(Person2!$B$12+ROW(B6)-1&lt;=Person2!$C$12, Person2!$B$12+ROW(B6)-1, "")</f>
        <v/>
      </c>
      <c r="K8" s="1" t="str">
        <f>IF(Person2!$B$13+ROW(B6)-1&lt;=Person2!$C$13, Person2!$B$13+ROW(B6)-1, "")</f>
        <v/>
      </c>
      <c r="L8" s="1" t="str">
        <f>IF(Person2!$B$14+ROW(B6)-1&lt;=Person2!$C$14, Person2!$B$14+ROW(B6)-1, "")</f>
        <v/>
      </c>
      <c r="M8" s="1" t="str">
        <f>IF(Person2!$B$15+ROW(B6)-1&lt;=Person2!$C$15, Person2!$B$15+ROW(B6)-1, "")</f>
        <v/>
      </c>
      <c r="N8" s="1" t="str">
        <f>IF(Person2!$B$16+ROW(B6)-1&lt;=Person2!$C$16, Person2!$B$16+ROW(B6)-1, "")</f>
        <v/>
      </c>
      <c r="O8" s="1" t="str">
        <f>IF(Person2!$B$17+ROW(B6)-1&lt;=Person2!$C$17, Person2!$B$17+ROW(B6)-1, "")</f>
        <v/>
      </c>
      <c r="V8" s="1" t="str">
        <f>IF(Person2!$D$3+ROW(A6)-1&lt;=Person2!$E$3, Person2!$D$3+ROW(A6)-1, "")</f>
        <v/>
      </c>
      <c r="W8" s="1" t="str">
        <f>IF(Person2!$D$4+ROW(A6)-1&lt;=Person2!$E$4, Person2!$D$4+ROW(A6)-1, "")</f>
        <v/>
      </c>
      <c r="X8" s="1" t="str">
        <f>IF(Person2!$D$5+ROW(A6)-1&lt;=Person2!$E$5, Person2!$D$5+ROW(A6)-1, "")</f>
        <v/>
      </c>
      <c r="Y8" s="1" t="str">
        <f>IF(Person2!$D$6+ROW(A6)-1&lt;=Person2!$E$6, Person2!$D$6+ROW(A6)-1, "")</f>
        <v/>
      </c>
      <c r="Z8" s="1" t="str">
        <f>IF(Person2!$D$7+ROW(A6)-1&lt;=Person2!$E$7, Person2!$D$7+ROW(A6)-1, "")</f>
        <v/>
      </c>
      <c r="AA8" s="1" t="str">
        <f>IF(Person2!$D$8+ROW(A6)-1&lt;=Person2!$E$8, Person2!$D$8+ROW(A6)-1, "")</f>
        <v/>
      </c>
      <c r="AE8" s="1" t="str">
        <f>IF(Person2!$F$3+ROW(A6)-1&lt;=Person2!$G$3, Person2!$F$3+ROW(A6)-1, "")</f>
        <v/>
      </c>
      <c r="AF8" s="1" t="str">
        <f>IF(Person2!$F$4+ROW(A6)-1&lt;=Person2!$G$4, Person2!$F$4+ROW(A6)-1, "")</f>
        <v/>
      </c>
      <c r="AG8" s="1" t="str">
        <f>IF(Person2!$F$5+ROW(A6)-1&lt;=Person2!$G$5, Person2!$F$5+ROW(A6)-1, "")</f>
        <v/>
      </c>
      <c r="AH8" s="1" t="str">
        <f>IF(Person2!$F$6+ROW(A6)-1&lt;=Person2!$G$6, Person2!$F$6+ROW(A6)-1, "")</f>
        <v/>
      </c>
      <c r="AI8" s="1" t="str">
        <f>IF(Person2!$F$7+ROW(A6)-1&lt;=Person2!$G$7, Person2!$F$7+ROW(A6)-1, "")</f>
        <v/>
      </c>
    </row>
    <row r="9" spans="1:35" x14ac:dyDescent="0.3">
      <c r="A9" s="1" t="str">
        <f>IF(Person2!$B$3+ROW(A7)-1&lt;=Person2!$C$3, Person2!$B$3+ROW(A7)-1, "")</f>
        <v/>
      </c>
      <c r="B9" s="1" t="str">
        <f>IF(Person2!$B$4+ROW(B7)-1&lt;=Person2!$C$4, Person2!$B$4+ROW(B7)-1, "")</f>
        <v/>
      </c>
      <c r="C9" s="1" t="str">
        <f>IF(Person2!$B$5+ROW(B7)-1&lt;=Person2!$C$5, Person2!$B$5+ROW(B7)-1, "")</f>
        <v/>
      </c>
      <c r="D9" s="1" t="str">
        <f>IF(Person2!$B$6+ROW(B7)-1&lt;=Person2!$C$6, Person2!$B$6+ROW(B7)-1, "")</f>
        <v/>
      </c>
      <c r="E9" s="1" t="str">
        <f>IF(Person2!$B$7+ROW(B7)-1&lt;=Person2!$C$7, Person2!$B$7+ROW(B7)-1, "")</f>
        <v/>
      </c>
      <c r="F9" s="1" t="str">
        <f>IF(Person2!$B$8+ROW(B7)-1&lt;=Person2!$C$8, Person2!$B$8+ROW(B7)-1, "")</f>
        <v/>
      </c>
      <c r="G9" s="1" t="str">
        <f>IF(Person2!$B$9+ROW(B7)-1&lt;=Person2!$C$9, Person2!$B$9+ROW(B7)-1, "")</f>
        <v/>
      </c>
      <c r="H9" s="1" t="str">
        <f>IF(Person2!$B$10+ROW(B7)-1&lt;=Person2!$C$10, Person2!$B$10+ROW(B7)-1, "")</f>
        <v/>
      </c>
      <c r="I9" s="1" t="str">
        <f>IF(Person2!$B$11+ROW(B7)-1&lt;=Person2!$C$11, Person2!$B$11+ROW(B7)-1, "")</f>
        <v/>
      </c>
      <c r="J9" s="1" t="str">
        <f>IF(Person2!$B$12+ROW(B7)-1&lt;=Person2!$C$12, Person2!$B$12+ROW(B7)-1, "")</f>
        <v/>
      </c>
      <c r="K9" s="1" t="str">
        <f>IF(Person2!$B$13+ROW(B7)-1&lt;=Person2!$C$13, Person2!$B$13+ROW(B7)-1, "")</f>
        <v/>
      </c>
      <c r="L9" s="1" t="str">
        <f>IF(Person2!$B$14+ROW(B7)-1&lt;=Person2!$C$14, Person2!$B$14+ROW(B7)-1, "")</f>
        <v/>
      </c>
      <c r="M9" s="1" t="str">
        <f>IF(Person2!$B$15+ROW(B7)-1&lt;=Person2!$C$15, Person2!$B$15+ROW(B7)-1, "")</f>
        <v/>
      </c>
      <c r="N9" s="1" t="str">
        <f>IF(Person2!$B$16+ROW(B7)-1&lt;=Person2!$C$16, Person2!$B$16+ROW(B7)-1, "")</f>
        <v/>
      </c>
      <c r="O9" s="1" t="str">
        <f>IF(Person2!$B$17+ROW(B7)-1&lt;=Person2!$C$17, Person2!$B$17+ROW(B7)-1, "")</f>
        <v/>
      </c>
      <c r="V9" s="1" t="str">
        <f>IF(Person2!$D$3+ROW(A7)-1&lt;=Person2!$E$3, Person2!$D$3+ROW(A7)-1, "")</f>
        <v/>
      </c>
      <c r="W9" s="1" t="str">
        <f>IF(Person2!$D$4+ROW(A7)-1&lt;=Person2!$E$4, Person2!$D$4+ROW(A7)-1, "")</f>
        <v/>
      </c>
      <c r="X9" s="1" t="str">
        <f>IF(Person2!$D$5+ROW(A7)-1&lt;=Person2!$E$5, Person2!$D$5+ROW(A7)-1, "")</f>
        <v/>
      </c>
      <c r="Y9" s="1" t="str">
        <f>IF(Person2!$D$6+ROW(A7)-1&lt;=Person2!$E$6, Person2!$D$6+ROW(A7)-1, "")</f>
        <v/>
      </c>
      <c r="Z9" s="1" t="str">
        <f>IF(Person2!$D$7+ROW(A7)-1&lt;=Person2!$E$7, Person2!$D$7+ROW(A7)-1, "")</f>
        <v/>
      </c>
      <c r="AA9" s="1" t="str">
        <f>IF(Person2!$D$8+ROW(A7)-1&lt;=Person2!$E$8, Person2!$D$8+ROW(A7)-1, "")</f>
        <v/>
      </c>
      <c r="AE9" s="1" t="str">
        <f>IF(Person2!$F$3+ROW(A7)-1&lt;=Person2!$G$3, Person2!$F$3+ROW(A7)-1, "")</f>
        <v/>
      </c>
      <c r="AF9" s="1" t="str">
        <f>IF(Person2!$F$4+ROW(A7)-1&lt;=Person2!$G$4, Person2!$F$4+ROW(A7)-1, "")</f>
        <v/>
      </c>
      <c r="AG9" s="1" t="str">
        <f>IF(Person2!$F$5+ROW(A7)-1&lt;=Person2!$G$5, Person2!$F$5+ROW(A7)-1, "")</f>
        <v/>
      </c>
      <c r="AH9" s="1" t="str">
        <f>IF(Person2!$F$6+ROW(A7)-1&lt;=Person2!$G$6, Person2!$F$6+ROW(A7)-1, "")</f>
        <v/>
      </c>
      <c r="AI9" s="1" t="str">
        <f>IF(Person2!$F$7+ROW(A7)-1&lt;=Person2!$G$7, Person2!$F$7+ROW(A7)-1, "")</f>
        <v/>
      </c>
    </row>
    <row r="10" spans="1:35" x14ac:dyDescent="0.3">
      <c r="A10" s="1" t="str">
        <f>IF(Person2!$B$3+ROW(A8)-1&lt;=Person2!$C$3, Person2!$B$3+ROW(A8)-1, "")</f>
        <v/>
      </c>
      <c r="B10" s="1" t="str">
        <f>IF(Person2!$B$4+ROW(B8)-1&lt;=Person2!$C$4, Person2!$B$4+ROW(B8)-1, "")</f>
        <v/>
      </c>
      <c r="C10" s="1" t="str">
        <f>IF(Person2!$B$5+ROW(B8)-1&lt;=Person2!$C$5, Person2!$B$5+ROW(B8)-1, "")</f>
        <v/>
      </c>
      <c r="D10" s="1" t="str">
        <f>IF(Person2!$B$6+ROW(B8)-1&lt;=Person2!$C$6, Person2!$B$6+ROW(B8)-1, "")</f>
        <v/>
      </c>
      <c r="E10" s="1" t="str">
        <f>IF(Person2!$B$7+ROW(B8)-1&lt;=Person2!$C$7, Person2!$B$7+ROW(B8)-1, "")</f>
        <v/>
      </c>
      <c r="F10" s="1" t="str">
        <f>IF(Person2!$B$8+ROW(B8)-1&lt;=Person2!$C$8, Person2!$B$8+ROW(B8)-1, "")</f>
        <v/>
      </c>
      <c r="G10" s="1" t="str">
        <f>IF(Person2!$B$9+ROW(B8)-1&lt;=Person2!$C$9, Person2!$B$9+ROW(B8)-1, "")</f>
        <v/>
      </c>
      <c r="H10" s="1" t="str">
        <f>IF(Person2!$B$10+ROW(B8)-1&lt;=Person2!$C$10, Person2!$B$10+ROW(B8)-1, "")</f>
        <v/>
      </c>
      <c r="I10" s="1" t="str">
        <f>IF(Person2!$B$11+ROW(B8)-1&lt;=Person2!$C$11, Person2!$B$11+ROW(B8)-1, "")</f>
        <v/>
      </c>
      <c r="J10" s="1" t="str">
        <f>IF(Person2!$B$12+ROW(B8)-1&lt;=Person2!$C$12, Person2!$B$12+ROW(B8)-1, "")</f>
        <v/>
      </c>
      <c r="K10" s="1" t="str">
        <f>IF(Person2!$B$13+ROW(B8)-1&lt;=Person2!$C$13, Person2!$B$13+ROW(B8)-1, "")</f>
        <v/>
      </c>
      <c r="L10" s="1" t="str">
        <f>IF(Person2!$B$14+ROW(B8)-1&lt;=Person2!$C$14, Person2!$B$14+ROW(B8)-1, "")</f>
        <v/>
      </c>
      <c r="M10" s="1" t="str">
        <f>IF(Person2!$B$15+ROW(B8)-1&lt;=Person2!$C$15, Person2!$B$15+ROW(B8)-1, "")</f>
        <v/>
      </c>
      <c r="N10" s="1" t="str">
        <f>IF(Person2!$B$16+ROW(B8)-1&lt;=Person2!$C$16, Person2!$B$16+ROW(B8)-1, "")</f>
        <v/>
      </c>
      <c r="O10" s="1" t="str">
        <f>IF(Person2!$B$17+ROW(B8)-1&lt;=Person2!$C$17, Person2!$B$17+ROW(B8)-1, "")</f>
        <v/>
      </c>
      <c r="V10" s="1" t="str">
        <f>IF(Person2!$D$3+ROW(A8)-1&lt;=Person2!$E$3, Person2!$D$3+ROW(A8)-1, "")</f>
        <v/>
      </c>
      <c r="W10" s="1" t="str">
        <f>IF(Person2!$D$4+ROW(A8)-1&lt;=Person2!$E$4, Person2!$D$4+ROW(A8)-1, "")</f>
        <v/>
      </c>
      <c r="X10" s="1" t="str">
        <f>IF(Person2!$D$5+ROW(A8)-1&lt;=Person2!$E$5, Person2!$D$5+ROW(A8)-1, "")</f>
        <v/>
      </c>
      <c r="Y10" s="1" t="str">
        <f>IF(Person2!$D$6+ROW(A8)-1&lt;=Person2!$E$6, Person2!$D$6+ROW(A8)-1, "")</f>
        <v/>
      </c>
      <c r="Z10" s="1" t="str">
        <f>IF(Person2!$D$7+ROW(A8)-1&lt;=Person2!$E$7, Person2!$D$7+ROW(A8)-1, "")</f>
        <v/>
      </c>
      <c r="AA10" s="1" t="str">
        <f>IF(Person2!$D$8+ROW(A8)-1&lt;=Person2!$E$8, Person2!$D$8+ROW(A8)-1, "")</f>
        <v/>
      </c>
      <c r="AE10" s="1" t="str">
        <f>IF(Person2!$F$3+ROW(A8)-1&lt;=Person2!$G$3, Person2!$F$3+ROW(A8)-1, "")</f>
        <v/>
      </c>
      <c r="AF10" s="1" t="str">
        <f>IF(Person2!$F$4+ROW(A8)-1&lt;=Person2!$G$4, Person2!$F$4+ROW(A8)-1, "")</f>
        <v/>
      </c>
      <c r="AG10" s="1" t="str">
        <f>IF(Person2!$F$5+ROW(A8)-1&lt;=Person2!$G$5, Person2!$F$5+ROW(A8)-1, "")</f>
        <v/>
      </c>
      <c r="AH10" s="1" t="str">
        <f>IF(Person2!$F$6+ROW(A8)-1&lt;=Person2!$G$6, Person2!$F$6+ROW(A8)-1, "")</f>
        <v/>
      </c>
      <c r="AI10" s="1" t="str">
        <f>IF(Person2!$F$7+ROW(A8)-1&lt;=Person2!$G$7, Person2!$F$7+ROW(A8)-1, "")</f>
        <v/>
      </c>
    </row>
    <row r="11" spans="1:35" x14ac:dyDescent="0.3">
      <c r="A11" s="1" t="str">
        <f>IF(Person2!$B$3+ROW(A9)-1&lt;=Person2!$C$3, Person2!$B$3+ROW(A9)-1, "")</f>
        <v/>
      </c>
      <c r="B11" s="1" t="str">
        <f>IF(Person2!$B$4+ROW(B9)-1&lt;=Person2!$C$4, Person2!$B$4+ROW(B9)-1, "")</f>
        <v/>
      </c>
      <c r="C11" s="1" t="str">
        <f>IF(Person2!$B$5+ROW(B9)-1&lt;=Person2!$C$5, Person2!$B$5+ROW(B9)-1, "")</f>
        <v/>
      </c>
      <c r="D11" s="1" t="str">
        <f>IF(Person2!$B$6+ROW(B9)-1&lt;=Person2!$C$6, Person2!$B$6+ROW(B9)-1, "")</f>
        <v/>
      </c>
      <c r="E11" s="1" t="str">
        <f>IF(Person2!$B$7+ROW(B9)-1&lt;=Person2!$C$7, Person2!$B$7+ROW(B9)-1, "")</f>
        <v/>
      </c>
      <c r="F11" s="1" t="str">
        <f>IF(Person2!$B$8+ROW(B9)-1&lt;=Person2!$C$8, Person2!$B$8+ROW(B9)-1, "")</f>
        <v/>
      </c>
      <c r="G11" s="1" t="str">
        <f>IF(Person2!$B$9+ROW(B9)-1&lt;=Person2!$C$9, Person2!$B$9+ROW(B9)-1, "")</f>
        <v/>
      </c>
      <c r="H11" s="1" t="str">
        <f>IF(Person2!$B$10+ROW(B9)-1&lt;=Person2!$C$10, Person2!$B$10+ROW(B9)-1, "")</f>
        <v/>
      </c>
      <c r="I11" s="1" t="str">
        <f>IF(Person2!$B$11+ROW(B9)-1&lt;=Person2!$C$11, Person2!$B$11+ROW(B9)-1, "")</f>
        <v/>
      </c>
      <c r="J11" s="1" t="str">
        <f>IF(Person2!$B$12+ROW(B9)-1&lt;=Person2!$C$12, Person2!$B$12+ROW(B9)-1, "")</f>
        <v/>
      </c>
      <c r="K11" s="1" t="str">
        <f>IF(Person2!$B$13+ROW(B9)-1&lt;=Person2!$C$13, Person2!$B$13+ROW(B9)-1, "")</f>
        <v/>
      </c>
      <c r="L11" s="1" t="str">
        <f>IF(Person2!$B$14+ROW(B9)-1&lt;=Person2!$C$14, Person2!$B$14+ROW(B9)-1, "")</f>
        <v/>
      </c>
      <c r="M11" s="1" t="str">
        <f>IF(Person2!$B$15+ROW(B9)-1&lt;=Person2!$C$15, Person2!$B$15+ROW(B9)-1, "")</f>
        <v/>
      </c>
      <c r="N11" s="1" t="str">
        <f>IF(Person2!$B$16+ROW(B9)-1&lt;=Person2!$C$16, Person2!$B$16+ROW(B9)-1, "")</f>
        <v/>
      </c>
      <c r="O11" s="1" t="str">
        <f>IF(Person2!$B$17+ROW(B9)-1&lt;=Person2!$C$17, Person2!$B$17+ROW(B9)-1, "")</f>
        <v/>
      </c>
      <c r="V11" s="1" t="str">
        <f>IF(Person2!$D$3+ROW(A9)-1&lt;=Person2!$E$3, Person2!$D$3+ROW(A9)-1, "")</f>
        <v/>
      </c>
      <c r="W11" s="1" t="str">
        <f>IF(Person2!$D$4+ROW(A9)-1&lt;=Person2!$E$4, Person2!$D$4+ROW(A9)-1, "")</f>
        <v/>
      </c>
      <c r="X11" s="1" t="str">
        <f>IF(Person2!$D$5+ROW(A9)-1&lt;=Person2!$E$5, Person2!$D$5+ROW(A9)-1, "")</f>
        <v/>
      </c>
      <c r="Y11" s="1" t="str">
        <f>IF(Person2!$D$6+ROW(A9)-1&lt;=Person2!$E$6, Person2!$D$6+ROW(A9)-1, "")</f>
        <v/>
      </c>
      <c r="Z11" s="1" t="str">
        <f>IF(Person2!$D$7+ROW(A9)-1&lt;=Person2!$E$7, Person2!$D$7+ROW(A9)-1, "")</f>
        <v/>
      </c>
      <c r="AA11" s="1" t="str">
        <f>IF(Person2!$D$8+ROW(A9)-1&lt;=Person2!$E$8, Person2!$D$8+ROW(A9)-1, "")</f>
        <v/>
      </c>
      <c r="AE11" s="1" t="str">
        <f>IF(Person2!$F$3+ROW(A9)-1&lt;=Person2!$G$3, Person2!$F$3+ROW(A9)-1, "")</f>
        <v/>
      </c>
      <c r="AF11" s="1" t="str">
        <f>IF(Person2!$F$4+ROW(A9)-1&lt;=Person2!$G$4, Person2!$F$4+ROW(A9)-1, "")</f>
        <v/>
      </c>
      <c r="AG11" s="1" t="str">
        <f>IF(Person2!$F$5+ROW(A9)-1&lt;=Person2!$G$5, Person2!$F$5+ROW(A9)-1, "")</f>
        <v/>
      </c>
      <c r="AH11" s="1" t="str">
        <f>IF(Person2!$F$6+ROW(A9)-1&lt;=Person2!$G$6, Person2!$F$6+ROW(A9)-1, "")</f>
        <v/>
      </c>
      <c r="AI11" s="1" t="str">
        <f>IF(Person2!$F$7+ROW(A9)-1&lt;=Person2!$G$7, Person2!$F$7+ROW(A9)-1, "")</f>
        <v/>
      </c>
    </row>
    <row r="12" spans="1:35" x14ac:dyDescent="0.3">
      <c r="A12" s="1" t="str">
        <f>IF(Person2!$B$3+ROW(A10)-1&lt;=Person2!$C$3, Person2!$B$3+ROW(A10)-1, "")</f>
        <v/>
      </c>
      <c r="B12" s="1" t="str">
        <f>IF(Person2!$B$4+ROW(B10)-1&lt;=Person2!$C$4, Person2!$B$4+ROW(B10)-1, "")</f>
        <v/>
      </c>
      <c r="C12" s="1" t="str">
        <f>IF(Person2!$B$5+ROW(B10)-1&lt;=Person2!$C$5, Person2!$B$5+ROW(B10)-1, "")</f>
        <v/>
      </c>
      <c r="D12" s="1" t="str">
        <f>IF(Person2!$B$6+ROW(B10)-1&lt;=Person2!$C$6, Person2!$B$6+ROW(B10)-1, "")</f>
        <v/>
      </c>
      <c r="E12" s="1" t="str">
        <f>IF(Person2!$B$7+ROW(B10)-1&lt;=Person2!$C$7, Person2!$B$7+ROW(B10)-1, "")</f>
        <v/>
      </c>
      <c r="F12" s="1" t="str">
        <f>IF(Person2!$B$8+ROW(B10)-1&lt;=Person2!$C$8, Person2!$B$8+ROW(B10)-1, "")</f>
        <v/>
      </c>
      <c r="G12" s="1" t="str">
        <f>IF(Person2!$B$9+ROW(B10)-1&lt;=Person2!$C$9, Person2!$B$9+ROW(B10)-1, "")</f>
        <v/>
      </c>
      <c r="H12" s="1" t="str">
        <f>IF(Person2!$B$10+ROW(B10)-1&lt;=Person2!$C$10, Person2!$B$10+ROW(B10)-1, "")</f>
        <v/>
      </c>
      <c r="I12" s="1" t="str">
        <f>IF(Person2!$B$11+ROW(B10)-1&lt;=Person2!$C$11, Person2!$B$11+ROW(B10)-1, "")</f>
        <v/>
      </c>
      <c r="J12" s="1" t="str">
        <f>IF(Person2!$B$12+ROW(B10)-1&lt;=Person2!$C$12, Person2!$B$12+ROW(B10)-1, "")</f>
        <v/>
      </c>
      <c r="K12" s="1" t="str">
        <f>IF(Person2!$B$13+ROW(B10)-1&lt;=Person2!$C$13, Person2!$B$13+ROW(B10)-1, "")</f>
        <v/>
      </c>
      <c r="L12" s="1" t="str">
        <f>IF(Person2!$B$14+ROW(B10)-1&lt;=Person2!$C$14, Person2!$B$14+ROW(B10)-1, "")</f>
        <v/>
      </c>
      <c r="M12" s="1" t="str">
        <f>IF(Person2!$B$15+ROW(B10)-1&lt;=Person2!$C$15, Person2!$B$15+ROW(B10)-1, "")</f>
        <v/>
      </c>
      <c r="N12" s="1" t="str">
        <f>IF(Person2!$B$16+ROW(B10)-1&lt;=Person2!$C$16, Person2!$B$16+ROW(B10)-1, "")</f>
        <v/>
      </c>
      <c r="O12" s="1" t="str">
        <f>IF(Person2!$B$17+ROW(B10)-1&lt;=Person2!$C$17, Person2!$B$17+ROW(B10)-1, "")</f>
        <v/>
      </c>
      <c r="V12" s="1" t="str">
        <f>IF(Person2!$D$3+ROW(A10)-1&lt;=Person2!$E$3, Person2!$D$3+ROW(A10)-1, "")</f>
        <v/>
      </c>
      <c r="W12" s="1" t="str">
        <f>IF(Person2!$D$4+ROW(A10)-1&lt;=Person2!$E$4, Person2!$D$4+ROW(A10)-1, "")</f>
        <v/>
      </c>
      <c r="X12" s="1" t="str">
        <f>IF(Person2!$D$5+ROW(A10)-1&lt;=Person2!$E$5, Person2!$D$5+ROW(A10)-1, "")</f>
        <v/>
      </c>
      <c r="Y12" s="1" t="str">
        <f>IF(Person2!$D$6+ROW(A10)-1&lt;=Person2!$E$6, Person2!$D$6+ROW(A10)-1, "")</f>
        <v/>
      </c>
      <c r="Z12" s="1" t="str">
        <f>IF(Person2!$D$7+ROW(A10)-1&lt;=Person2!$E$7, Person2!$D$7+ROW(A10)-1, "")</f>
        <v/>
      </c>
      <c r="AA12" s="1" t="str">
        <f>IF(Person2!$D$8+ROW(A10)-1&lt;=Person2!$E$8, Person2!$D$8+ROW(A10)-1, "")</f>
        <v/>
      </c>
      <c r="AE12" s="1" t="str">
        <f>IF(Person2!$F$3+ROW(A10)-1&lt;=Person2!$G$3, Person2!$F$3+ROW(A10)-1, "")</f>
        <v/>
      </c>
      <c r="AF12" s="1" t="str">
        <f>IF(Person2!$F$4+ROW(A10)-1&lt;=Person2!$G$4, Person2!$F$4+ROW(A10)-1, "")</f>
        <v/>
      </c>
      <c r="AG12" s="1" t="str">
        <f>IF(Person2!$F$5+ROW(A10)-1&lt;=Person2!$G$5, Person2!$F$5+ROW(A10)-1, "")</f>
        <v/>
      </c>
      <c r="AH12" s="1" t="str">
        <f>IF(Person2!$F$6+ROW(A10)-1&lt;=Person2!$G$6, Person2!$F$6+ROW(A10)-1, "")</f>
        <v/>
      </c>
      <c r="AI12" s="1" t="str">
        <f>IF(Person2!$F$7+ROW(A10)-1&lt;=Person2!$G$7, Person2!$F$7+ROW(A10)-1, "")</f>
        <v/>
      </c>
    </row>
    <row r="13" spans="1:35" x14ac:dyDescent="0.3">
      <c r="A13" s="1" t="str">
        <f>IF(Person2!$B$3+ROW(A11)-1&lt;=Person2!$C$3, Person2!$B$3+ROW(A11)-1, "")</f>
        <v/>
      </c>
      <c r="B13" s="1" t="str">
        <f>IF(Person2!$B$4+ROW(B11)-1&lt;=Person2!$C$4, Person2!$B$4+ROW(B11)-1, "")</f>
        <v/>
      </c>
      <c r="C13" s="1" t="str">
        <f>IF(Person2!$B$5+ROW(B11)-1&lt;=Person2!$C$5, Person2!$B$5+ROW(B11)-1, "")</f>
        <v/>
      </c>
      <c r="D13" s="1" t="str">
        <f>IF(Person2!$B$6+ROW(B11)-1&lt;=Person2!$C$6, Person2!$B$6+ROW(B11)-1, "")</f>
        <v/>
      </c>
      <c r="E13" s="1" t="str">
        <f>IF(Person2!$B$7+ROW(B11)-1&lt;=Person2!$C$7, Person2!$B$7+ROW(B11)-1, "")</f>
        <v/>
      </c>
      <c r="F13" s="1" t="str">
        <f>IF(Person2!$B$8+ROW(B11)-1&lt;=Person2!$C$8, Person2!$B$8+ROW(B11)-1, "")</f>
        <v/>
      </c>
      <c r="G13" s="1" t="str">
        <f>IF(Person2!$B$9+ROW(B11)-1&lt;=Person2!$C$9, Person2!$B$9+ROW(B11)-1, "")</f>
        <v/>
      </c>
      <c r="H13" s="1" t="str">
        <f>IF(Person2!$B$10+ROW(B11)-1&lt;=Person2!$C$10, Person2!$B$10+ROW(B11)-1, "")</f>
        <v/>
      </c>
      <c r="I13" s="1" t="str">
        <f>IF(Person2!$B$11+ROW(B11)-1&lt;=Person2!$C$11, Person2!$B$11+ROW(B11)-1, "")</f>
        <v/>
      </c>
      <c r="J13" s="1" t="str">
        <f>IF(Person2!$B$12+ROW(B11)-1&lt;=Person2!$C$12, Person2!$B$12+ROW(B11)-1, "")</f>
        <v/>
      </c>
      <c r="K13" s="1" t="str">
        <f>IF(Person2!$B$13+ROW(B11)-1&lt;=Person2!$C$13, Person2!$B$13+ROW(B11)-1, "")</f>
        <v/>
      </c>
      <c r="L13" s="1" t="str">
        <f>IF(Person2!$B$14+ROW(B11)-1&lt;=Person2!$C$14, Person2!$B$14+ROW(B11)-1, "")</f>
        <v/>
      </c>
      <c r="M13" s="1" t="str">
        <f>IF(Person2!$B$15+ROW(B11)-1&lt;=Person2!$C$15, Person2!$B$15+ROW(B11)-1, "")</f>
        <v/>
      </c>
      <c r="N13" s="1" t="str">
        <f>IF(Person2!$B$16+ROW(B11)-1&lt;=Person2!$C$16, Person2!$B$16+ROW(B11)-1, "")</f>
        <v/>
      </c>
      <c r="O13" s="1" t="str">
        <f>IF(Person2!$B$17+ROW(B11)-1&lt;=Person2!$C$17, Person2!$B$17+ROW(B11)-1, "")</f>
        <v/>
      </c>
      <c r="V13" s="1" t="str">
        <f>IF(Person2!$D$3+ROW(A11)-1&lt;=Person2!$E$3, Person2!$D$3+ROW(A11)-1, "")</f>
        <v/>
      </c>
      <c r="W13" s="1" t="str">
        <f>IF(Person2!$D$4+ROW(A11)-1&lt;=Person2!$E$4, Person2!$D$4+ROW(A11)-1, "")</f>
        <v/>
      </c>
      <c r="X13" s="1" t="str">
        <f>IF(Person2!$D$5+ROW(A11)-1&lt;=Person2!$E$5, Person2!$D$5+ROW(A11)-1, "")</f>
        <v/>
      </c>
      <c r="Y13" s="1" t="str">
        <f>IF(Person2!$D$6+ROW(A11)-1&lt;=Person2!$E$6, Person2!$D$6+ROW(A11)-1, "")</f>
        <v/>
      </c>
      <c r="Z13" s="1" t="str">
        <f>IF(Person2!$D$7+ROW(A11)-1&lt;=Person2!$E$7, Person2!$D$7+ROW(A11)-1, "")</f>
        <v/>
      </c>
      <c r="AA13" s="1" t="str">
        <f>IF(Person2!$D$8+ROW(A11)-1&lt;=Person2!$E$8, Person2!$D$8+ROW(A11)-1, "")</f>
        <v/>
      </c>
      <c r="AE13" s="1" t="str">
        <f>IF(Person2!$F$3+ROW(A11)-1&lt;=Person2!$G$3, Person2!$F$3+ROW(A11)-1, "")</f>
        <v/>
      </c>
      <c r="AF13" s="1" t="str">
        <f>IF(Person2!$F$4+ROW(A11)-1&lt;=Person2!$G$4, Person2!$F$4+ROW(A11)-1, "")</f>
        <v/>
      </c>
      <c r="AG13" s="1" t="str">
        <f>IF(Person2!$F$5+ROW(A11)-1&lt;=Person2!$G$5, Person2!$F$5+ROW(A11)-1, "")</f>
        <v/>
      </c>
      <c r="AH13" s="1" t="str">
        <f>IF(Person2!$F$6+ROW(A11)-1&lt;=Person2!$G$6, Person2!$F$6+ROW(A11)-1, "")</f>
        <v/>
      </c>
      <c r="AI13" s="1" t="str">
        <f>IF(Person2!$F$7+ROW(A11)-1&lt;=Person2!$G$7, Person2!$F$7+ROW(A11)-1, "")</f>
        <v/>
      </c>
    </row>
    <row r="14" spans="1:35" x14ac:dyDescent="0.3">
      <c r="A14" s="1" t="str">
        <f>IF(Person2!$B$3+ROW(A12)-1&lt;=Person2!$C$3, Person2!$B$3+ROW(A12)-1, "")</f>
        <v/>
      </c>
      <c r="B14" s="1" t="str">
        <f>IF(Person2!$B$4+ROW(B12)-1&lt;=Person2!$C$4, Person2!$B$4+ROW(B12)-1, "")</f>
        <v/>
      </c>
      <c r="C14" s="1" t="str">
        <f>IF(Person2!$B$5+ROW(B12)-1&lt;=Person2!$C$5, Person2!$B$5+ROW(B12)-1, "")</f>
        <v/>
      </c>
      <c r="D14" s="1" t="str">
        <f>IF(Person2!$B$6+ROW(B12)-1&lt;=Person2!$C$6, Person2!$B$6+ROW(B12)-1, "")</f>
        <v/>
      </c>
      <c r="E14" s="1" t="str">
        <f>IF(Person2!$B$7+ROW(B12)-1&lt;=Person2!$C$7, Person2!$B$7+ROW(B12)-1, "")</f>
        <v/>
      </c>
      <c r="F14" s="1" t="str">
        <f>IF(Person2!$B$8+ROW(B12)-1&lt;=Person2!$C$8, Person2!$B$8+ROW(B12)-1, "")</f>
        <v/>
      </c>
      <c r="G14" s="1" t="str">
        <f>IF(Person2!$B$9+ROW(B12)-1&lt;=Person2!$C$9, Person2!$B$9+ROW(B12)-1, "")</f>
        <v/>
      </c>
      <c r="H14" s="1" t="str">
        <f>IF(Person2!$B$10+ROW(B12)-1&lt;=Person2!$C$10, Person2!$B$10+ROW(B12)-1, "")</f>
        <v/>
      </c>
      <c r="I14" s="1" t="str">
        <f>IF(Person2!$B$11+ROW(B12)-1&lt;=Person2!$C$11, Person2!$B$11+ROW(B12)-1, "")</f>
        <v/>
      </c>
      <c r="J14" s="1" t="str">
        <f>IF(Person2!$B$12+ROW(B12)-1&lt;=Person2!$C$12, Person2!$B$12+ROW(B12)-1, "")</f>
        <v/>
      </c>
      <c r="K14" s="1" t="str">
        <f>IF(Person2!$B$13+ROW(B12)-1&lt;=Person2!$C$13, Person2!$B$13+ROW(B12)-1, "")</f>
        <v/>
      </c>
      <c r="L14" s="1" t="str">
        <f>IF(Person2!$B$14+ROW(B12)-1&lt;=Person2!$C$14, Person2!$B$14+ROW(B12)-1, "")</f>
        <v/>
      </c>
      <c r="M14" s="1" t="str">
        <f>IF(Person2!$B$15+ROW(B12)-1&lt;=Person2!$C$15, Person2!$B$15+ROW(B12)-1, "")</f>
        <v/>
      </c>
      <c r="N14" s="1" t="str">
        <f>IF(Person2!$B$16+ROW(B12)-1&lt;=Person2!$C$16, Person2!$B$16+ROW(B12)-1, "")</f>
        <v/>
      </c>
      <c r="O14" s="1" t="str">
        <f>IF(Person2!$B$17+ROW(B12)-1&lt;=Person2!$C$17, Person2!$B$17+ROW(B12)-1, "")</f>
        <v/>
      </c>
      <c r="V14" s="1" t="str">
        <f>IF(Person2!$D$3+ROW(A12)-1&lt;=Person2!$E$3, Person2!$D$3+ROW(A12)-1, "")</f>
        <v/>
      </c>
      <c r="W14" s="1" t="str">
        <f>IF(Person2!$D$4+ROW(A12)-1&lt;=Person2!$E$4, Person2!$D$4+ROW(A12)-1, "")</f>
        <v/>
      </c>
      <c r="X14" s="1" t="str">
        <f>IF(Person2!$D$5+ROW(A12)-1&lt;=Person2!$E$5, Person2!$D$5+ROW(A12)-1, "")</f>
        <v/>
      </c>
      <c r="Y14" s="1" t="str">
        <f>IF(Person2!$D$6+ROW(A12)-1&lt;=Person2!$E$6, Person2!$D$6+ROW(A12)-1, "")</f>
        <v/>
      </c>
      <c r="Z14" s="1" t="str">
        <f>IF(Person2!$D$7+ROW(A12)-1&lt;=Person2!$E$7, Person2!$D$7+ROW(A12)-1, "")</f>
        <v/>
      </c>
      <c r="AA14" s="1" t="str">
        <f>IF(Person2!$D$8+ROW(A12)-1&lt;=Person2!$E$8, Person2!$D$8+ROW(A12)-1, "")</f>
        <v/>
      </c>
      <c r="AE14" s="1" t="str">
        <f>IF(Person2!$F$3+ROW(A12)-1&lt;=Person2!$G$3, Person2!$F$3+ROW(A12)-1, "")</f>
        <v/>
      </c>
      <c r="AF14" s="1" t="str">
        <f>IF(Person2!$F$4+ROW(A12)-1&lt;=Person2!$G$4, Person2!$F$4+ROW(A12)-1, "")</f>
        <v/>
      </c>
      <c r="AG14" s="1" t="str">
        <f>IF(Person2!$F$5+ROW(A12)-1&lt;=Person2!$G$5, Person2!$F$5+ROW(A12)-1, "")</f>
        <v/>
      </c>
      <c r="AH14" s="1" t="str">
        <f>IF(Person2!$F$6+ROW(A12)-1&lt;=Person2!$G$6, Person2!$F$6+ROW(A12)-1, "")</f>
        <v/>
      </c>
      <c r="AI14" s="1" t="str">
        <f>IF(Person2!$F$7+ROW(A12)-1&lt;=Person2!$G$7, Person2!$F$7+ROW(A12)-1, "")</f>
        <v/>
      </c>
    </row>
    <row r="15" spans="1:35" x14ac:dyDescent="0.3">
      <c r="A15" s="1" t="str">
        <f>IF(Person2!$B$3+ROW(A13)-1&lt;=Person2!$C$3, Person2!$B$3+ROW(A13)-1, "")</f>
        <v/>
      </c>
      <c r="B15" s="1" t="str">
        <f>IF(Person2!$B$4+ROW(B13)-1&lt;=Person2!$C$4, Person2!$B$4+ROW(B13)-1, "")</f>
        <v/>
      </c>
      <c r="C15" s="1" t="str">
        <f>IF(Person2!$B$5+ROW(B13)-1&lt;=Person2!$C$5, Person2!$B$5+ROW(B13)-1, "")</f>
        <v/>
      </c>
      <c r="D15" s="1" t="str">
        <f>IF(Person2!$B$6+ROW(B13)-1&lt;=Person2!$C$6, Person2!$B$6+ROW(B13)-1, "")</f>
        <v/>
      </c>
      <c r="E15" s="1" t="str">
        <f>IF(Person2!$B$7+ROW(B13)-1&lt;=Person2!$C$7, Person2!$B$7+ROW(B13)-1, "")</f>
        <v/>
      </c>
      <c r="F15" s="1" t="str">
        <f>IF(Person2!$B$8+ROW(B13)-1&lt;=Person2!$C$8, Person2!$B$8+ROW(B13)-1, "")</f>
        <v/>
      </c>
      <c r="G15" s="1" t="str">
        <f>IF(Person2!$B$9+ROW(B13)-1&lt;=Person2!$C$9, Person2!$B$9+ROW(B13)-1, "")</f>
        <v/>
      </c>
      <c r="H15" s="1" t="str">
        <f>IF(Person2!$B$10+ROW(B13)-1&lt;=Person2!$C$10, Person2!$B$10+ROW(B13)-1, "")</f>
        <v/>
      </c>
      <c r="I15" s="1" t="str">
        <f>IF(Person2!$B$11+ROW(B13)-1&lt;=Person2!$C$11, Person2!$B$11+ROW(B13)-1, "")</f>
        <v/>
      </c>
      <c r="J15" s="1" t="str">
        <f>IF(Person2!$B$12+ROW(B13)-1&lt;=Person2!$C$12, Person2!$B$12+ROW(B13)-1, "")</f>
        <v/>
      </c>
      <c r="K15" s="1" t="str">
        <f>IF(Person2!$B$13+ROW(B13)-1&lt;=Person2!$C$13, Person2!$B$13+ROW(B13)-1, "")</f>
        <v/>
      </c>
      <c r="L15" s="1" t="str">
        <f>IF(Person2!$B$14+ROW(B13)-1&lt;=Person2!$C$14, Person2!$B$14+ROW(B13)-1, "")</f>
        <v/>
      </c>
      <c r="M15" s="1" t="str">
        <f>IF(Person2!$B$15+ROW(B13)-1&lt;=Person2!$C$15, Person2!$B$15+ROW(B13)-1, "")</f>
        <v/>
      </c>
      <c r="N15" s="1" t="str">
        <f>IF(Person2!$B$16+ROW(B13)-1&lt;=Person2!$C$16, Person2!$B$16+ROW(B13)-1, "")</f>
        <v/>
      </c>
      <c r="O15" s="1" t="str">
        <f>IF(Person2!$B$17+ROW(B13)-1&lt;=Person2!$C$17, Person2!$B$17+ROW(B13)-1, "")</f>
        <v/>
      </c>
      <c r="V15" s="1" t="str">
        <f>IF(Person2!$D$3+ROW(A13)-1&lt;=Person2!$E$3, Person2!$D$3+ROW(A13)-1, "")</f>
        <v/>
      </c>
      <c r="W15" s="1" t="str">
        <f>IF(Person2!$D$4+ROW(A13)-1&lt;=Person2!$E$4, Person2!$D$4+ROW(A13)-1, "")</f>
        <v/>
      </c>
      <c r="X15" s="1" t="str">
        <f>IF(Person2!$D$5+ROW(A13)-1&lt;=Person2!$E$5, Person2!$D$5+ROW(A13)-1, "")</f>
        <v/>
      </c>
      <c r="Y15" s="1" t="str">
        <f>IF(Person2!$D$6+ROW(A13)-1&lt;=Person2!$E$6, Person2!$D$6+ROW(A13)-1, "")</f>
        <v/>
      </c>
      <c r="Z15" s="1" t="str">
        <f>IF(Person2!$D$7+ROW(A13)-1&lt;=Person2!$E$7, Person2!$D$7+ROW(A13)-1, "")</f>
        <v/>
      </c>
      <c r="AA15" s="1" t="str">
        <f>IF(Person2!$D$8+ROW(A13)-1&lt;=Person2!$E$8, Person2!$D$8+ROW(A13)-1, "")</f>
        <v/>
      </c>
      <c r="AE15" s="1" t="str">
        <f>IF(Person2!$F$3+ROW(A13)-1&lt;=Person2!$G$3, Person2!$F$3+ROW(A13)-1, "")</f>
        <v/>
      </c>
      <c r="AF15" s="1" t="str">
        <f>IF(Person2!$F$4+ROW(A13)-1&lt;=Person2!$G$4, Person2!$F$4+ROW(A13)-1, "")</f>
        <v/>
      </c>
      <c r="AG15" s="1" t="str">
        <f>IF(Person2!$F$5+ROW(A13)-1&lt;=Person2!$G$5, Person2!$F$5+ROW(A13)-1, "")</f>
        <v/>
      </c>
      <c r="AH15" s="1" t="str">
        <f>IF(Person2!$F$6+ROW(A13)-1&lt;=Person2!$G$6, Person2!$F$6+ROW(A13)-1, "")</f>
        <v/>
      </c>
      <c r="AI15" s="1" t="str">
        <f>IF(Person2!$F$7+ROW(A13)-1&lt;=Person2!$G$7, Person2!$F$7+ROW(A13)-1, "")</f>
        <v/>
      </c>
    </row>
    <row r="16" spans="1:35" x14ac:dyDescent="0.3">
      <c r="A16" s="1" t="str">
        <f>IF(Person2!$B$3+ROW(A14)-1&lt;=Person2!$C$3, Person2!$B$3+ROW(A14)-1, "")</f>
        <v/>
      </c>
      <c r="B16" s="1" t="str">
        <f>IF(Person2!$B$4+ROW(B14)-1&lt;=Person2!$C$4, Person2!$B$4+ROW(B14)-1, "")</f>
        <v/>
      </c>
      <c r="C16" s="1" t="str">
        <f>IF(Person2!$B$5+ROW(B14)-1&lt;=Person2!$C$5, Person2!$B$5+ROW(B14)-1, "")</f>
        <v/>
      </c>
      <c r="D16" s="1" t="str">
        <f>IF(Person2!$B$6+ROW(B14)-1&lt;=Person2!$C$6, Person2!$B$6+ROW(B14)-1, "")</f>
        <v/>
      </c>
      <c r="E16" s="1" t="str">
        <f>IF(Person2!$B$7+ROW(B14)-1&lt;=Person2!$C$7, Person2!$B$7+ROW(B14)-1, "")</f>
        <v/>
      </c>
      <c r="F16" s="1" t="str">
        <f>IF(Person2!$B$8+ROW(B14)-1&lt;=Person2!$C$8, Person2!$B$8+ROW(B14)-1, "")</f>
        <v/>
      </c>
      <c r="G16" s="1" t="str">
        <f>IF(Person2!$B$9+ROW(B14)-1&lt;=Person2!$C$9, Person2!$B$9+ROW(B14)-1, "")</f>
        <v/>
      </c>
      <c r="H16" s="1" t="str">
        <f>IF(Person2!$B$10+ROW(B14)-1&lt;=Person2!$C$10, Person2!$B$10+ROW(B14)-1, "")</f>
        <v/>
      </c>
      <c r="I16" s="1" t="str">
        <f>IF(Person2!$B$11+ROW(B14)-1&lt;=Person2!$C$11, Person2!$B$11+ROW(B14)-1, "")</f>
        <v/>
      </c>
      <c r="J16" s="1" t="str">
        <f>IF(Person2!$B$12+ROW(B14)-1&lt;=Person2!$C$12, Person2!$B$12+ROW(B14)-1, "")</f>
        <v/>
      </c>
      <c r="K16" s="1" t="str">
        <f>IF(Person2!$B$13+ROW(B14)-1&lt;=Person2!$C$13, Person2!$B$13+ROW(B14)-1, "")</f>
        <v/>
      </c>
      <c r="L16" s="1" t="str">
        <f>IF(Person2!$B$14+ROW(B14)-1&lt;=Person2!$C$14, Person2!$B$14+ROW(B14)-1, "")</f>
        <v/>
      </c>
      <c r="M16" s="1" t="str">
        <f>IF(Person2!$B$15+ROW(B14)-1&lt;=Person2!$C$15, Person2!$B$15+ROW(B14)-1, "")</f>
        <v/>
      </c>
      <c r="N16" s="1" t="str">
        <f>IF(Person2!$B$16+ROW(B14)-1&lt;=Person2!$C$16, Person2!$B$16+ROW(B14)-1, "")</f>
        <v/>
      </c>
      <c r="O16" s="1" t="str">
        <f>IF(Person2!$B$17+ROW(B14)-1&lt;=Person2!$C$17, Person2!$B$17+ROW(B14)-1, "")</f>
        <v/>
      </c>
      <c r="V16" s="1" t="str">
        <f>IF(Person2!$D$3+ROW(A14)-1&lt;=Person2!$E$3, Person2!$D$3+ROW(A14)-1, "")</f>
        <v/>
      </c>
      <c r="W16" s="1" t="str">
        <f>IF(Person2!$D$4+ROW(A14)-1&lt;=Person2!$E$4, Person2!$D$4+ROW(A14)-1, "")</f>
        <v/>
      </c>
      <c r="X16" s="1" t="str">
        <f>IF(Person2!$D$5+ROW(A14)-1&lt;=Person2!$E$5, Person2!$D$5+ROW(A14)-1, "")</f>
        <v/>
      </c>
      <c r="Y16" s="1" t="str">
        <f>IF(Person2!$D$6+ROW(A14)-1&lt;=Person2!$E$6, Person2!$D$6+ROW(A14)-1, "")</f>
        <v/>
      </c>
      <c r="Z16" s="1" t="str">
        <f>IF(Person2!$D$7+ROW(A14)-1&lt;=Person2!$E$7, Person2!$D$7+ROW(A14)-1, "")</f>
        <v/>
      </c>
      <c r="AA16" s="1" t="str">
        <f>IF(Person2!$D$8+ROW(A14)-1&lt;=Person2!$E$8, Person2!$D$8+ROW(A14)-1, "")</f>
        <v/>
      </c>
      <c r="AE16" s="1" t="str">
        <f>IF(Person2!$F$3+ROW(A14)-1&lt;=Person2!$G$3, Person2!$F$3+ROW(A14)-1, "")</f>
        <v/>
      </c>
      <c r="AF16" s="1" t="str">
        <f>IF(Person2!$F$4+ROW(A14)-1&lt;=Person2!$G$4, Person2!$F$4+ROW(A14)-1, "")</f>
        <v/>
      </c>
      <c r="AG16" s="1" t="str">
        <f>IF(Person2!$F$5+ROW(A14)-1&lt;=Person2!$G$5, Person2!$F$5+ROW(A14)-1, "")</f>
        <v/>
      </c>
      <c r="AH16" s="1" t="str">
        <f>IF(Person2!$F$6+ROW(A14)-1&lt;=Person2!$G$6, Person2!$F$6+ROW(A14)-1, "")</f>
        <v/>
      </c>
      <c r="AI16" s="1" t="str">
        <f>IF(Person2!$F$7+ROW(A14)-1&lt;=Person2!$G$7, Person2!$F$7+ROW(A14)-1, "")</f>
        <v/>
      </c>
    </row>
    <row r="17" spans="1:35" x14ac:dyDescent="0.3">
      <c r="A17" s="1" t="str">
        <f>IF(Person2!$B$3+ROW(A15)-1&lt;=Person2!$C$3, Person2!$B$3+ROW(A15)-1, "")</f>
        <v/>
      </c>
      <c r="B17" s="1" t="str">
        <f>IF(Person2!$B$4+ROW(B15)-1&lt;=Person2!$C$4, Person2!$B$4+ROW(B15)-1, "")</f>
        <v/>
      </c>
      <c r="C17" s="1" t="str">
        <f>IF(Person2!$B$5+ROW(B15)-1&lt;=Person2!$C$5, Person2!$B$5+ROW(B15)-1, "")</f>
        <v/>
      </c>
      <c r="D17" s="1" t="str">
        <f>IF(Person2!$B$6+ROW(B15)-1&lt;=Person2!$C$6, Person2!$B$6+ROW(B15)-1, "")</f>
        <v/>
      </c>
      <c r="E17" s="1" t="str">
        <f>IF(Person2!$B$7+ROW(B15)-1&lt;=Person2!$C$7, Person2!$B$7+ROW(B15)-1, "")</f>
        <v/>
      </c>
      <c r="F17" s="1" t="str">
        <f>IF(Person2!$B$8+ROW(B15)-1&lt;=Person2!$C$8, Person2!$B$8+ROW(B15)-1, "")</f>
        <v/>
      </c>
      <c r="G17" s="1" t="str">
        <f>IF(Person2!$B$9+ROW(B15)-1&lt;=Person2!$C$9, Person2!$B$9+ROW(B15)-1, "")</f>
        <v/>
      </c>
      <c r="H17" s="1" t="str">
        <f>IF(Person2!$B$10+ROW(B15)-1&lt;=Person2!$C$10, Person2!$B$10+ROW(B15)-1, "")</f>
        <v/>
      </c>
      <c r="I17" s="1" t="str">
        <f>IF(Person2!$B$11+ROW(B15)-1&lt;=Person2!$C$11, Person2!$B$11+ROW(B15)-1, "")</f>
        <v/>
      </c>
      <c r="J17" s="1" t="str">
        <f>IF(Person2!$B$12+ROW(B15)-1&lt;=Person2!$C$12, Person2!$B$12+ROW(B15)-1, "")</f>
        <v/>
      </c>
      <c r="K17" s="1" t="str">
        <f>IF(Person2!$B$13+ROW(B15)-1&lt;=Person2!$C$13, Person2!$B$13+ROW(B15)-1, "")</f>
        <v/>
      </c>
      <c r="L17" s="1" t="str">
        <f>IF(Person2!$B$14+ROW(B15)-1&lt;=Person2!$C$14, Person2!$B$14+ROW(B15)-1, "")</f>
        <v/>
      </c>
      <c r="M17" s="1" t="str">
        <f>IF(Person2!$B$15+ROW(B15)-1&lt;=Person2!$C$15, Person2!$B$15+ROW(B15)-1, "")</f>
        <v/>
      </c>
      <c r="N17" s="1" t="str">
        <f>IF(Person2!$B$16+ROW(B15)-1&lt;=Person2!$C$16, Person2!$B$16+ROW(B15)-1, "")</f>
        <v/>
      </c>
      <c r="O17" s="1" t="str">
        <f>IF(Person2!$B$17+ROW(B15)-1&lt;=Person2!$C$17, Person2!$B$17+ROW(B15)-1, "")</f>
        <v/>
      </c>
      <c r="V17" s="1" t="str">
        <f>IF(Person2!$D$3+ROW(A15)-1&lt;=Person2!$E$3, Person2!$D$3+ROW(A15)-1, "")</f>
        <v/>
      </c>
      <c r="W17" s="1" t="str">
        <f>IF(Person2!$D$4+ROW(A15)-1&lt;=Person2!$E$4, Person2!$D$4+ROW(A15)-1, "")</f>
        <v/>
      </c>
      <c r="X17" s="1" t="str">
        <f>IF(Person2!$D$5+ROW(A15)-1&lt;=Person2!$E$5, Person2!$D$5+ROW(A15)-1, "")</f>
        <v/>
      </c>
      <c r="Y17" s="1" t="str">
        <f>IF(Person2!$D$6+ROW(A15)-1&lt;=Person2!$E$6, Person2!$D$6+ROW(A15)-1, "")</f>
        <v/>
      </c>
      <c r="Z17" s="1" t="str">
        <f>IF(Person2!$D$7+ROW(A15)-1&lt;=Person2!$E$7, Person2!$D$7+ROW(A15)-1, "")</f>
        <v/>
      </c>
      <c r="AA17" s="1" t="str">
        <f>IF(Person2!$D$8+ROW(A15)-1&lt;=Person2!$E$8, Person2!$D$8+ROW(A15)-1, "")</f>
        <v/>
      </c>
      <c r="AE17" s="1" t="str">
        <f>IF(Person2!$F$3+ROW(A15)-1&lt;=Person2!$G$3, Person2!$F$3+ROW(A15)-1, "")</f>
        <v/>
      </c>
      <c r="AF17" s="1" t="str">
        <f>IF(Person2!$F$4+ROW(A15)-1&lt;=Person2!$G$4, Person2!$F$4+ROW(A15)-1, "")</f>
        <v/>
      </c>
      <c r="AG17" s="1" t="str">
        <f>IF(Person2!$F$5+ROW(A15)-1&lt;=Person2!$G$5, Person2!$F$5+ROW(A15)-1, "")</f>
        <v/>
      </c>
      <c r="AH17" s="1" t="str">
        <f>IF(Person2!$F$6+ROW(A15)-1&lt;=Person2!$G$6, Person2!$F$6+ROW(A15)-1, "")</f>
        <v/>
      </c>
      <c r="AI17" s="1" t="str">
        <f>IF(Person2!$F$7+ROW(A15)-1&lt;=Person2!$G$7, Person2!$F$7+ROW(A15)-1, "")</f>
        <v/>
      </c>
    </row>
    <row r="18" spans="1:35" x14ac:dyDescent="0.3">
      <c r="A18" s="1" t="str">
        <f>IF(Person2!$B$3+ROW(A16)-1&lt;=Person2!$C$3, Person2!$B$3+ROW(A16)-1, "")</f>
        <v/>
      </c>
      <c r="B18" s="1" t="str">
        <f>IF(Person2!$B$4+ROW(B16)-1&lt;=Person2!$C$4, Person2!$B$4+ROW(B16)-1, "")</f>
        <v/>
      </c>
      <c r="C18" s="1" t="str">
        <f>IF(Person2!$B$5+ROW(B16)-1&lt;=Person2!$C$5, Person2!$B$5+ROW(B16)-1, "")</f>
        <v/>
      </c>
      <c r="D18" s="1" t="str">
        <f>IF(Person2!$B$6+ROW(B16)-1&lt;=Person2!$C$6, Person2!$B$6+ROW(B16)-1, "")</f>
        <v/>
      </c>
      <c r="E18" s="1" t="str">
        <f>IF(Person2!$B$7+ROW(B16)-1&lt;=Person2!$C$7, Person2!$B$7+ROW(B16)-1, "")</f>
        <v/>
      </c>
      <c r="F18" s="1" t="str">
        <f>IF(Person2!$B$8+ROW(B16)-1&lt;=Person2!$C$8, Person2!$B$8+ROW(B16)-1, "")</f>
        <v/>
      </c>
      <c r="G18" s="1" t="str">
        <f>IF(Person2!$B$9+ROW(B16)-1&lt;=Person2!$C$9, Person2!$B$9+ROW(B16)-1, "")</f>
        <v/>
      </c>
      <c r="H18" s="1" t="str">
        <f>IF(Person2!$B$10+ROW(B16)-1&lt;=Person2!$C$10, Person2!$B$10+ROW(B16)-1, "")</f>
        <v/>
      </c>
      <c r="I18" s="1" t="str">
        <f>IF(Person2!$B$11+ROW(B16)-1&lt;=Person2!$C$11, Person2!$B$11+ROW(B16)-1, "")</f>
        <v/>
      </c>
      <c r="J18" s="1" t="str">
        <f>IF(Person2!$B$12+ROW(B16)-1&lt;=Person2!$C$12, Person2!$B$12+ROW(B16)-1, "")</f>
        <v/>
      </c>
      <c r="K18" s="1" t="str">
        <f>IF(Person2!$B$13+ROW(B16)-1&lt;=Person2!$C$13, Person2!$B$13+ROW(B16)-1, "")</f>
        <v/>
      </c>
      <c r="L18" s="1" t="str">
        <f>IF(Person2!$B$14+ROW(B16)-1&lt;=Person2!$C$14, Person2!$B$14+ROW(B16)-1, "")</f>
        <v/>
      </c>
      <c r="M18" s="1" t="str">
        <f>IF(Person2!$B$15+ROW(B16)-1&lt;=Person2!$C$15, Person2!$B$15+ROW(B16)-1, "")</f>
        <v/>
      </c>
      <c r="N18" s="1" t="str">
        <f>IF(Person2!$B$16+ROW(B16)-1&lt;=Person2!$C$16, Person2!$B$16+ROW(B16)-1, "")</f>
        <v/>
      </c>
      <c r="O18" s="1" t="str">
        <f>IF(Person2!$B$17+ROW(B16)-1&lt;=Person2!$C$17, Person2!$B$17+ROW(B16)-1, "")</f>
        <v/>
      </c>
      <c r="V18" s="1" t="str">
        <f>IF(Person2!$D$3+ROW(A16)-1&lt;=Person2!$E$3, Person2!$D$3+ROW(A16)-1, "")</f>
        <v/>
      </c>
      <c r="W18" s="1" t="str">
        <f>IF(Person2!$D$4+ROW(A16)-1&lt;=Person2!$E$4, Person2!$D$4+ROW(A16)-1, "")</f>
        <v/>
      </c>
      <c r="X18" s="1" t="str">
        <f>IF(Person2!$D$5+ROW(A16)-1&lt;=Person2!$E$5, Person2!$D$5+ROW(A16)-1, "")</f>
        <v/>
      </c>
      <c r="Y18" s="1" t="str">
        <f>IF(Person2!$D$6+ROW(A16)-1&lt;=Person2!$E$6, Person2!$D$6+ROW(A16)-1, "")</f>
        <v/>
      </c>
      <c r="Z18" s="1" t="str">
        <f>IF(Person2!$D$7+ROW(A16)-1&lt;=Person2!$E$7, Person2!$D$7+ROW(A16)-1, "")</f>
        <v/>
      </c>
      <c r="AA18" s="1" t="str">
        <f>IF(Person2!$D$8+ROW(A16)-1&lt;=Person2!$E$8, Person2!$D$8+ROW(A16)-1, "")</f>
        <v/>
      </c>
      <c r="AE18" s="1" t="str">
        <f>IF(Person2!$F$3+ROW(A16)-1&lt;=Person2!$G$3, Person2!$F$3+ROW(A16)-1, "")</f>
        <v/>
      </c>
      <c r="AF18" s="1" t="str">
        <f>IF(Person2!$F$4+ROW(A16)-1&lt;=Person2!$G$4, Person2!$F$4+ROW(A16)-1, "")</f>
        <v/>
      </c>
      <c r="AG18" s="1" t="str">
        <f>IF(Person2!$F$5+ROW(A16)-1&lt;=Person2!$G$5, Person2!$F$5+ROW(A16)-1, "")</f>
        <v/>
      </c>
      <c r="AH18" s="1" t="str">
        <f>IF(Person2!$F$6+ROW(A16)-1&lt;=Person2!$G$6, Person2!$F$6+ROW(A16)-1, "")</f>
        <v/>
      </c>
      <c r="AI18" s="1" t="str">
        <f>IF(Person2!$F$7+ROW(A16)-1&lt;=Person2!$G$7, Person2!$F$7+ROW(A16)-1, "")</f>
        <v/>
      </c>
    </row>
    <row r="19" spans="1:35" x14ac:dyDescent="0.3">
      <c r="A19" s="1" t="str">
        <f>IF(Person2!$B$3+ROW(A17)-1&lt;=Person2!$C$3, Person2!$B$3+ROW(A17)-1, "")</f>
        <v/>
      </c>
      <c r="B19" s="1" t="str">
        <f>IF(Person2!$B$4+ROW(B17)-1&lt;=Person2!$C$4, Person2!$B$4+ROW(B17)-1, "")</f>
        <v/>
      </c>
      <c r="C19" s="1" t="str">
        <f>IF(Person2!$B$5+ROW(B17)-1&lt;=Person2!$C$5, Person2!$B$5+ROW(B17)-1, "")</f>
        <v/>
      </c>
      <c r="D19" s="1" t="str">
        <f>IF(Person2!$B$6+ROW(B17)-1&lt;=Person2!$C$6, Person2!$B$6+ROW(B17)-1, "")</f>
        <v/>
      </c>
      <c r="E19" s="1" t="str">
        <f>IF(Person2!$B$7+ROW(B17)-1&lt;=Person2!$C$7, Person2!$B$7+ROW(B17)-1, "")</f>
        <v/>
      </c>
      <c r="F19" s="1" t="str">
        <f>IF(Person2!$B$8+ROW(B17)-1&lt;=Person2!$C$8, Person2!$B$8+ROW(B17)-1, "")</f>
        <v/>
      </c>
      <c r="G19" s="1" t="str">
        <f>IF(Person2!$B$9+ROW(B17)-1&lt;=Person2!$C$9, Person2!$B$9+ROW(B17)-1, "")</f>
        <v/>
      </c>
      <c r="H19" s="1" t="str">
        <f>IF(Person2!$B$10+ROW(B17)-1&lt;=Person2!$C$10, Person2!$B$10+ROW(B17)-1, "")</f>
        <v/>
      </c>
      <c r="I19" s="1" t="str">
        <f>IF(Person2!$B$11+ROW(B17)-1&lt;=Person2!$C$11, Person2!$B$11+ROW(B17)-1, "")</f>
        <v/>
      </c>
      <c r="J19" s="1" t="str">
        <f>IF(Person2!$B$12+ROW(B17)-1&lt;=Person2!$C$12, Person2!$B$12+ROW(B17)-1, "")</f>
        <v/>
      </c>
      <c r="K19" s="1" t="str">
        <f>IF(Person2!$B$13+ROW(B17)-1&lt;=Person2!$C$13, Person2!$B$13+ROW(B17)-1, "")</f>
        <v/>
      </c>
      <c r="L19" s="1" t="str">
        <f>IF(Person2!$B$14+ROW(B17)-1&lt;=Person2!$C$14, Person2!$B$14+ROW(B17)-1, "")</f>
        <v/>
      </c>
      <c r="M19" s="1" t="str">
        <f>IF(Person2!$B$15+ROW(B17)-1&lt;=Person2!$C$15, Person2!$B$15+ROW(B17)-1, "")</f>
        <v/>
      </c>
      <c r="N19" s="1" t="str">
        <f>IF(Person2!$B$16+ROW(B17)-1&lt;=Person2!$C$16, Person2!$B$16+ROW(B17)-1, "")</f>
        <v/>
      </c>
      <c r="O19" s="1" t="str">
        <f>IF(Person2!$B$17+ROW(B17)-1&lt;=Person2!$C$17, Person2!$B$17+ROW(B17)-1, "")</f>
        <v/>
      </c>
      <c r="V19" s="1" t="str">
        <f>IF(Person2!$D$3+ROW(A17)-1&lt;=Person2!$E$3, Person2!$D$3+ROW(A17)-1, "")</f>
        <v/>
      </c>
      <c r="W19" s="1" t="str">
        <f>IF(Person2!$D$4+ROW(A17)-1&lt;=Person2!$E$4, Person2!$D$4+ROW(A17)-1, "")</f>
        <v/>
      </c>
      <c r="X19" s="1" t="str">
        <f>IF(Person2!$D$5+ROW(A17)-1&lt;=Person2!$E$5, Person2!$D$5+ROW(A17)-1, "")</f>
        <v/>
      </c>
      <c r="Y19" s="1" t="str">
        <f>IF(Person2!$D$6+ROW(A17)-1&lt;=Person2!$E$6, Person2!$D$6+ROW(A17)-1, "")</f>
        <v/>
      </c>
      <c r="Z19" s="1" t="str">
        <f>IF(Person2!$D$7+ROW(A17)-1&lt;=Person2!$E$7, Person2!$D$7+ROW(A17)-1, "")</f>
        <v/>
      </c>
      <c r="AA19" s="1" t="str">
        <f>IF(Person2!$D$8+ROW(A17)-1&lt;=Person2!$E$8, Person2!$D$8+ROW(A17)-1, "")</f>
        <v/>
      </c>
      <c r="AE19" s="1" t="str">
        <f>IF(Person2!$F$3+ROW(A17)-1&lt;=Person2!$G$3, Person2!$F$3+ROW(A17)-1, "")</f>
        <v/>
      </c>
      <c r="AF19" s="1" t="str">
        <f>IF(Person2!$F$4+ROW(A17)-1&lt;=Person2!$G$4, Person2!$F$4+ROW(A17)-1, "")</f>
        <v/>
      </c>
      <c r="AG19" s="1" t="str">
        <f>IF(Person2!$F$5+ROW(A17)-1&lt;=Person2!$G$5, Person2!$F$5+ROW(A17)-1, "")</f>
        <v/>
      </c>
      <c r="AH19" s="1" t="str">
        <f>IF(Person2!$F$6+ROW(A17)-1&lt;=Person2!$G$6, Person2!$F$6+ROW(A17)-1, "")</f>
        <v/>
      </c>
      <c r="AI19" s="1" t="str">
        <f>IF(Person2!$F$7+ROW(A17)-1&lt;=Person2!$G$7, Person2!$F$7+ROW(A17)-1, "")</f>
        <v/>
      </c>
    </row>
    <row r="20" spans="1:35" x14ac:dyDescent="0.3">
      <c r="A20" s="1" t="str">
        <f>IF(Person2!$B$3+ROW(A18)-1&lt;=Person2!$C$3, Person2!$B$3+ROW(A18)-1, "")</f>
        <v/>
      </c>
      <c r="B20" s="1" t="str">
        <f>IF(Person2!$B$4+ROW(B18)-1&lt;=Person2!$C$4, Person2!$B$4+ROW(B18)-1, "")</f>
        <v/>
      </c>
      <c r="C20" s="1" t="str">
        <f>IF(Person2!$B$5+ROW(B18)-1&lt;=Person2!$C$5, Person2!$B$5+ROW(B18)-1, "")</f>
        <v/>
      </c>
      <c r="D20" s="1" t="str">
        <f>IF(Person2!$B$6+ROW(B18)-1&lt;=Person2!$C$6, Person2!$B$6+ROW(B18)-1, "")</f>
        <v/>
      </c>
      <c r="E20" s="1" t="str">
        <f>IF(Person2!$B$7+ROW(B18)-1&lt;=Person2!$C$7, Person2!$B$7+ROW(B18)-1, "")</f>
        <v/>
      </c>
      <c r="F20" s="1" t="str">
        <f>IF(Person2!$B$8+ROW(B18)-1&lt;=Person2!$C$8, Person2!$B$8+ROW(B18)-1, "")</f>
        <v/>
      </c>
      <c r="G20" s="1" t="str">
        <f>IF(Person2!$B$9+ROW(B18)-1&lt;=Person2!$C$9, Person2!$B$9+ROW(B18)-1, "")</f>
        <v/>
      </c>
      <c r="H20" s="1" t="str">
        <f>IF(Person2!$B$10+ROW(B18)-1&lt;=Person2!$C$10, Person2!$B$10+ROW(B18)-1, "")</f>
        <v/>
      </c>
      <c r="I20" s="1" t="str">
        <f>IF(Person2!$B$11+ROW(B18)-1&lt;=Person2!$C$11, Person2!$B$11+ROW(B18)-1, "")</f>
        <v/>
      </c>
      <c r="J20" s="1" t="str">
        <f>IF(Person2!$B$12+ROW(B18)-1&lt;=Person2!$C$12, Person2!$B$12+ROW(B18)-1, "")</f>
        <v/>
      </c>
      <c r="K20" s="1" t="str">
        <f>IF(Person2!$B$13+ROW(B18)-1&lt;=Person2!$C$13, Person2!$B$13+ROW(B18)-1, "")</f>
        <v/>
      </c>
      <c r="L20" s="1" t="str">
        <f>IF(Person2!$B$14+ROW(B18)-1&lt;=Person2!$C$14, Person2!$B$14+ROW(B18)-1, "")</f>
        <v/>
      </c>
      <c r="M20" s="1" t="str">
        <f>IF(Person2!$B$15+ROW(B18)-1&lt;=Person2!$C$15, Person2!$B$15+ROW(B18)-1, "")</f>
        <v/>
      </c>
      <c r="N20" s="1" t="str">
        <f>IF(Person2!$B$16+ROW(B18)-1&lt;=Person2!$C$16, Person2!$B$16+ROW(B18)-1, "")</f>
        <v/>
      </c>
      <c r="O20" s="1" t="str">
        <f>IF(Person2!$B$17+ROW(B18)-1&lt;=Person2!$C$17, Person2!$B$17+ROW(B18)-1, "")</f>
        <v/>
      </c>
      <c r="V20" s="1" t="str">
        <f>IF(Person2!$D$3+ROW(A18)-1&lt;=Person2!$E$3, Person2!$D$3+ROW(A18)-1, "")</f>
        <v/>
      </c>
      <c r="W20" s="1" t="str">
        <f>IF(Person2!$D$4+ROW(A18)-1&lt;=Person2!$E$4, Person2!$D$4+ROW(A18)-1, "")</f>
        <v/>
      </c>
      <c r="X20" s="1" t="str">
        <f>IF(Person2!$D$5+ROW(A18)-1&lt;=Person2!$E$5, Person2!$D$5+ROW(A18)-1, "")</f>
        <v/>
      </c>
      <c r="Y20" s="1" t="str">
        <f>IF(Person2!$D$6+ROW(A18)-1&lt;=Person2!$E$6, Person2!$D$6+ROW(A18)-1, "")</f>
        <v/>
      </c>
      <c r="Z20" s="1" t="str">
        <f>IF(Person2!$D$7+ROW(A18)-1&lt;=Person2!$E$7, Person2!$D$7+ROW(A18)-1, "")</f>
        <v/>
      </c>
      <c r="AA20" s="1" t="str">
        <f>IF(Person2!$D$8+ROW(A18)-1&lt;=Person2!$E$8, Person2!$D$8+ROW(A18)-1, "")</f>
        <v/>
      </c>
      <c r="AE20" s="1" t="str">
        <f>IF(Person2!$F$3+ROW(A18)-1&lt;=Person2!$G$3, Person2!$F$3+ROW(A18)-1, "")</f>
        <v/>
      </c>
      <c r="AF20" s="1" t="str">
        <f>IF(Person2!$F$4+ROW(A18)-1&lt;=Person2!$G$4, Person2!$F$4+ROW(A18)-1, "")</f>
        <v/>
      </c>
      <c r="AG20" s="1" t="str">
        <f>IF(Person2!$F$5+ROW(A18)-1&lt;=Person2!$G$5, Person2!$F$5+ROW(A18)-1, "")</f>
        <v/>
      </c>
      <c r="AH20" s="1" t="str">
        <f>IF(Person2!$F$6+ROW(A18)-1&lt;=Person2!$G$6, Person2!$F$6+ROW(A18)-1, "")</f>
        <v/>
      </c>
      <c r="AI20" s="1" t="str">
        <f>IF(Person2!$F$7+ROW(A18)-1&lt;=Person2!$G$7, Person2!$F$7+ROW(A18)-1, "")</f>
        <v/>
      </c>
    </row>
    <row r="21" spans="1:35" x14ac:dyDescent="0.3">
      <c r="A21" s="1" t="str">
        <f>IF(Person2!$B$3+ROW(A19)-1&lt;=Person2!$C$3, Person2!$B$3+ROW(A19)-1, "")</f>
        <v/>
      </c>
      <c r="B21" s="1" t="str">
        <f>IF(Person2!$B$4+ROW(B19)-1&lt;=Person2!$C$4, Person2!$B$4+ROW(B19)-1, "")</f>
        <v/>
      </c>
      <c r="C21" s="1" t="str">
        <f>IF(Person2!$B$5+ROW(B19)-1&lt;=Person2!$C$5, Person2!$B$5+ROW(B19)-1, "")</f>
        <v/>
      </c>
      <c r="D21" s="1" t="str">
        <f>IF(Person2!$B$6+ROW(B19)-1&lt;=Person2!$C$6, Person2!$B$6+ROW(B19)-1, "")</f>
        <v/>
      </c>
      <c r="E21" s="1" t="str">
        <f>IF(Person2!$B$7+ROW(B19)-1&lt;=Person2!$C$7, Person2!$B$7+ROW(B19)-1, "")</f>
        <v/>
      </c>
      <c r="F21" s="1" t="str">
        <f>IF(Person2!$B$8+ROW(B19)-1&lt;=Person2!$C$8, Person2!$B$8+ROW(B19)-1, "")</f>
        <v/>
      </c>
      <c r="G21" s="1" t="str">
        <f>IF(Person2!$B$9+ROW(B19)-1&lt;=Person2!$C$9, Person2!$B$9+ROW(B19)-1, "")</f>
        <v/>
      </c>
      <c r="H21" s="1" t="str">
        <f>IF(Person2!$B$10+ROW(B19)-1&lt;=Person2!$C$10, Person2!$B$10+ROW(B19)-1, "")</f>
        <v/>
      </c>
      <c r="I21" s="1" t="str">
        <f>IF(Person2!$B$11+ROW(B19)-1&lt;=Person2!$C$11, Person2!$B$11+ROW(B19)-1, "")</f>
        <v/>
      </c>
      <c r="J21" s="1" t="str">
        <f>IF(Person2!$B$12+ROW(B19)-1&lt;=Person2!$C$12, Person2!$B$12+ROW(B19)-1, "")</f>
        <v/>
      </c>
      <c r="K21" s="1" t="str">
        <f>IF(Person2!$B$13+ROW(B19)-1&lt;=Person2!$C$13, Person2!$B$13+ROW(B19)-1, "")</f>
        <v/>
      </c>
      <c r="L21" s="1" t="str">
        <f>IF(Person2!$B$14+ROW(B19)-1&lt;=Person2!$C$14, Person2!$B$14+ROW(B19)-1, "")</f>
        <v/>
      </c>
      <c r="M21" s="1" t="str">
        <f>IF(Person2!$B$15+ROW(B19)-1&lt;=Person2!$C$15, Person2!$B$15+ROW(B19)-1, "")</f>
        <v/>
      </c>
      <c r="N21" s="1" t="str">
        <f>IF(Person2!$B$16+ROW(B19)-1&lt;=Person2!$C$16, Person2!$B$16+ROW(B19)-1, "")</f>
        <v/>
      </c>
      <c r="O21" s="1" t="str">
        <f>IF(Person2!$B$17+ROW(B19)-1&lt;=Person2!$C$17, Person2!$B$17+ROW(B19)-1, "")</f>
        <v/>
      </c>
      <c r="V21" s="1" t="str">
        <f>IF(Person2!$D$3+ROW(A19)-1&lt;=Person2!$E$3, Person2!$D$3+ROW(A19)-1, "")</f>
        <v/>
      </c>
      <c r="W21" s="1" t="str">
        <f>IF(Person2!$D$4+ROW(A19)-1&lt;=Person2!$E$4, Person2!$D$4+ROW(A19)-1, "")</f>
        <v/>
      </c>
      <c r="X21" s="1" t="str">
        <f>IF(Person2!$D$5+ROW(A19)-1&lt;=Person2!$E$5, Person2!$D$5+ROW(A19)-1, "")</f>
        <v/>
      </c>
      <c r="Y21" s="1" t="str">
        <f>IF(Person2!$D$6+ROW(A19)-1&lt;=Person2!$E$6, Person2!$D$6+ROW(A19)-1, "")</f>
        <v/>
      </c>
      <c r="Z21" s="1" t="str">
        <f>IF(Person2!$D$7+ROW(A19)-1&lt;=Person2!$E$7, Person2!$D$7+ROW(A19)-1, "")</f>
        <v/>
      </c>
      <c r="AA21" s="1" t="str">
        <f>IF(Person2!$D$8+ROW(A19)-1&lt;=Person2!$E$8, Person2!$D$8+ROW(A19)-1, "")</f>
        <v/>
      </c>
      <c r="AE21" s="1" t="str">
        <f>IF(Person2!$F$3+ROW(A19)-1&lt;=Person2!$G$3, Person2!$F$3+ROW(A19)-1, "")</f>
        <v/>
      </c>
      <c r="AF21" s="1" t="str">
        <f>IF(Person2!$F$4+ROW(A19)-1&lt;=Person2!$G$4, Person2!$F$4+ROW(A19)-1, "")</f>
        <v/>
      </c>
      <c r="AG21" s="1" t="str">
        <f>IF(Person2!$F$5+ROW(A19)-1&lt;=Person2!$G$5, Person2!$F$5+ROW(A19)-1, "")</f>
        <v/>
      </c>
      <c r="AH21" s="1" t="str">
        <f>IF(Person2!$F$6+ROW(A19)-1&lt;=Person2!$G$6, Person2!$F$6+ROW(A19)-1, "")</f>
        <v/>
      </c>
      <c r="AI21" s="1" t="str">
        <f>IF(Person2!$F$7+ROW(A19)-1&lt;=Person2!$G$7, Person2!$F$7+ROW(A19)-1, "")</f>
        <v/>
      </c>
    </row>
    <row r="22" spans="1:35" x14ac:dyDescent="0.3">
      <c r="A22" s="1" t="str">
        <f>IF(Person2!$B$3+ROW(A20)-1&lt;=Person2!$C$3, Person2!$B$3+ROW(A20)-1, "")</f>
        <v/>
      </c>
      <c r="B22" s="1" t="str">
        <f>IF(Person2!$B$4+ROW(B20)-1&lt;=Person2!$C$4, Person2!$B$4+ROW(B20)-1, "")</f>
        <v/>
      </c>
      <c r="C22" s="1" t="str">
        <f>IF(Person2!$B$5+ROW(B20)-1&lt;=Person2!$C$5, Person2!$B$5+ROW(B20)-1, "")</f>
        <v/>
      </c>
      <c r="D22" s="1" t="str">
        <f>IF(Person2!$B$6+ROW(B20)-1&lt;=Person2!$C$6, Person2!$B$6+ROW(B20)-1, "")</f>
        <v/>
      </c>
      <c r="E22" s="1" t="str">
        <f>IF(Person2!$B$7+ROW(B20)-1&lt;=Person2!$C$7, Person2!$B$7+ROW(B20)-1, "")</f>
        <v/>
      </c>
      <c r="F22" s="1" t="str">
        <f>IF(Person2!$B$8+ROW(B20)-1&lt;=Person2!$C$8, Person2!$B$8+ROW(B20)-1, "")</f>
        <v/>
      </c>
      <c r="G22" s="1" t="str">
        <f>IF(Person2!$B$9+ROW(B20)-1&lt;=Person2!$C$9, Person2!$B$9+ROW(B20)-1, "")</f>
        <v/>
      </c>
      <c r="H22" s="1" t="str">
        <f>IF(Person2!$B$10+ROW(B20)-1&lt;=Person2!$C$10, Person2!$B$10+ROW(B20)-1, "")</f>
        <v/>
      </c>
      <c r="I22" s="1" t="str">
        <f>IF(Person2!$B$11+ROW(B20)-1&lt;=Person2!$C$11, Person2!$B$11+ROW(B20)-1, "")</f>
        <v/>
      </c>
      <c r="J22" s="1" t="str">
        <f>IF(Person2!$B$12+ROW(B20)-1&lt;=Person2!$C$12, Person2!$B$12+ROW(B20)-1, "")</f>
        <v/>
      </c>
      <c r="K22" s="1" t="str">
        <f>IF(Person2!$B$13+ROW(B20)-1&lt;=Person2!$C$13, Person2!$B$13+ROW(B20)-1, "")</f>
        <v/>
      </c>
      <c r="L22" s="1" t="str">
        <f>IF(Person2!$B$14+ROW(B20)-1&lt;=Person2!$C$14, Person2!$B$14+ROW(B20)-1, "")</f>
        <v/>
      </c>
      <c r="M22" s="1" t="str">
        <f>IF(Person2!$B$15+ROW(B20)-1&lt;=Person2!$C$15, Person2!$B$15+ROW(B20)-1, "")</f>
        <v/>
      </c>
      <c r="N22" s="1" t="str">
        <f>IF(Person2!$B$16+ROW(B20)-1&lt;=Person2!$C$16, Person2!$B$16+ROW(B20)-1, "")</f>
        <v/>
      </c>
      <c r="O22" s="1" t="str">
        <f>IF(Person2!$B$17+ROW(B20)-1&lt;=Person2!$C$17, Person2!$B$17+ROW(B20)-1, "")</f>
        <v/>
      </c>
      <c r="V22" s="1" t="str">
        <f>IF(Person2!$D$3+ROW(A20)-1&lt;=Person2!$E$3, Person2!$D$3+ROW(A20)-1, "")</f>
        <v/>
      </c>
      <c r="W22" s="1" t="str">
        <f>IF(Person2!$D$4+ROW(A20)-1&lt;=Person2!$E$4, Person2!$D$4+ROW(A20)-1, "")</f>
        <v/>
      </c>
      <c r="X22" s="1" t="str">
        <f>IF(Person2!$D$5+ROW(A20)-1&lt;=Person2!$E$5, Person2!$D$5+ROW(A20)-1, "")</f>
        <v/>
      </c>
      <c r="Y22" s="1" t="str">
        <f>IF(Person2!$D$6+ROW(A20)-1&lt;=Person2!$E$6, Person2!$D$6+ROW(A20)-1, "")</f>
        <v/>
      </c>
      <c r="Z22" s="1" t="str">
        <f>IF(Person2!$D$7+ROW(A20)-1&lt;=Person2!$E$7, Person2!$D$7+ROW(A20)-1, "")</f>
        <v/>
      </c>
      <c r="AA22" s="1" t="str">
        <f>IF(Person2!$D$8+ROW(A20)-1&lt;=Person2!$E$8, Person2!$D$8+ROW(A20)-1, "")</f>
        <v/>
      </c>
      <c r="AE22" s="1" t="str">
        <f>IF(Person2!$F$3+ROW(A20)-1&lt;=Person2!$G$3, Person2!$F$3+ROW(A20)-1, "")</f>
        <v/>
      </c>
      <c r="AF22" s="1" t="str">
        <f>IF(Person2!$F$4+ROW(A20)-1&lt;=Person2!$G$4, Person2!$F$4+ROW(A20)-1, "")</f>
        <v/>
      </c>
      <c r="AG22" s="1" t="str">
        <f>IF(Person2!$F$5+ROW(A20)-1&lt;=Person2!$G$5, Person2!$F$5+ROW(A20)-1, "")</f>
        <v/>
      </c>
      <c r="AH22" s="1" t="str">
        <f>IF(Person2!$F$6+ROW(A20)-1&lt;=Person2!$G$6, Person2!$F$6+ROW(A20)-1, "")</f>
        <v/>
      </c>
      <c r="AI22" s="1" t="str">
        <f>IF(Person2!$F$7+ROW(A20)-1&lt;=Person2!$G$7, Person2!$F$7+ROW(A20)-1, "")</f>
        <v/>
      </c>
    </row>
    <row r="23" spans="1:35" x14ac:dyDescent="0.3">
      <c r="A23" s="1" t="str">
        <f>IF(Person2!$B$3+ROW(A21)-1&lt;=Person2!$C$3, Person2!$B$3+ROW(A21)-1, "")</f>
        <v/>
      </c>
      <c r="B23" s="1" t="str">
        <f>IF(Person2!$B$4+ROW(B21)-1&lt;=Person2!$C$4, Person2!$B$4+ROW(B21)-1, "")</f>
        <v/>
      </c>
      <c r="C23" s="1" t="str">
        <f>IF(Person2!$B$5+ROW(B21)-1&lt;=Person2!$C$5, Person2!$B$5+ROW(B21)-1, "")</f>
        <v/>
      </c>
      <c r="D23" s="1" t="str">
        <f>IF(Person2!$B$6+ROW(B21)-1&lt;=Person2!$C$6, Person2!$B$6+ROW(B21)-1, "")</f>
        <v/>
      </c>
      <c r="E23" s="1" t="str">
        <f>IF(Person2!$B$7+ROW(B21)-1&lt;=Person2!$C$7, Person2!$B$7+ROW(B21)-1, "")</f>
        <v/>
      </c>
      <c r="F23" s="1" t="str">
        <f>IF(Person2!$B$8+ROW(B21)-1&lt;=Person2!$C$8, Person2!$B$8+ROW(B21)-1, "")</f>
        <v/>
      </c>
      <c r="G23" s="1" t="str">
        <f>IF(Person2!$B$9+ROW(B21)-1&lt;=Person2!$C$9, Person2!$B$9+ROW(B21)-1, "")</f>
        <v/>
      </c>
      <c r="H23" s="1" t="str">
        <f>IF(Person2!$B$10+ROW(B21)-1&lt;=Person2!$C$10, Person2!$B$10+ROW(B21)-1, "")</f>
        <v/>
      </c>
      <c r="I23" s="1" t="str">
        <f>IF(Person2!$B$11+ROW(B21)-1&lt;=Person2!$C$11, Person2!$B$11+ROW(B21)-1, "")</f>
        <v/>
      </c>
      <c r="J23" s="1" t="str">
        <f>IF(Person2!$B$12+ROW(B21)-1&lt;=Person2!$C$12, Person2!$B$12+ROW(B21)-1, "")</f>
        <v/>
      </c>
      <c r="K23" s="1" t="str">
        <f>IF(Person2!$B$13+ROW(B21)-1&lt;=Person2!$C$13, Person2!$B$13+ROW(B21)-1, "")</f>
        <v/>
      </c>
      <c r="L23" s="1" t="str">
        <f>IF(Person2!$B$14+ROW(B21)-1&lt;=Person2!$C$14, Person2!$B$14+ROW(B21)-1, "")</f>
        <v/>
      </c>
      <c r="M23" s="1" t="str">
        <f>IF(Person2!$B$15+ROW(B21)-1&lt;=Person2!$C$15, Person2!$B$15+ROW(B21)-1, "")</f>
        <v/>
      </c>
      <c r="N23" s="1" t="str">
        <f>IF(Person2!$B$16+ROW(B21)-1&lt;=Person2!$C$16, Person2!$B$16+ROW(B21)-1, "")</f>
        <v/>
      </c>
      <c r="O23" s="1" t="str">
        <f>IF(Person2!$B$17+ROW(B21)-1&lt;=Person2!$C$17, Person2!$B$17+ROW(B21)-1, "")</f>
        <v/>
      </c>
      <c r="V23" s="1" t="str">
        <f>IF(Person2!$D$3+ROW(A21)-1&lt;=Person2!$E$3, Person2!$D$3+ROW(A21)-1, "")</f>
        <v/>
      </c>
      <c r="W23" s="1" t="str">
        <f>IF(Person2!$D$4+ROW(A21)-1&lt;=Person2!$E$4, Person2!$D$4+ROW(A21)-1, "")</f>
        <v/>
      </c>
      <c r="X23" s="1" t="str">
        <f>IF(Person2!$D$5+ROW(A21)-1&lt;=Person2!$E$5, Person2!$D$5+ROW(A21)-1, "")</f>
        <v/>
      </c>
      <c r="Y23" s="1" t="str">
        <f>IF(Person2!$D$6+ROW(A21)-1&lt;=Person2!$E$6, Person2!$D$6+ROW(A21)-1, "")</f>
        <v/>
      </c>
      <c r="Z23" s="1" t="str">
        <f>IF(Person2!$D$7+ROW(A21)-1&lt;=Person2!$E$7, Person2!$D$7+ROW(A21)-1, "")</f>
        <v/>
      </c>
      <c r="AA23" s="1" t="str">
        <f>IF(Person2!$D$8+ROW(A21)-1&lt;=Person2!$E$8, Person2!$D$8+ROW(A21)-1, "")</f>
        <v/>
      </c>
      <c r="AE23" s="1" t="str">
        <f>IF(Person2!$F$3+ROW(A21)-1&lt;=Person2!$G$3, Person2!$F$3+ROW(A21)-1, "")</f>
        <v/>
      </c>
      <c r="AF23" s="1" t="str">
        <f>IF(Person2!$F$4+ROW(A21)-1&lt;=Person2!$G$4, Person2!$F$4+ROW(A21)-1, "")</f>
        <v/>
      </c>
      <c r="AG23" s="1" t="str">
        <f>IF(Person2!$F$5+ROW(A21)-1&lt;=Person2!$G$5, Person2!$F$5+ROW(A21)-1, "")</f>
        <v/>
      </c>
      <c r="AH23" s="1" t="str">
        <f>IF(Person2!$F$6+ROW(A21)-1&lt;=Person2!$G$6, Person2!$F$6+ROW(A21)-1, "")</f>
        <v/>
      </c>
      <c r="AI23" s="1" t="str">
        <f>IF(Person2!$F$7+ROW(A21)-1&lt;=Person2!$G$7, Person2!$F$7+ROW(A21)-1, "")</f>
        <v/>
      </c>
    </row>
    <row r="24" spans="1:35" x14ac:dyDescent="0.3">
      <c r="A24" s="1" t="str">
        <f>IF(Person2!$B$3+ROW(A22)-1&lt;=Person2!$C$3, Person2!$B$3+ROW(A22)-1, "")</f>
        <v/>
      </c>
      <c r="B24" s="1" t="str">
        <f>IF(Person2!$B$4+ROW(B22)-1&lt;=Person2!$C$4, Person2!$B$4+ROW(B22)-1, "")</f>
        <v/>
      </c>
      <c r="C24" s="1" t="str">
        <f>IF(Person2!$B$5+ROW(B22)-1&lt;=Person2!$C$5, Person2!$B$5+ROW(B22)-1, "")</f>
        <v/>
      </c>
      <c r="D24" s="1" t="str">
        <f>IF(Person2!$B$6+ROW(B22)-1&lt;=Person2!$C$6, Person2!$B$6+ROW(B22)-1, "")</f>
        <v/>
      </c>
      <c r="E24" s="1" t="str">
        <f>IF(Person2!$B$7+ROW(B22)-1&lt;=Person2!$C$7, Person2!$B$7+ROW(B22)-1, "")</f>
        <v/>
      </c>
      <c r="F24" s="1" t="str">
        <f>IF(Person2!$B$8+ROW(B22)-1&lt;=Person2!$C$8, Person2!$B$8+ROW(B22)-1, "")</f>
        <v/>
      </c>
      <c r="G24" s="1" t="str">
        <f>IF(Person2!$B$9+ROW(B22)-1&lt;=Person2!$C$9, Person2!$B$9+ROW(B22)-1, "")</f>
        <v/>
      </c>
      <c r="H24" s="1" t="str">
        <f>IF(Person2!$B$10+ROW(B22)-1&lt;=Person2!$C$10, Person2!$B$10+ROW(B22)-1, "")</f>
        <v/>
      </c>
      <c r="I24" s="1" t="str">
        <f>IF(Person2!$B$11+ROW(B22)-1&lt;=Person2!$C$11, Person2!$B$11+ROW(B22)-1, "")</f>
        <v/>
      </c>
      <c r="J24" s="1" t="str">
        <f>IF(Person2!$B$12+ROW(B22)-1&lt;=Person2!$C$12, Person2!$B$12+ROW(B22)-1, "")</f>
        <v/>
      </c>
      <c r="K24" s="1" t="str">
        <f>IF(Person2!$B$13+ROW(B22)-1&lt;=Person2!$C$13, Person2!$B$13+ROW(B22)-1, "")</f>
        <v/>
      </c>
      <c r="L24" s="1" t="str">
        <f>IF(Person2!$B$14+ROW(B22)-1&lt;=Person2!$C$14, Person2!$B$14+ROW(B22)-1, "")</f>
        <v/>
      </c>
      <c r="M24" s="1" t="str">
        <f>IF(Person2!$B$15+ROW(B22)-1&lt;=Person2!$C$15, Person2!$B$15+ROW(B22)-1, "")</f>
        <v/>
      </c>
      <c r="N24" s="1" t="str">
        <f>IF(Person2!$B$16+ROW(B22)-1&lt;=Person2!$C$16, Person2!$B$16+ROW(B22)-1, "")</f>
        <v/>
      </c>
      <c r="O24" s="1" t="str">
        <f>IF(Person2!$B$17+ROW(B22)-1&lt;=Person2!$C$17, Person2!$B$17+ROW(B22)-1, "")</f>
        <v/>
      </c>
      <c r="V24" s="1" t="str">
        <f>IF(Person2!$D$3+ROW(A22)-1&lt;=Person2!$E$3, Person2!$D$3+ROW(A22)-1, "")</f>
        <v/>
      </c>
      <c r="W24" s="1" t="str">
        <f>IF(Person2!$D$4+ROW(A22)-1&lt;=Person2!$E$4, Person2!$D$4+ROW(A22)-1, "")</f>
        <v/>
      </c>
      <c r="X24" s="1" t="str">
        <f>IF(Person2!$D$5+ROW(A22)-1&lt;=Person2!$E$5, Person2!$D$5+ROW(A22)-1, "")</f>
        <v/>
      </c>
      <c r="Y24" s="1" t="str">
        <f>IF(Person2!$D$6+ROW(A22)-1&lt;=Person2!$E$6, Person2!$D$6+ROW(A22)-1, "")</f>
        <v/>
      </c>
      <c r="Z24" s="1" t="str">
        <f>IF(Person2!$D$7+ROW(A22)-1&lt;=Person2!$E$7, Person2!$D$7+ROW(A22)-1, "")</f>
        <v/>
      </c>
      <c r="AA24" s="1" t="str">
        <f>IF(Person2!$D$8+ROW(A22)-1&lt;=Person2!$E$8, Person2!$D$8+ROW(A22)-1, "")</f>
        <v/>
      </c>
      <c r="AE24" s="1" t="str">
        <f>IF(Person2!$F$3+ROW(A22)-1&lt;=Person2!$G$3, Person2!$F$3+ROW(A22)-1, "")</f>
        <v/>
      </c>
      <c r="AF24" s="1" t="str">
        <f>IF(Person2!$F$4+ROW(A22)-1&lt;=Person2!$G$4, Person2!$F$4+ROW(A22)-1, "")</f>
        <v/>
      </c>
      <c r="AG24" s="1" t="str">
        <f>IF(Person2!$F$5+ROW(A22)-1&lt;=Person2!$G$5, Person2!$F$5+ROW(A22)-1, "")</f>
        <v/>
      </c>
      <c r="AH24" s="1" t="str">
        <f>IF(Person2!$F$6+ROW(A22)-1&lt;=Person2!$G$6, Person2!$F$6+ROW(A22)-1, "")</f>
        <v/>
      </c>
      <c r="AI24" s="1" t="str">
        <f>IF(Person2!$F$7+ROW(A22)-1&lt;=Person2!$G$7, Person2!$F$7+ROW(A22)-1, "")</f>
        <v/>
      </c>
    </row>
    <row r="25" spans="1:35" x14ac:dyDescent="0.3">
      <c r="A25" s="1" t="str">
        <f>IF(Person2!$B$3+ROW(A23)-1&lt;=Person2!$C$3, Person2!$B$3+ROW(A23)-1, "")</f>
        <v/>
      </c>
      <c r="B25" s="1" t="str">
        <f>IF(Person2!$B$4+ROW(B23)-1&lt;=Person2!$C$4, Person2!$B$4+ROW(B23)-1, "")</f>
        <v/>
      </c>
      <c r="C25" s="1" t="str">
        <f>IF(Person2!$B$5+ROW(B23)-1&lt;=Person2!$C$5, Person2!$B$5+ROW(B23)-1, "")</f>
        <v/>
      </c>
      <c r="D25" s="1" t="str">
        <f>IF(Person2!$B$6+ROW(B23)-1&lt;=Person2!$C$6, Person2!$B$6+ROW(B23)-1, "")</f>
        <v/>
      </c>
      <c r="E25" s="1" t="str">
        <f>IF(Person2!$B$7+ROW(B23)-1&lt;=Person2!$C$7, Person2!$B$7+ROW(B23)-1, "")</f>
        <v/>
      </c>
      <c r="F25" s="1" t="str">
        <f>IF(Person2!$B$8+ROW(B23)-1&lt;=Person2!$C$8, Person2!$B$8+ROW(B23)-1, "")</f>
        <v/>
      </c>
      <c r="G25" s="1" t="str">
        <f>IF(Person2!$B$9+ROW(B23)-1&lt;=Person2!$C$9, Person2!$B$9+ROW(B23)-1, "")</f>
        <v/>
      </c>
      <c r="H25" s="1" t="str">
        <f>IF(Person2!$B$10+ROW(B23)-1&lt;=Person2!$C$10, Person2!$B$10+ROW(B23)-1, "")</f>
        <v/>
      </c>
      <c r="I25" s="1" t="str">
        <f>IF(Person2!$B$11+ROW(B23)-1&lt;=Person2!$C$11, Person2!$B$11+ROW(B23)-1, "")</f>
        <v/>
      </c>
      <c r="J25" s="1" t="str">
        <f>IF(Person2!$B$12+ROW(B23)-1&lt;=Person2!$C$12, Person2!$B$12+ROW(B23)-1, "")</f>
        <v/>
      </c>
      <c r="K25" s="1" t="str">
        <f>IF(Person2!$B$13+ROW(B23)-1&lt;=Person2!$C$13, Person2!$B$13+ROW(B23)-1, "")</f>
        <v/>
      </c>
      <c r="L25" s="1" t="str">
        <f>IF(Person2!$B$14+ROW(B23)-1&lt;=Person2!$C$14, Person2!$B$14+ROW(B23)-1, "")</f>
        <v/>
      </c>
      <c r="M25" s="1" t="str">
        <f>IF(Person2!$B$15+ROW(B23)-1&lt;=Person2!$C$15, Person2!$B$15+ROW(B23)-1, "")</f>
        <v/>
      </c>
      <c r="N25" s="1" t="str">
        <f>IF(Person2!$B$16+ROW(B23)-1&lt;=Person2!$C$16, Person2!$B$16+ROW(B23)-1, "")</f>
        <v/>
      </c>
      <c r="O25" s="1" t="str">
        <f>IF(Person2!$B$17+ROW(B23)-1&lt;=Person2!$C$17, Person2!$B$17+ROW(B23)-1, "")</f>
        <v/>
      </c>
      <c r="V25" s="1" t="str">
        <f>IF(Person2!$D$3+ROW(A23)-1&lt;=Person2!$E$3, Person2!$D$3+ROW(A23)-1, "")</f>
        <v/>
      </c>
      <c r="W25" s="1" t="str">
        <f>IF(Person2!$D$4+ROW(A23)-1&lt;=Person2!$E$4, Person2!$D$4+ROW(A23)-1, "")</f>
        <v/>
      </c>
      <c r="X25" s="1" t="str">
        <f>IF(Person2!$D$5+ROW(A23)-1&lt;=Person2!$E$5, Person2!$D$5+ROW(A23)-1, "")</f>
        <v/>
      </c>
      <c r="Y25" s="1" t="str">
        <f>IF(Person2!$D$6+ROW(A23)-1&lt;=Person2!$E$6, Person2!$D$6+ROW(A23)-1, "")</f>
        <v/>
      </c>
      <c r="Z25" s="1" t="str">
        <f>IF(Person2!$D$7+ROW(A23)-1&lt;=Person2!$E$7, Person2!$D$7+ROW(A23)-1, "")</f>
        <v/>
      </c>
      <c r="AA25" s="1" t="str">
        <f>IF(Person2!$D$8+ROW(A23)-1&lt;=Person2!$E$8, Person2!$D$8+ROW(A23)-1, "")</f>
        <v/>
      </c>
      <c r="AE25" s="1" t="str">
        <f>IF(Person2!$F$3+ROW(A23)-1&lt;=Person2!$G$3, Person2!$F$3+ROW(A23)-1, "")</f>
        <v/>
      </c>
      <c r="AF25" s="1" t="str">
        <f>IF(Person2!$F$4+ROW(A23)-1&lt;=Person2!$G$4, Person2!$F$4+ROW(A23)-1, "")</f>
        <v/>
      </c>
      <c r="AG25" s="1" t="str">
        <f>IF(Person2!$F$5+ROW(A23)-1&lt;=Person2!$G$5, Person2!$F$5+ROW(A23)-1, "")</f>
        <v/>
      </c>
      <c r="AH25" s="1" t="str">
        <f>IF(Person2!$F$6+ROW(A23)-1&lt;=Person2!$G$6, Person2!$F$6+ROW(A23)-1, "")</f>
        <v/>
      </c>
      <c r="AI25" s="1" t="str">
        <f>IF(Person2!$F$7+ROW(A23)-1&lt;=Person2!$G$7, Person2!$F$7+ROW(A23)-1, "")</f>
        <v/>
      </c>
    </row>
    <row r="26" spans="1:35" x14ac:dyDescent="0.3">
      <c r="A26" s="1" t="str">
        <f>IF(Person2!$B$3+ROW(A24)-1&lt;=Person2!$C$3, Person2!$B$3+ROW(A24)-1, "")</f>
        <v/>
      </c>
      <c r="B26" s="1" t="str">
        <f>IF(Person2!$B$4+ROW(B24)-1&lt;=Person2!$C$4, Person2!$B$4+ROW(B24)-1, "")</f>
        <v/>
      </c>
      <c r="C26" s="1" t="str">
        <f>IF(Person2!$B$5+ROW(B24)-1&lt;=Person2!$C$5, Person2!$B$5+ROW(B24)-1, "")</f>
        <v/>
      </c>
      <c r="D26" s="1" t="str">
        <f>IF(Person2!$B$6+ROW(B24)-1&lt;=Person2!$C$6, Person2!$B$6+ROW(B24)-1, "")</f>
        <v/>
      </c>
      <c r="E26" s="1" t="str">
        <f>IF(Person2!$B$7+ROW(B24)-1&lt;=Person2!$C$7, Person2!$B$7+ROW(B24)-1, "")</f>
        <v/>
      </c>
      <c r="F26" s="1" t="str">
        <f>IF(Person2!$B$8+ROW(B24)-1&lt;=Person2!$C$8, Person2!$B$8+ROW(B24)-1, "")</f>
        <v/>
      </c>
      <c r="G26" s="1" t="str">
        <f>IF(Person2!$B$9+ROW(B24)-1&lt;=Person2!$C$9, Person2!$B$9+ROW(B24)-1, "")</f>
        <v/>
      </c>
      <c r="H26" s="1" t="str">
        <f>IF(Person2!$B$10+ROW(B24)-1&lt;=Person2!$C$10, Person2!$B$10+ROW(B24)-1, "")</f>
        <v/>
      </c>
      <c r="I26" s="1" t="str">
        <f>IF(Person2!$B$11+ROW(B24)-1&lt;=Person2!$C$11, Person2!$B$11+ROW(B24)-1, "")</f>
        <v/>
      </c>
      <c r="J26" s="1" t="str">
        <f>IF(Person2!$B$12+ROW(B24)-1&lt;=Person2!$C$12, Person2!$B$12+ROW(B24)-1, "")</f>
        <v/>
      </c>
      <c r="K26" s="1" t="str">
        <f>IF(Person2!$B$13+ROW(B24)-1&lt;=Person2!$C$13, Person2!$B$13+ROW(B24)-1, "")</f>
        <v/>
      </c>
      <c r="L26" s="1" t="str">
        <f>IF(Person2!$B$14+ROW(B24)-1&lt;=Person2!$C$14, Person2!$B$14+ROW(B24)-1, "")</f>
        <v/>
      </c>
      <c r="M26" s="1" t="str">
        <f>IF(Person2!$B$15+ROW(B24)-1&lt;=Person2!$C$15, Person2!$B$15+ROW(B24)-1, "")</f>
        <v/>
      </c>
      <c r="N26" s="1" t="str">
        <f>IF(Person2!$B$16+ROW(B24)-1&lt;=Person2!$C$16, Person2!$B$16+ROW(B24)-1, "")</f>
        <v/>
      </c>
      <c r="O26" s="1" t="str">
        <f>IF(Person2!$B$17+ROW(B24)-1&lt;=Person2!$C$17, Person2!$B$17+ROW(B24)-1, "")</f>
        <v/>
      </c>
      <c r="V26" s="1" t="str">
        <f>IF(Person2!$D$3+ROW(A24)-1&lt;=Person2!$E$3, Person2!$D$3+ROW(A24)-1, "")</f>
        <v/>
      </c>
      <c r="W26" s="1" t="str">
        <f>IF(Person2!$D$4+ROW(A24)-1&lt;=Person2!$E$4, Person2!$D$4+ROW(A24)-1, "")</f>
        <v/>
      </c>
      <c r="X26" s="1" t="str">
        <f>IF(Person2!$D$5+ROW(A24)-1&lt;=Person2!$E$5, Person2!$D$5+ROW(A24)-1, "")</f>
        <v/>
      </c>
      <c r="Y26" s="1" t="str">
        <f>IF(Person2!$D$6+ROW(A24)-1&lt;=Person2!$E$6, Person2!$D$6+ROW(A24)-1, "")</f>
        <v/>
      </c>
      <c r="Z26" s="1" t="str">
        <f>IF(Person2!$D$7+ROW(A24)-1&lt;=Person2!$E$7, Person2!$D$7+ROW(A24)-1, "")</f>
        <v/>
      </c>
      <c r="AA26" s="1" t="str">
        <f>IF(Person2!$D$8+ROW(A24)-1&lt;=Person2!$E$8, Person2!$D$8+ROW(A24)-1, "")</f>
        <v/>
      </c>
      <c r="AE26" s="1" t="str">
        <f>IF(Person2!$F$3+ROW(A24)-1&lt;=Person2!$G$3, Person2!$F$3+ROW(A24)-1, "")</f>
        <v/>
      </c>
      <c r="AF26" s="1" t="str">
        <f>IF(Person2!$F$4+ROW(A24)-1&lt;=Person2!$G$4, Person2!$F$4+ROW(A24)-1, "")</f>
        <v/>
      </c>
      <c r="AG26" s="1" t="str">
        <f>IF(Person2!$F$5+ROW(A24)-1&lt;=Person2!$G$5, Person2!$F$5+ROW(A24)-1, "")</f>
        <v/>
      </c>
      <c r="AH26" s="1" t="str">
        <f>IF(Person2!$F$6+ROW(A24)-1&lt;=Person2!$G$6, Person2!$F$6+ROW(A24)-1, "")</f>
        <v/>
      </c>
      <c r="AI26" s="1" t="str">
        <f>IF(Person2!$F$7+ROW(A24)-1&lt;=Person2!$G$7, Person2!$F$7+ROW(A24)-1, "")</f>
        <v/>
      </c>
    </row>
    <row r="27" spans="1:35" x14ac:dyDescent="0.3">
      <c r="A27" s="1" t="str">
        <f>IF(Person2!$B$3+ROW(A25)-1&lt;=Person2!$C$3, Person2!$B$3+ROW(A25)-1, "")</f>
        <v/>
      </c>
      <c r="B27" s="1" t="str">
        <f>IF(Person2!$B$4+ROW(B25)-1&lt;=Person2!$C$4, Person2!$B$4+ROW(B25)-1, "")</f>
        <v/>
      </c>
      <c r="C27" s="1" t="str">
        <f>IF(Person2!$B$5+ROW(B25)-1&lt;=Person2!$C$5, Person2!$B$5+ROW(B25)-1, "")</f>
        <v/>
      </c>
      <c r="D27" s="1" t="str">
        <f>IF(Person2!$B$6+ROW(B25)-1&lt;=Person2!$C$6, Person2!$B$6+ROW(B25)-1, "")</f>
        <v/>
      </c>
      <c r="E27" s="1" t="str">
        <f>IF(Person2!$B$7+ROW(B25)-1&lt;=Person2!$C$7, Person2!$B$7+ROW(B25)-1, "")</f>
        <v/>
      </c>
      <c r="F27" s="1" t="str">
        <f>IF(Person2!$B$8+ROW(B25)-1&lt;=Person2!$C$8, Person2!$B$8+ROW(B25)-1, "")</f>
        <v/>
      </c>
      <c r="G27" s="1" t="str">
        <f>IF(Person2!$B$9+ROW(B25)-1&lt;=Person2!$C$9, Person2!$B$9+ROW(B25)-1, "")</f>
        <v/>
      </c>
      <c r="H27" s="1" t="str">
        <f>IF(Person2!$B$10+ROW(B25)-1&lt;=Person2!$C$10, Person2!$B$10+ROW(B25)-1, "")</f>
        <v/>
      </c>
      <c r="I27" s="1" t="str">
        <f>IF(Person2!$B$11+ROW(B25)-1&lt;=Person2!$C$11, Person2!$B$11+ROW(B25)-1, "")</f>
        <v/>
      </c>
      <c r="J27" s="1" t="str">
        <f>IF(Person2!$B$12+ROW(B25)-1&lt;=Person2!$C$12, Person2!$B$12+ROW(B25)-1, "")</f>
        <v/>
      </c>
      <c r="K27" s="1" t="str">
        <f>IF(Person2!$B$13+ROW(B25)-1&lt;=Person2!$C$13, Person2!$B$13+ROW(B25)-1, "")</f>
        <v/>
      </c>
      <c r="L27" s="1" t="str">
        <f>IF(Person2!$B$14+ROW(B25)-1&lt;=Person2!$C$14, Person2!$B$14+ROW(B25)-1, "")</f>
        <v/>
      </c>
      <c r="M27" s="1" t="str">
        <f>IF(Person2!$B$15+ROW(B25)-1&lt;=Person2!$C$15, Person2!$B$15+ROW(B25)-1, "")</f>
        <v/>
      </c>
      <c r="N27" s="1" t="str">
        <f>IF(Person2!$B$16+ROW(B25)-1&lt;=Person2!$C$16, Person2!$B$16+ROW(B25)-1, "")</f>
        <v/>
      </c>
      <c r="O27" s="1" t="str">
        <f>IF(Person2!$B$17+ROW(B25)-1&lt;=Person2!$C$17, Person2!$B$17+ROW(B25)-1, "")</f>
        <v/>
      </c>
      <c r="V27" s="1" t="str">
        <f>IF(Person2!$D$3+ROW(A25)-1&lt;=Person2!$E$3, Person2!$D$3+ROW(A25)-1, "")</f>
        <v/>
      </c>
      <c r="W27" s="1" t="str">
        <f>IF(Person2!$D$4+ROW(A25)-1&lt;=Person2!$E$4, Person2!$D$4+ROW(A25)-1, "")</f>
        <v/>
      </c>
      <c r="X27" s="1" t="str">
        <f>IF(Person2!$D$5+ROW(A25)-1&lt;=Person2!$E$5, Person2!$D$5+ROW(A25)-1, "")</f>
        <v/>
      </c>
      <c r="Y27" s="1" t="str">
        <f>IF(Person2!$D$6+ROW(A25)-1&lt;=Person2!$E$6, Person2!$D$6+ROW(A25)-1, "")</f>
        <v/>
      </c>
      <c r="Z27" s="1" t="str">
        <f>IF(Person2!$D$7+ROW(A25)-1&lt;=Person2!$E$7, Person2!$D$7+ROW(A25)-1, "")</f>
        <v/>
      </c>
      <c r="AA27" s="1" t="str">
        <f>IF(Person2!$D$8+ROW(A25)-1&lt;=Person2!$E$8, Person2!$D$8+ROW(A25)-1, "")</f>
        <v/>
      </c>
      <c r="AE27" s="1" t="str">
        <f>IF(Person2!$F$3+ROW(A25)-1&lt;=Person2!$G$3, Person2!$F$3+ROW(A25)-1, "")</f>
        <v/>
      </c>
      <c r="AF27" s="1" t="str">
        <f>IF(Person2!$F$4+ROW(A25)-1&lt;=Person2!$G$4, Person2!$F$4+ROW(A25)-1, "")</f>
        <v/>
      </c>
      <c r="AG27" s="1" t="str">
        <f>IF(Person2!$F$5+ROW(A25)-1&lt;=Person2!$G$5, Person2!$F$5+ROW(A25)-1, "")</f>
        <v/>
      </c>
      <c r="AH27" s="1" t="str">
        <f>IF(Person2!$F$6+ROW(A25)-1&lt;=Person2!$G$6, Person2!$F$6+ROW(A25)-1, "")</f>
        <v/>
      </c>
      <c r="AI27" s="1" t="str">
        <f>IF(Person2!$F$7+ROW(A25)-1&lt;=Person2!$G$7, Person2!$F$7+ROW(A25)-1, "")</f>
        <v/>
      </c>
    </row>
    <row r="28" spans="1:35" x14ac:dyDescent="0.3">
      <c r="A28" s="1" t="str">
        <f>IF(Person2!$B$3+ROW(A26)-1&lt;=Person2!$C$3, Person2!$B$3+ROW(A26)-1, "")</f>
        <v/>
      </c>
      <c r="B28" s="1" t="str">
        <f>IF(Person2!$B$4+ROW(B26)-1&lt;=Person2!$C$4, Person2!$B$4+ROW(B26)-1, "")</f>
        <v/>
      </c>
      <c r="C28" s="1" t="str">
        <f>IF(Person2!$B$5+ROW(B26)-1&lt;=Person2!$C$5, Person2!$B$5+ROW(B26)-1, "")</f>
        <v/>
      </c>
      <c r="D28" s="1" t="str">
        <f>IF(Person2!$B$6+ROW(B26)-1&lt;=Person2!$C$6, Person2!$B$6+ROW(B26)-1, "")</f>
        <v/>
      </c>
      <c r="E28" s="1" t="str">
        <f>IF(Person2!$B$7+ROW(B26)-1&lt;=Person2!$C$7, Person2!$B$7+ROW(B26)-1, "")</f>
        <v/>
      </c>
      <c r="F28" s="1" t="str">
        <f>IF(Person2!$B$8+ROW(B26)-1&lt;=Person2!$C$8, Person2!$B$8+ROW(B26)-1, "")</f>
        <v/>
      </c>
      <c r="G28" s="1" t="str">
        <f>IF(Person2!$B$9+ROW(B26)-1&lt;=Person2!$C$9, Person2!$B$9+ROW(B26)-1, "")</f>
        <v/>
      </c>
      <c r="H28" s="1" t="str">
        <f>IF(Person2!$B$10+ROW(B26)-1&lt;=Person2!$C$10, Person2!$B$10+ROW(B26)-1, "")</f>
        <v/>
      </c>
      <c r="I28" s="1" t="str">
        <f>IF(Person2!$B$11+ROW(B26)-1&lt;=Person2!$C$11, Person2!$B$11+ROW(B26)-1, "")</f>
        <v/>
      </c>
      <c r="J28" s="1" t="str">
        <f>IF(Person2!$B$12+ROW(B26)-1&lt;=Person2!$C$12, Person2!$B$12+ROW(B26)-1, "")</f>
        <v/>
      </c>
      <c r="K28" s="1" t="str">
        <f>IF(Person2!$B$13+ROW(B26)-1&lt;=Person2!$C$13, Person2!$B$13+ROW(B26)-1, "")</f>
        <v/>
      </c>
      <c r="L28" s="1" t="str">
        <f>IF(Person2!$B$14+ROW(B26)-1&lt;=Person2!$C$14, Person2!$B$14+ROW(B26)-1, "")</f>
        <v/>
      </c>
      <c r="M28" s="1" t="str">
        <f>IF(Person2!$B$15+ROW(B26)-1&lt;=Person2!$C$15, Person2!$B$15+ROW(B26)-1, "")</f>
        <v/>
      </c>
      <c r="N28" s="1" t="str">
        <f>IF(Person2!$B$16+ROW(B26)-1&lt;=Person2!$C$16, Person2!$B$16+ROW(B26)-1, "")</f>
        <v/>
      </c>
      <c r="O28" s="1" t="str">
        <f>IF(Person2!$B$17+ROW(B26)-1&lt;=Person2!$C$17, Person2!$B$17+ROW(B26)-1, "")</f>
        <v/>
      </c>
      <c r="V28" s="1" t="str">
        <f>IF(Person2!$D$3+ROW(A26)-1&lt;=Person2!$E$3, Person2!$D$3+ROW(A26)-1, "")</f>
        <v/>
      </c>
      <c r="W28" s="1" t="str">
        <f>IF(Person2!$D$4+ROW(A26)-1&lt;=Person2!$E$4, Person2!$D$4+ROW(A26)-1, "")</f>
        <v/>
      </c>
      <c r="X28" s="1" t="str">
        <f>IF(Person2!$D$5+ROW(A26)-1&lt;=Person2!$E$5, Person2!$D$5+ROW(A26)-1, "")</f>
        <v/>
      </c>
      <c r="Y28" s="1" t="str">
        <f>IF(Person2!$D$6+ROW(A26)-1&lt;=Person2!$E$6, Person2!$D$6+ROW(A26)-1, "")</f>
        <v/>
      </c>
      <c r="Z28" s="1" t="str">
        <f>IF(Person2!$D$7+ROW(A26)-1&lt;=Person2!$E$7, Person2!$D$7+ROW(A26)-1, "")</f>
        <v/>
      </c>
      <c r="AA28" s="1" t="str">
        <f>IF(Person2!$D$8+ROW(A26)-1&lt;=Person2!$E$8, Person2!$D$8+ROW(A26)-1, "")</f>
        <v/>
      </c>
      <c r="AE28" s="1" t="str">
        <f>IF(Person2!$F$3+ROW(A26)-1&lt;=Person2!$G$3, Person2!$F$3+ROW(A26)-1, "")</f>
        <v/>
      </c>
      <c r="AF28" s="1" t="str">
        <f>IF(Person2!$F$4+ROW(A26)-1&lt;=Person2!$G$4, Person2!$F$4+ROW(A26)-1, "")</f>
        <v/>
      </c>
      <c r="AG28" s="1" t="str">
        <f>IF(Person2!$F$5+ROW(A26)-1&lt;=Person2!$G$5, Person2!$F$5+ROW(A26)-1, "")</f>
        <v/>
      </c>
      <c r="AH28" s="1" t="str">
        <f>IF(Person2!$F$6+ROW(A26)-1&lt;=Person2!$G$6, Person2!$F$6+ROW(A26)-1, "")</f>
        <v/>
      </c>
      <c r="AI28" s="1" t="str">
        <f>IF(Person2!$F$7+ROW(A26)-1&lt;=Person2!$G$7, Person2!$F$7+ROW(A26)-1, "")</f>
        <v/>
      </c>
    </row>
    <row r="29" spans="1:35" x14ac:dyDescent="0.3">
      <c r="A29" s="1" t="str">
        <f>IF(Person2!$B$3+ROW(A27)-1&lt;=Person2!$C$3, Person2!$B$3+ROW(A27)-1, "")</f>
        <v/>
      </c>
      <c r="B29" s="1" t="str">
        <f>IF(Person2!$B$4+ROW(B27)-1&lt;=Person2!$C$4, Person2!$B$4+ROW(B27)-1, "")</f>
        <v/>
      </c>
      <c r="C29" s="1" t="str">
        <f>IF(Person2!$B$5+ROW(B27)-1&lt;=Person2!$C$5, Person2!$B$5+ROW(B27)-1, "")</f>
        <v/>
      </c>
      <c r="D29" s="1" t="str">
        <f>IF(Person2!$B$6+ROW(B27)-1&lt;=Person2!$C$6, Person2!$B$6+ROW(B27)-1, "")</f>
        <v/>
      </c>
      <c r="E29" s="1" t="str">
        <f>IF(Person2!$B$7+ROW(B27)-1&lt;=Person2!$C$7, Person2!$B$7+ROW(B27)-1, "")</f>
        <v/>
      </c>
      <c r="F29" s="1" t="str">
        <f>IF(Person2!$B$8+ROW(B27)-1&lt;=Person2!$C$8, Person2!$B$8+ROW(B27)-1, "")</f>
        <v/>
      </c>
      <c r="G29" s="1" t="str">
        <f>IF(Person2!$B$9+ROW(B27)-1&lt;=Person2!$C$9, Person2!$B$9+ROW(B27)-1, "")</f>
        <v/>
      </c>
      <c r="H29" s="1" t="str">
        <f>IF(Person2!$B$10+ROW(B27)-1&lt;=Person2!$C$10, Person2!$B$10+ROW(B27)-1, "")</f>
        <v/>
      </c>
      <c r="I29" s="1" t="str">
        <f>IF(Person2!$B$11+ROW(B27)-1&lt;=Person2!$C$11, Person2!$B$11+ROW(B27)-1, "")</f>
        <v/>
      </c>
      <c r="J29" s="1" t="str">
        <f>IF(Person2!$B$12+ROW(B27)-1&lt;=Person2!$C$12, Person2!$B$12+ROW(B27)-1, "")</f>
        <v/>
      </c>
      <c r="K29" s="1" t="str">
        <f>IF(Person2!$B$13+ROW(B27)-1&lt;=Person2!$C$13, Person2!$B$13+ROW(B27)-1, "")</f>
        <v/>
      </c>
      <c r="L29" s="1" t="str">
        <f>IF(Person2!$B$14+ROW(B27)-1&lt;=Person2!$C$14, Person2!$B$14+ROW(B27)-1, "")</f>
        <v/>
      </c>
      <c r="M29" s="1" t="str">
        <f>IF(Person2!$B$15+ROW(B27)-1&lt;=Person2!$C$15, Person2!$B$15+ROW(B27)-1, "")</f>
        <v/>
      </c>
      <c r="N29" s="1" t="str">
        <f>IF(Person2!$B$16+ROW(B27)-1&lt;=Person2!$C$16, Person2!$B$16+ROW(B27)-1, "")</f>
        <v/>
      </c>
      <c r="O29" s="1" t="str">
        <f>IF(Person2!$B$17+ROW(B27)-1&lt;=Person2!$C$17, Person2!$B$17+ROW(B27)-1, "")</f>
        <v/>
      </c>
      <c r="V29" s="1" t="str">
        <f>IF(Person2!$D$3+ROW(A27)-1&lt;=Person2!$E$3, Person2!$D$3+ROW(A27)-1, "")</f>
        <v/>
      </c>
      <c r="W29" s="1" t="str">
        <f>IF(Person2!$D$4+ROW(A27)-1&lt;=Person2!$E$4, Person2!$D$4+ROW(A27)-1, "")</f>
        <v/>
      </c>
      <c r="X29" s="1" t="str">
        <f>IF(Person2!$D$5+ROW(A27)-1&lt;=Person2!$E$5, Person2!$D$5+ROW(A27)-1, "")</f>
        <v/>
      </c>
      <c r="Y29" s="1" t="str">
        <f>IF(Person2!$D$6+ROW(A27)-1&lt;=Person2!$E$6, Person2!$D$6+ROW(A27)-1, "")</f>
        <v/>
      </c>
      <c r="Z29" s="1" t="str">
        <f>IF(Person2!$D$7+ROW(A27)-1&lt;=Person2!$E$7, Person2!$D$7+ROW(A27)-1, "")</f>
        <v/>
      </c>
      <c r="AA29" s="1" t="str">
        <f>IF(Person2!$D$8+ROW(A27)-1&lt;=Person2!$E$8, Person2!$D$8+ROW(A27)-1, "")</f>
        <v/>
      </c>
      <c r="AE29" s="1" t="str">
        <f>IF(Person2!$F$3+ROW(A27)-1&lt;=Person2!$G$3, Person2!$F$3+ROW(A27)-1, "")</f>
        <v/>
      </c>
      <c r="AF29" s="1" t="str">
        <f>IF(Person2!$F$4+ROW(A27)-1&lt;=Person2!$G$4, Person2!$F$4+ROW(A27)-1, "")</f>
        <v/>
      </c>
      <c r="AG29" s="1" t="str">
        <f>IF(Person2!$F$5+ROW(A27)-1&lt;=Person2!$G$5, Person2!$F$5+ROW(A27)-1, "")</f>
        <v/>
      </c>
      <c r="AH29" s="1" t="str">
        <f>IF(Person2!$F$6+ROW(A27)-1&lt;=Person2!$G$6, Person2!$F$6+ROW(A27)-1, "")</f>
        <v/>
      </c>
      <c r="AI29" s="1" t="str">
        <f>IF(Person2!$F$7+ROW(A27)-1&lt;=Person2!$G$7, Person2!$F$7+ROW(A27)-1, "")</f>
        <v/>
      </c>
    </row>
    <row r="30" spans="1:35" x14ac:dyDescent="0.3">
      <c r="A30" s="1" t="str">
        <f>IF(Person2!$B$3+ROW(A28)-1&lt;=Person2!$C$3, Person2!$B$3+ROW(A28)-1, "")</f>
        <v/>
      </c>
      <c r="B30" s="1" t="str">
        <f>IF(Person2!$B$4+ROW(B28)-1&lt;=Person2!$C$4, Person2!$B$4+ROW(B28)-1, "")</f>
        <v/>
      </c>
      <c r="C30" s="1" t="str">
        <f>IF(Person2!$B$5+ROW(B28)-1&lt;=Person2!$C$5, Person2!$B$5+ROW(B28)-1, "")</f>
        <v/>
      </c>
      <c r="D30" s="1" t="str">
        <f>IF(Person2!$B$6+ROW(B28)-1&lt;=Person2!$C$6, Person2!$B$6+ROW(B28)-1, "")</f>
        <v/>
      </c>
      <c r="E30" s="1" t="str">
        <f>IF(Person2!$B$7+ROW(B28)-1&lt;=Person2!$C$7, Person2!$B$7+ROW(B28)-1, "")</f>
        <v/>
      </c>
      <c r="F30" s="1" t="str">
        <f>IF(Person2!$B$8+ROW(B28)-1&lt;=Person2!$C$8, Person2!$B$8+ROW(B28)-1, "")</f>
        <v/>
      </c>
      <c r="G30" s="1" t="str">
        <f>IF(Person2!$B$9+ROW(B28)-1&lt;=Person2!$C$9, Person2!$B$9+ROW(B28)-1, "")</f>
        <v/>
      </c>
      <c r="H30" s="1" t="str">
        <f>IF(Person2!$B$10+ROW(B28)-1&lt;=Person2!$C$10, Person2!$B$10+ROW(B28)-1, "")</f>
        <v/>
      </c>
      <c r="I30" s="1" t="str">
        <f>IF(Person2!$B$11+ROW(B28)-1&lt;=Person2!$C$11, Person2!$B$11+ROW(B28)-1, "")</f>
        <v/>
      </c>
      <c r="J30" s="1" t="str">
        <f>IF(Person2!$B$12+ROW(B28)-1&lt;=Person2!$C$12, Person2!$B$12+ROW(B28)-1, "")</f>
        <v/>
      </c>
      <c r="K30" s="1" t="str">
        <f>IF(Person2!$B$13+ROW(B28)-1&lt;=Person2!$C$13, Person2!$B$13+ROW(B28)-1, "")</f>
        <v/>
      </c>
      <c r="L30" s="1" t="str">
        <f>IF(Person2!$B$14+ROW(B28)-1&lt;=Person2!$C$14, Person2!$B$14+ROW(B28)-1, "")</f>
        <v/>
      </c>
      <c r="M30" s="1" t="str">
        <f>IF(Person2!$B$15+ROW(B28)-1&lt;=Person2!$C$15, Person2!$B$15+ROW(B28)-1, "")</f>
        <v/>
      </c>
      <c r="N30" s="1" t="str">
        <f>IF(Person2!$B$16+ROW(B28)-1&lt;=Person2!$C$16, Person2!$B$16+ROW(B28)-1, "")</f>
        <v/>
      </c>
      <c r="O30" s="1" t="str">
        <f>IF(Person2!$B$17+ROW(B28)-1&lt;=Person2!$C$17, Person2!$B$17+ROW(B28)-1, "")</f>
        <v/>
      </c>
      <c r="V30" s="1" t="str">
        <f>IF(Person2!$D$3+ROW(A28)-1&lt;=Person2!$E$3, Person2!$D$3+ROW(A28)-1, "")</f>
        <v/>
      </c>
      <c r="W30" s="1" t="str">
        <f>IF(Person2!$D$4+ROW(A28)-1&lt;=Person2!$E$4, Person2!$D$4+ROW(A28)-1, "")</f>
        <v/>
      </c>
      <c r="X30" s="1" t="str">
        <f>IF(Person2!$D$5+ROW(A28)-1&lt;=Person2!$E$5, Person2!$D$5+ROW(A28)-1, "")</f>
        <v/>
      </c>
      <c r="Y30" s="1" t="str">
        <f>IF(Person2!$D$6+ROW(A28)-1&lt;=Person2!$E$6, Person2!$D$6+ROW(A28)-1, "")</f>
        <v/>
      </c>
      <c r="Z30" s="1" t="str">
        <f>IF(Person2!$D$7+ROW(A28)-1&lt;=Person2!$E$7, Person2!$D$7+ROW(A28)-1, "")</f>
        <v/>
      </c>
      <c r="AA30" s="1" t="str">
        <f>IF(Person2!$D$8+ROW(A28)-1&lt;=Person2!$E$8, Person2!$D$8+ROW(A28)-1, "")</f>
        <v/>
      </c>
      <c r="AE30" s="1" t="str">
        <f>IF(Person2!$F$3+ROW(A28)-1&lt;=Person2!$G$3, Person2!$F$3+ROW(A28)-1, "")</f>
        <v/>
      </c>
      <c r="AF30" s="1" t="str">
        <f>IF(Person2!$F$4+ROW(A28)-1&lt;=Person2!$G$4, Person2!$F$4+ROW(A28)-1, "")</f>
        <v/>
      </c>
      <c r="AG30" s="1" t="str">
        <f>IF(Person2!$F$5+ROW(A28)-1&lt;=Person2!$G$5, Person2!$F$5+ROW(A28)-1, "")</f>
        <v/>
      </c>
      <c r="AH30" s="1" t="str">
        <f>IF(Person2!$F$6+ROW(A28)-1&lt;=Person2!$G$6, Person2!$F$6+ROW(A28)-1, "")</f>
        <v/>
      </c>
      <c r="AI30" s="1" t="str">
        <f>IF(Person2!$F$7+ROW(A28)-1&lt;=Person2!$G$7, Person2!$F$7+ROW(A28)-1, "")</f>
        <v/>
      </c>
    </row>
    <row r="31" spans="1:35" x14ac:dyDescent="0.3">
      <c r="A31" s="1" t="str">
        <f>IF(Person2!$B$3+ROW(A29)-1&lt;=Person2!$C$3, Person2!$B$3+ROW(A29)-1, "")</f>
        <v/>
      </c>
      <c r="B31" s="1" t="str">
        <f>IF(Person2!$B$4+ROW(B29)-1&lt;=Person2!$C$4, Person2!$B$4+ROW(B29)-1, "")</f>
        <v/>
      </c>
      <c r="C31" s="1" t="str">
        <f>IF(Person2!$B$5+ROW(B29)-1&lt;=Person2!$C$5, Person2!$B$5+ROW(B29)-1, "")</f>
        <v/>
      </c>
      <c r="D31" s="1" t="str">
        <f>IF(Person2!$B$6+ROW(B29)-1&lt;=Person2!$C$6, Person2!$B$6+ROW(B29)-1, "")</f>
        <v/>
      </c>
      <c r="E31" s="1" t="str">
        <f>IF(Person2!$B$7+ROW(B29)-1&lt;=Person2!$C$7, Person2!$B$7+ROW(B29)-1, "")</f>
        <v/>
      </c>
      <c r="F31" s="1" t="str">
        <f>IF(Person2!$B$8+ROW(B29)-1&lt;=Person2!$C$8, Person2!$B$8+ROW(B29)-1, "")</f>
        <v/>
      </c>
      <c r="G31" s="1" t="str">
        <f>IF(Person2!$B$9+ROW(B29)-1&lt;=Person2!$C$9, Person2!$B$9+ROW(B29)-1, "")</f>
        <v/>
      </c>
      <c r="H31" s="1" t="str">
        <f>IF(Person2!$B$10+ROW(B29)-1&lt;=Person2!$C$10, Person2!$B$10+ROW(B29)-1, "")</f>
        <v/>
      </c>
      <c r="I31" s="1" t="str">
        <f>IF(Person2!$B$11+ROW(B29)-1&lt;=Person2!$C$11, Person2!$B$11+ROW(B29)-1, "")</f>
        <v/>
      </c>
      <c r="J31" s="1" t="str">
        <f>IF(Person2!$B$12+ROW(B29)-1&lt;=Person2!$C$12, Person2!$B$12+ROW(B29)-1, "")</f>
        <v/>
      </c>
      <c r="K31" s="1" t="str">
        <f>IF(Person2!$B$13+ROW(B29)-1&lt;=Person2!$C$13, Person2!$B$13+ROW(B29)-1, "")</f>
        <v/>
      </c>
      <c r="L31" s="1" t="str">
        <f>IF(Person2!$B$14+ROW(B29)-1&lt;=Person2!$C$14, Person2!$B$14+ROW(B29)-1, "")</f>
        <v/>
      </c>
      <c r="M31" s="1" t="str">
        <f>IF(Person2!$B$15+ROW(B29)-1&lt;=Person2!$C$15, Person2!$B$15+ROW(B29)-1, "")</f>
        <v/>
      </c>
      <c r="N31" s="1" t="str">
        <f>IF(Person2!$B$16+ROW(B29)-1&lt;=Person2!$C$16, Person2!$B$16+ROW(B29)-1, "")</f>
        <v/>
      </c>
      <c r="O31" s="1" t="str">
        <f>IF(Person2!$B$17+ROW(B29)-1&lt;=Person2!$C$17, Person2!$B$17+ROW(B29)-1, "")</f>
        <v/>
      </c>
      <c r="V31" s="1" t="str">
        <f>IF(Person2!$D$3+ROW(A29)-1&lt;=Person2!$E$3, Person2!$D$3+ROW(A29)-1, "")</f>
        <v/>
      </c>
      <c r="W31" s="1" t="str">
        <f>IF(Person2!$D$4+ROW(A29)-1&lt;=Person2!$E$4, Person2!$D$4+ROW(A29)-1, "")</f>
        <v/>
      </c>
      <c r="X31" s="1" t="str">
        <f>IF(Person2!$D$5+ROW(A29)-1&lt;=Person2!$E$5, Person2!$D$5+ROW(A29)-1, "")</f>
        <v/>
      </c>
      <c r="Y31" s="1" t="str">
        <f>IF(Person2!$D$6+ROW(A29)-1&lt;=Person2!$E$6, Person2!$D$6+ROW(A29)-1, "")</f>
        <v/>
      </c>
      <c r="Z31" s="1" t="str">
        <f>IF(Person2!$D$7+ROW(A29)-1&lt;=Person2!$E$7, Person2!$D$7+ROW(A29)-1, "")</f>
        <v/>
      </c>
      <c r="AA31" s="1" t="str">
        <f>IF(Person2!$D$8+ROW(A29)-1&lt;=Person2!$E$8, Person2!$D$8+ROW(A29)-1, "")</f>
        <v/>
      </c>
      <c r="AE31" s="1" t="str">
        <f>IF(Person2!$F$3+ROW(A29)-1&lt;=Person2!$G$3, Person2!$F$3+ROW(A29)-1, "")</f>
        <v/>
      </c>
      <c r="AF31" s="1" t="str">
        <f>IF(Person2!$F$4+ROW(A29)-1&lt;=Person2!$G$4, Person2!$F$4+ROW(A29)-1, "")</f>
        <v/>
      </c>
      <c r="AG31" s="1" t="str">
        <f>IF(Person2!$F$5+ROW(A29)-1&lt;=Person2!$G$5, Person2!$F$5+ROW(A29)-1, "")</f>
        <v/>
      </c>
      <c r="AH31" s="1" t="str">
        <f>IF(Person2!$F$6+ROW(A29)-1&lt;=Person2!$G$6, Person2!$F$6+ROW(A29)-1, "")</f>
        <v/>
      </c>
      <c r="AI31" s="1" t="str">
        <f>IF(Person2!$F$7+ROW(A29)-1&lt;=Person2!$G$7, Person2!$F$7+ROW(A29)-1, "")</f>
        <v/>
      </c>
    </row>
    <row r="32" spans="1:35" x14ac:dyDescent="0.3">
      <c r="A32" s="1" t="str">
        <f>IF(Person2!$B$3+ROW(A30)-1&lt;=Person2!$C$3, Person2!$B$3+ROW(A30)-1, "")</f>
        <v/>
      </c>
      <c r="B32" s="1" t="str">
        <f>IF(Person2!$B$4+ROW(B30)-1&lt;=Person2!$C$4, Person2!$B$4+ROW(B30)-1, "")</f>
        <v/>
      </c>
      <c r="C32" s="1" t="str">
        <f>IF(Person2!$B$5+ROW(B30)-1&lt;=Person2!$C$5, Person2!$B$5+ROW(B30)-1, "")</f>
        <v/>
      </c>
      <c r="D32" s="1" t="str">
        <f>IF(Person2!$B$6+ROW(B30)-1&lt;=Person2!$C$6, Person2!$B$6+ROW(B30)-1, "")</f>
        <v/>
      </c>
      <c r="E32" s="1" t="str">
        <f>IF(Person2!$B$7+ROW(B30)-1&lt;=Person2!$C$7, Person2!$B$7+ROW(B30)-1, "")</f>
        <v/>
      </c>
      <c r="F32" s="1" t="str">
        <f>IF(Person2!$B$8+ROW(B30)-1&lt;=Person2!$C$8, Person2!$B$8+ROW(B30)-1, "")</f>
        <v/>
      </c>
      <c r="G32" s="1" t="str">
        <f>IF(Person2!$B$9+ROW(B30)-1&lt;=Person2!$C$9, Person2!$B$9+ROW(B30)-1, "")</f>
        <v/>
      </c>
      <c r="H32" s="1" t="str">
        <f>IF(Person2!$B$10+ROW(B30)-1&lt;=Person2!$C$10, Person2!$B$10+ROW(B30)-1, "")</f>
        <v/>
      </c>
      <c r="I32" s="1" t="str">
        <f>IF(Person2!$B$11+ROW(B30)-1&lt;=Person2!$C$11, Person2!$B$11+ROW(B30)-1, "")</f>
        <v/>
      </c>
      <c r="J32" s="1" t="str">
        <f>IF(Person2!$B$12+ROW(B30)-1&lt;=Person2!$C$12, Person2!$B$12+ROW(B30)-1, "")</f>
        <v/>
      </c>
      <c r="K32" s="1" t="str">
        <f>IF(Person2!$B$13+ROW(B30)-1&lt;=Person2!$C$13, Person2!$B$13+ROW(B30)-1, "")</f>
        <v/>
      </c>
      <c r="L32" s="1" t="str">
        <f>IF(Person2!$B$14+ROW(B30)-1&lt;=Person2!$C$14, Person2!$B$14+ROW(B30)-1, "")</f>
        <v/>
      </c>
      <c r="M32" s="1" t="str">
        <f>IF(Person2!$B$15+ROW(B30)-1&lt;=Person2!$C$15, Person2!$B$15+ROW(B30)-1, "")</f>
        <v/>
      </c>
      <c r="N32" s="1" t="str">
        <f>IF(Person2!$B$16+ROW(B30)-1&lt;=Person2!$C$16, Person2!$B$16+ROW(B30)-1, "")</f>
        <v/>
      </c>
      <c r="O32" s="1" t="str">
        <f>IF(Person2!$B$17+ROW(B30)-1&lt;=Person2!$C$17, Person2!$B$17+ROW(B30)-1, "")</f>
        <v/>
      </c>
      <c r="V32" s="1" t="str">
        <f>IF(Person2!$D$3+ROW(A30)-1&lt;=Person2!$E$3, Person2!$D$3+ROW(A30)-1, "")</f>
        <v/>
      </c>
      <c r="W32" s="1" t="str">
        <f>IF(Person2!$D$4+ROW(A30)-1&lt;=Person2!$E$4, Person2!$D$4+ROW(A30)-1, "")</f>
        <v/>
      </c>
      <c r="X32" s="1" t="str">
        <f>IF(Person2!$D$5+ROW(A30)-1&lt;=Person2!$E$5, Person2!$D$5+ROW(A30)-1, "")</f>
        <v/>
      </c>
      <c r="Y32" s="1" t="str">
        <f>IF(Person2!$D$6+ROW(A30)-1&lt;=Person2!$E$6, Person2!$D$6+ROW(A30)-1, "")</f>
        <v/>
      </c>
      <c r="Z32" s="1" t="str">
        <f>IF(Person2!$D$7+ROW(A30)-1&lt;=Person2!$E$7, Person2!$D$7+ROW(A30)-1, "")</f>
        <v/>
      </c>
      <c r="AA32" s="1" t="str">
        <f>IF(Person2!$D$8+ROW(A30)-1&lt;=Person2!$E$8, Person2!$D$8+ROW(A30)-1, "")</f>
        <v/>
      </c>
      <c r="AE32" s="1" t="str">
        <f>IF(Person2!$F$3+ROW(A30)-1&lt;=Person2!$G$3, Person2!$F$3+ROW(A30)-1, "")</f>
        <v/>
      </c>
      <c r="AF32" s="1" t="str">
        <f>IF(Person2!$F$4+ROW(A30)-1&lt;=Person2!$G$4, Person2!$F$4+ROW(A30)-1, "")</f>
        <v/>
      </c>
      <c r="AG32" s="1" t="str">
        <f>IF(Person2!$F$5+ROW(A30)-1&lt;=Person2!$G$5, Person2!$F$5+ROW(A30)-1, "")</f>
        <v/>
      </c>
      <c r="AH32" s="1" t="str">
        <f>IF(Person2!$F$6+ROW(A30)-1&lt;=Person2!$G$6, Person2!$F$6+ROW(A30)-1, "")</f>
        <v/>
      </c>
      <c r="AI32" s="1" t="str">
        <f>IF(Person2!$F$7+ROW(A30)-1&lt;=Person2!$G$7, Person2!$F$7+ROW(A30)-1, "")</f>
        <v/>
      </c>
    </row>
    <row r="33" spans="1:35" x14ac:dyDescent="0.3">
      <c r="A33" s="1" t="str">
        <f>IF(Person2!$B$3+ROW(A31)-1&lt;=Person2!$C$3, Person2!$B$3+ROW(A31)-1, "")</f>
        <v/>
      </c>
      <c r="B33" s="1" t="str">
        <f>IF(Person2!$B$4+ROW(B31)-1&lt;=Person2!$C$4, Person2!$B$4+ROW(B31)-1, "")</f>
        <v/>
      </c>
      <c r="C33" s="1" t="str">
        <f>IF(Person2!$B$5+ROW(B31)-1&lt;=Person2!$C$5, Person2!$B$5+ROW(B31)-1, "")</f>
        <v/>
      </c>
      <c r="D33" s="1" t="str">
        <f>IF(Person2!$B$6+ROW(B31)-1&lt;=Person2!$C$6, Person2!$B$6+ROW(B31)-1, "")</f>
        <v/>
      </c>
      <c r="E33" s="1" t="str">
        <f>IF(Person2!$B$7+ROW(B31)-1&lt;=Person2!$C$7, Person2!$B$7+ROW(B31)-1, "")</f>
        <v/>
      </c>
      <c r="F33" s="1" t="str">
        <f>IF(Person2!$B$8+ROW(B31)-1&lt;=Person2!$C$8, Person2!$B$8+ROW(B31)-1, "")</f>
        <v/>
      </c>
      <c r="G33" s="1" t="str">
        <f>IF(Person2!$B$9+ROW(B31)-1&lt;=Person2!$C$9, Person2!$B$9+ROW(B31)-1, "")</f>
        <v/>
      </c>
      <c r="H33" s="1" t="str">
        <f>IF(Person2!$B$10+ROW(B31)-1&lt;=Person2!$C$10, Person2!$B$10+ROW(B31)-1, "")</f>
        <v/>
      </c>
      <c r="I33" s="1" t="str">
        <f>IF(Person2!$B$11+ROW(B31)-1&lt;=Person2!$C$11, Person2!$B$11+ROW(B31)-1, "")</f>
        <v/>
      </c>
      <c r="J33" s="1" t="str">
        <f>IF(Person2!$B$12+ROW(B31)-1&lt;=Person2!$C$12, Person2!$B$12+ROW(B31)-1, "")</f>
        <v/>
      </c>
      <c r="K33" s="1" t="str">
        <f>IF(Person2!$B$13+ROW(B31)-1&lt;=Person2!$C$13, Person2!$B$13+ROW(B31)-1, "")</f>
        <v/>
      </c>
      <c r="L33" s="1" t="str">
        <f>IF(Person2!$B$14+ROW(B31)-1&lt;=Person2!$C$14, Person2!$B$14+ROW(B31)-1, "")</f>
        <v/>
      </c>
      <c r="M33" s="1" t="str">
        <f>IF(Person2!$B$15+ROW(B31)-1&lt;=Person2!$C$15, Person2!$B$15+ROW(B31)-1, "")</f>
        <v/>
      </c>
      <c r="N33" s="1" t="str">
        <f>IF(Person2!$B$16+ROW(B31)-1&lt;=Person2!$C$16, Person2!$B$16+ROW(B31)-1, "")</f>
        <v/>
      </c>
      <c r="O33" s="1" t="str">
        <f>IF(Person2!$B$17+ROW(B31)-1&lt;=Person2!$C$17, Person2!$B$17+ROW(B31)-1, "")</f>
        <v/>
      </c>
      <c r="V33" s="1" t="str">
        <f>IF(Person2!$D$3+ROW(A31)-1&lt;=Person2!$E$3, Person2!$D$3+ROW(A31)-1, "")</f>
        <v/>
      </c>
      <c r="W33" s="1" t="str">
        <f>IF(Person2!$D$4+ROW(A31)-1&lt;=Person2!$E$4, Person2!$D$4+ROW(A31)-1, "")</f>
        <v/>
      </c>
      <c r="X33" s="1" t="str">
        <f>IF(Person2!$D$5+ROW(A31)-1&lt;=Person2!$E$5, Person2!$D$5+ROW(A31)-1, "")</f>
        <v/>
      </c>
      <c r="Y33" s="1" t="str">
        <f>IF(Person2!$D$6+ROW(A31)-1&lt;=Person2!$E$6, Person2!$D$6+ROW(A31)-1, "")</f>
        <v/>
      </c>
      <c r="Z33" s="1" t="str">
        <f>IF(Person2!$D$7+ROW(A31)-1&lt;=Person2!$E$7, Person2!$D$7+ROW(A31)-1, "")</f>
        <v/>
      </c>
      <c r="AA33" s="1" t="str">
        <f>IF(Person2!$D$8+ROW(A31)-1&lt;=Person2!$E$8, Person2!$D$8+ROW(A31)-1, "")</f>
        <v/>
      </c>
      <c r="AE33" s="1" t="str">
        <f>IF(Person2!$F$3+ROW(A31)-1&lt;=Person2!$G$3, Person2!$F$3+ROW(A31)-1, "")</f>
        <v/>
      </c>
      <c r="AF33" s="1" t="str">
        <f>IF(Person2!$F$4+ROW(A31)-1&lt;=Person2!$G$4, Person2!$F$4+ROW(A31)-1, "")</f>
        <v/>
      </c>
      <c r="AG33" s="1" t="str">
        <f>IF(Person2!$F$5+ROW(A31)-1&lt;=Person2!$G$5, Person2!$F$5+ROW(A31)-1, "")</f>
        <v/>
      </c>
      <c r="AH33" s="1" t="str">
        <f>IF(Person2!$F$6+ROW(A31)-1&lt;=Person2!$G$6, Person2!$F$6+ROW(A31)-1, "")</f>
        <v/>
      </c>
      <c r="AI33" s="1" t="str">
        <f>IF(Person2!$F$7+ROW(A31)-1&lt;=Person2!$G$7, Person2!$F$7+ROW(A31)-1, "")</f>
        <v/>
      </c>
    </row>
    <row r="34" spans="1:35" x14ac:dyDescent="0.3">
      <c r="A34" s="1" t="str">
        <f>IF(Person2!$B$3+ROW(A32)-1&lt;=Person2!$C$3, Person2!$B$3+ROW(A32)-1, "")</f>
        <v/>
      </c>
      <c r="B34" s="1" t="str">
        <f>IF(Person2!$B$4+ROW(B32)-1&lt;=Person2!$C$4, Person2!$B$4+ROW(B32)-1, "")</f>
        <v/>
      </c>
      <c r="C34" s="1" t="str">
        <f>IF(Person2!$B$5+ROW(B32)-1&lt;=Person2!$C$5, Person2!$B$5+ROW(B32)-1, "")</f>
        <v/>
      </c>
      <c r="D34" s="1" t="str">
        <f>IF(Person2!$B$6+ROW(B32)-1&lt;=Person2!$C$6, Person2!$B$6+ROW(B32)-1, "")</f>
        <v/>
      </c>
      <c r="E34" s="1" t="str">
        <f>IF(Person2!$B$7+ROW(B32)-1&lt;=Person2!$C$7, Person2!$B$7+ROW(B32)-1, "")</f>
        <v/>
      </c>
      <c r="F34" s="1" t="str">
        <f>IF(Person2!$B$8+ROW(B32)-1&lt;=Person2!$C$8, Person2!$B$8+ROW(B32)-1, "")</f>
        <v/>
      </c>
      <c r="G34" s="1" t="str">
        <f>IF(Person2!$B$9+ROW(B32)-1&lt;=Person2!$C$9, Person2!$B$9+ROW(B32)-1, "")</f>
        <v/>
      </c>
      <c r="H34" s="1" t="str">
        <f>IF(Person2!$B$10+ROW(B32)-1&lt;=Person2!$C$10, Person2!$B$10+ROW(B32)-1, "")</f>
        <v/>
      </c>
      <c r="I34" s="1" t="str">
        <f>IF(Person2!$B$11+ROW(B32)-1&lt;=Person2!$C$11, Person2!$B$11+ROW(B32)-1, "")</f>
        <v/>
      </c>
      <c r="J34" s="1" t="str">
        <f>IF(Person2!$B$12+ROW(B32)-1&lt;=Person2!$C$12, Person2!$B$12+ROW(B32)-1, "")</f>
        <v/>
      </c>
      <c r="K34" s="1" t="str">
        <f>IF(Person2!$B$13+ROW(B32)-1&lt;=Person2!$C$13, Person2!$B$13+ROW(B32)-1, "")</f>
        <v/>
      </c>
      <c r="L34" s="1" t="str">
        <f>IF(Person2!$B$14+ROW(B32)-1&lt;=Person2!$C$14, Person2!$B$14+ROW(B32)-1, "")</f>
        <v/>
      </c>
      <c r="M34" s="1" t="str">
        <f>IF(Person2!$B$15+ROW(B32)-1&lt;=Person2!$C$15, Person2!$B$15+ROW(B32)-1, "")</f>
        <v/>
      </c>
      <c r="N34" s="1" t="str">
        <f>IF(Person2!$B$16+ROW(B32)-1&lt;=Person2!$C$16, Person2!$B$16+ROW(B32)-1, "")</f>
        <v/>
      </c>
      <c r="O34" s="1" t="str">
        <f>IF(Person2!$B$17+ROW(B32)-1&lt;=Person2!$C$17, Person2!$B$17+ROW(B32)-1, "")</f>
        <v/>
      </c>
      <c r="V34" s="1" t="str">
        <f>IF(Person2!$D$3+ROW(A32)-1&lt;=Person2!$E$3, Person2!$D$3+ROW(A32)-1, "")</f>
        <v/>
      </c>
      <c r="W34" s="1" t="str">
        <f>IF(Person2!$D$4+ROW(A32)-1&lt;=Person2!$E$4, Person2!$D$4+ROW(A32)-1, "")</f>
        <v/>
      </c>
      <c r="X34" s="1" t="str">
        <f>IF(Person2!$D$5+ROW(A32)-1&lt;=Person2!$E$5, Person2!$D$5+ROW(A32)-1, "")</f>
        <v/>
      </c>
      <c r="Y34" s="1" t="str">
        <f>IF(Person2!$D$6+ROW(A32)-1&lt;=Person2!$E$6, Person2!$D$6+ROW(A32)-1, "")</f>
        <v/>
      </c>
      <c r="Z34" s="1" t="str">
        <f>IF(Person2!$D$7+ROW(A32)-1&lt;=Person2!$E$7, Person2!$D$7+ROW(A32)-1, "")</f>
        <v/>
      </c>
      <c r="AA34" s="1" t="str">
        <f>IF(Person2!$D$8+ROW(A32)-1&lt;=Person2!$E$8, Person2!$D$8+ROW(A32)-1, "")</f>
        <v/>
      </c>
      <c r="AE34" s="1" t="str">
        <f>IF(Person2!$F$3+ROW(A32)-1&lt;=Person2!$G$3, Person2!$F$3+ROW(A32)-1, "")</f>
        <v/>
      </c>
      <c r="AF34" s="1" t="str">
        <f>IF(Person2!$F$4+ROW(A32)-1&lt;=Person2!$G$4, Person2!$F$4+ROW(A32)-1, "")</f>
        <v/>
      </c>
      <c r="AG34" s="1" t="str">
        <f>IF(Person2!$F$5+ROW(A32)-1&lt;=Person2!$G$5, Person2!$F$5+ROW(A32)-1, "")</f>
        <v/>
      </c>
      <c r="AH34" s="1" t="str">
        <f>IF(Person2!$F$6+ROW(A32)-1&lt;=Person2!$G$6, Person2!$F$6+ROW(A32)-1, "")</f>
        <v/>
      </c>
      <c r="AI34" s="1" t="str">
        <f>IF(Person2!$F$7+ROW(A32)-1&lt;=Person2!$G$7, Person2!$F$7+ROW(A32)-1, "")</f>
        <v/>
      </c>
    </row>
    <row r="35" spans="1:35" x14ac:dyDescent="0.3">
      <c r="A35" s="1" t="str">
        <f>IF(Person2!$B$3+ROW(A33)-1&lt;=Person2!$C$3, Person2!$B$3+ROW(A33)-1, "")</f>
        <v/>
      </c>
      <c r="B35" s="1" t="str">
        <f>IF(Person2!$B$4+ROW(B33)-1&lt;=Person2!$C$4, Person2!$B$4+ROW(B33)-1, "")</f>
        <v/>
      </c>
      <c r="C35" s="1" t="str">
        <f>IF(Person2!$B$5+ROW(B33)-1&lt;=Person2!$C$5, Person2!$B$5+ROW(B33)-1, "")</f>
        <v/>
      </c>
      <c r="D35" s="1" t="str">
        <f>IF(Person2!$B$6+ROW(B33)-1&lt;=Person2!$C$6, Person2!$B$6+ROW(B33)-1, "")</f>
        <v/>
      </c>
      <c r="E35" s="1" t="str">
        <f>IF(Person2!$B$7+ROW(B33)-1&lt;=Person2!$C$7, Person2!$B$7+ROW(B33)-1, "")</f>
        <v/>
      </c>
      <c r="F35" s="1" t="str">
        <f>IF(Person2!$B$8+ROW(B33)-1&lt;=Person2!$C$8, Person2!$B$8+ROW(B33)-1, "")</f>
        <v/>
      </c>
      <c r="G35" s="1" t="str">
        <f>IF(Person2!$B$9+ROW(B33)-1&lt;=Person2!$C$9, Person2!$B$9+ROW(B33)-1, "")</f>
        <v/>
      </c>
      <c r="H35" s="1" t="str">
        <f>IF(Person2!$B$10+ROW(B33)-1&lt;=Person2!$C$10, Person2!$B$10+ROW(B33)-1, "")</f>
        <v/>
      </c>
      <c r="I35" s="1" t="str">
        <f>IF(Person2!$B$11+ROW(B33)-1&lt;=Person2!$C$11, Person2!$B$11+ROW(B33)-1, "")</f>
        <v/>
      </c>
      <c r="J35" s="1" t="str">
        <f>IF(Person2!$B$12+ROW(B33)-1&lt;=Person2!$C$12, Person2!$B$12+ROW(B33)-1, "")</f>
        <v/>
      </c>
      <c r="K35" s="1" t="str">
        <f>IF(Person2!$B$13+ROW(B33)-1&lt;=Person2!$C$13, Person2!$B$13+ROW(B33)-1, "")</f>
        <v/>
      </c>
      <c r="L35" s="1" t="str">
        <f>IF(Person2!$B$14+ROW(B33)-1&lt;=Person2!$C$14, Person2!$B$14+ROW(B33)-1, "")</f>
        <v/>
      </c>
      <c r="M35" s="1" t="str">
        <f>IF(Person2!$B$15+ROW(B33)-1&lt;=Person2!$C$15, Person2!$B$15+ROW(B33)-1, "")</f>
        <v/>
      </c>
      <c r="N35" s="1" t="str">
        <f>IF(Person2!$B$16+ROW(B33)-1&lt;=Person2!$C$16, Person2!$B$16+ROW(B33)-1, "")</f>
        <v/>
      </c>
      <c r="O35" s="1" t="str">
        <f>IF(Person2!$B$17+ROW(B33)-1&lt;=Person2!$C$17, Person2!$B$17+ROW(B33)-1, "")</f>
        <v/>
      </c>
      <c r="V35" s="1" t="str">
        <f>IF(Person2!$D$3+ROW(A33)-1&lt;=Person2!$E$3, Person2!$D$3+ROW(A33)-1, "")</f>
        <v/>
      </c>
      <c r="W35" s="1" t="str">
        <f>IF(Person2!$D$4+ROW(A33)-1&lt;=Person2!$E$4, Person2!$D$4+ROW(A33)-1, "")</f>
        <v/>
      </c>
      <c r="X35" s="1" t="str">
        <f>IF(Person2!$D$5+ROW(A33)-1&lt;=Person2!$E$5, Person2!$D$5+ROW(A33)-1, "")</f>
        <v/>
      </c>
      <c r="Y35" s="1" t="str">
        <f>IF(Person2!$D$6+ROW(A33)-1&lt;=Person2!$E$6, Person2!$D$6+ROW(A33)-1, "")</f>
        <v/>
      </c>
      <c r="Z35" s="1" t="str">
        <f>IF(Person2!$D$7+ROW(A33)-1&lt;=Person2!$E$7, Person2!$D$7+ROW(A33)-1, "")</f>
        <v/>
      </c>
      <c r="AA35" s="1" t="str">
        <f>IF(Person2!$D$8+ROW(A33)-1&lt;=Person2!$E$8, Person2!$D$8+ROW(A33)-1, "")</f>
        <v/>
      </c>
      <c r="AE35" s="1" t="str">
        <f>IF(Person2!$F$3+ROW(A33)-1&lt;=Person2!$G$3, Person2!$F$3+ROW(A33)-1, "")</f>
        <v/>
      </c>
      <c r="AF35" s="1" t="str">
        <f>IF(Person2!$F$4+ROW(A33)-1&lt;=Person2!$G$4, Person2!$F$4+ROW(A33)-1, "")</f>
        <v/>
      </c>
      <c r="AG35" s="1" t="str">
        <f>IF(Person2!$F$5+ROW(A33)-1&lt;=Person2!$G$5, Person2!$F$5+ROW(A33)-1, "")</f>
        <v/>
      </c>
      <c r="AH35" s="1" t="str">
        <f>IF(Person2!$F$6+ROW(A33)-1&lt;=Person2!$G$6, Person2!$F$6+ROW(A33)-1, "")</f>
        <v/>
      </c>
      <c r="AI35" s="1" t="str">
        <f>IF(Person2!$F$7+ROW(A33)-1&lt;=Person2!$G$7, Person2!$F$7+ROW(A33)-1, "")</f>
        <v/>
      </c>
    </row>
    <row r="36" spans="1:35" x14ac:dyDescent="0.3">
      <c r="A36" s="1" t="str">
        <f>IF(Person2!$B$3+ROW(A34)-1&lt;=Person2!$C$3, Person2!$B$3+ROW(A34)-1, "")</f>
        <v/>
      </c>
      <c r="B36" s="1" t="str">
        <f>IF(Person2!$B$4+ROW(B34)-1&lt;=Person2!$C$4, Person2!$B$4+ROW(B34)-1, "")</f>
        <v/>
      </c>
      <c r="C36" s="1" t="str">
        <f>IF(Person2!$B$5+ROW(B34)-1&lt;=Person2!$C$5, Person2!$B$5+ROW(B34)-1, "")</f>
        <v/>
      </c>
      <c r="D36" s="1" t="str">
        <f>IF(Person2!$B$6+ROW(B34)-1&lt;=Person2!$C$6, Person2!$B$6+ROW(B34)-1, "")</f>
        <v/>
      </c>
      <c r="E36" s="1" t="str">
        <f>IF(Person2!$B$7+ROW(B34)-1&lt;=Person2!$C$7, Person2!$B$7+ROW(B34)-1, "")</f>
        <v/>
      </c>
      <c r="F36" s="1" t="str">
        <f>IF(Person2!$B$8+ROW(B34)-1&lt;=Person2!$C$8, Person2!$B$8+ROW(B34)-1, "")</f>
        <v/>
      </c>
      <c r="G36" s="1" t="str">
        <f>IF(Person2!$B$9+ROW(B34)-1&lt;=Person2!$C$9, Person2!$B$9+ROW(B34)-1, "")</f>
        <v/>
      </c>
      <c r="H36" s="1" t="str">
        <f>IF(Person2!$B$10+ROW(B34)-1&lt;=Person2!$C$10, Person2!$B$10+ROW(B34)-1, "")</f>
        <v/>
      </c>
      <c r="I36" s="1" t="str">
        <f>IF(Person2!$B$11+ROW(B34)-1&lt;=Person2!$C$11, Person2!$B$11+ROW(B34)-1, "")</f>
        <v/>
      </c>
      <c r="J36" s="1" t="str">
        <f>IF(Person2!$B$12+ROW(B34)-1&lt;=Person2!$C$12, Person2!$B$12+ROW(B34)-1, "")</f>
        <v/>
      </c>
      <c r="K36" s="1" t="str">
        <f>IF(Person2!$B$13+ROW(B34)-1&lt;=Person2!$C$13, Person2!$B$13+ROW(B34)-1, "")</f>
        <v/>
      </c>
      <c r="L36" s="1" t="str">
        <f>IF(Person2!$B$14+ROW(B34)-1&lt;=Person2!$C$14, Person2!$B$14+ROW(B34)-1, "")</f>
        <v/>
      </c>
      <c r="M36" s="1" t="str">
        <f>IF(Person2!$B$15+ROW(B34)-1&lt;=Person2!$C$15, Person2!$B$15+ROW(B34)-1, "")</f>
        <v/>
      </c>
      <c r="N36" s="1" t="str">
        <f>IF(Person2!$B$16+ROW(B34)-1&lt;=Person2!$C$16, Person2!$B$16+ROW(B34)-1, "")</f>
        <v/>
      </c>
      <c r="O36" s="1" t="str">
        <f>IF(Person2!$B$17+ROW(B34)-1&lt;=Person2!$C$17, Person2!$B$17+ROW(B34)-1, "")</f>
        <v/>
      </c>
      <c r="V36" s="1" t="str">
        <f>IF(Person2!$D$3+ROW(A34)-1&lt;=Person2!$E$3, Person2!$D$3+ROW(A34)-1, "")</f>
        <v/>
      </c>
      <c r="W36" s="1" t="str">
        <f>IF(Person2!$D$4+ROW(A34)-1&lt;=Person2!$E$4, Person2!$D$4+ROW(A34)-1, "")</f>
        <v/>
      </c>
      <c r="X36" s="1" t="str">
        <f>IF(Person2!$D$5+ROW(A34)-1&lt;=Person2!$E$5, Person2!$D$5+ROW(A34)-1, "")</f>
        <v/>
      </c>
      <c r="Y36" s="1" t="str">
        <f>IF(Person2!$D$6+ROW(A34)-1&lt;=Person2!$E$6, Person2!$D$6+ROW(A34)-1, "")</f>
        <v/>
      </c>
      <c r="Z36" s="1" t="str">
        <f>IF(Person2!$D$7+ROW(A34)-1&lt;=Person2!$E$7, Person2!$D$7+ROW(A34)-1, "")</f>
        <v/>
      </c>
      <c r="AA36" s="1" t="str">
        <f>IF(Person2!$D$8+ROW(A34)-1&lt;=Person2!$E$8, Person2!$D$8+ROW(A34)-1, "")</f>
        <v/>
      </c>
      <c r="AE36" s="1" t="str">
        <f>IF(Person2!$F$3+ROW(A34)-1&lt;=Person2!$G$3, Person2!$F$3+ROW(A34)-1, "")</f>
        <v/>
      </c>
      <c r="AF36" s="1" t="str">
        <f>IF(Person2!$F$4+ROW(A34)-1&lt;=Person2!$G$4, Person2!$F$4+ROW(A34)-1, "")</f>
        <v/>
      </c>
      <c r="AG36" s="1" t="str">
        <f>IF(Person2!$F$5+ROW(A34)-1&lt;=Person2!$G$5, Person2!$F$5+ROW(A34)-1, "")</f>
        <v/>
      </c>
      <c r="AH36" s="1" t="str">
        <f>IF(Person2!$F$6+ROW(A34)-1&lt;=Person2!$G$6, Person2!$F$6+ROW(A34)-1, "")</f>
        <v/>
      </c>
      <c r="AI36" s="1" t="str">
        <f>IF(Person2!$F$7+ROW(A34)-1&lt;=Person2!$G$7, Person2!$F$7+ROW(A34)-1, "")</f>
        <v/>
      </c>
    </row>
    <row r="37" spans="1:35" x14ac:dyDescent="0.3">
      <c r="A37" s="1" t="str">
        <f>IF(Person2!$B$3+ROW(A35)-1&lt;=Person2!$C$3, Person2!$B$3+ROW(A35)-1, "")</f>
        <v/>
      </c>
      <c r="B37" s="1" t="str">
        <f>IF(Person2!$B$4+ROW(B35)-1&lt;=Person2!$C$4, Person2!$B$4+ROW(B35)-1, "")</f>
        <v/>
      </c>
      <c r="C37" s="1" t="str">
        <f>IF(Person2!$B$5+ROW(B35)-1&lt;=Person2!$C$5, Person2!$B$5+ROW(B35)-1, "")</f>
        <v/>
      </c>
      <c r="D37" s="1" t="str">
        <f>IF(Person2!$B$6+ROW(B35)-1&lt;=Person2!$C$6, Person2!$B$6+ROW(B35)-1, "")</f>
        <v/>
      </c>
      <c r="E37" s="1" t="str">
        <f>IF(Person2!$B$7+ROW(B35)-1&lt;=Person2!$C$7, Person2!$B$7+ROW(B35)-1, "")</f>
        <v/>
      </c>
      <c r="F37" s="1" t="str">
        <f>IF(Person2!$B$8+ROW(B35)-1&lt;=Person2!$C$8, Person2!$B$8+ROW(B35)-1, "")</f>
        <v/>
      </c>
      <c r="G37" s="1" t="str">
        <f>IF(Person2!$B$9+ROW(B35)-1&lt;=Person2!$C$9, Person2!$B$9+ROW(B35)-1, "")</f>
        <v/>
      </c>
      <c r="H37" s="1" t="str">
        <f>IF(Person2!$B$10+ROW(B35)-1&lt;=Person2!$C$10, Person2!$B$10+ROW(B35)-1, "")</f>
        <v/>
      </c>
      <c r="I37" s="1" t="str">
        <f>IF(Person2!$B$11+ROW(B35)-1&lt;=Person2!$C$11, Person2!$B$11+ROW(B35)-1, "")</f>
        <v/>
      </c>
      <c r="J37" s="1" t="str">
        <f>IF(Person2!$B$12+ROW(B35)-1&lt;=Person2!$C$12, Person2!$B$12+ROW(B35)-1, "")</f>
        <v/>
      </c>
      <c r="K37" s="1" t="str">
        <f>IF(Person2!$B$13+ROW(B35)-1&lt;=Person2!$C$13, Person2!$B$13+ROW(B35)-1, "")</f>
        <v/>
      </c>
      <c r="L37" s="1" t="str">
        <f>IF(Person2!$B$14+ROW(B35)-1&lt;=Person2!$C$14, Person2!$B$14+ROW(B35)-1, "")</f>
        <v/>
      </c>
      <c r="M37" s="1" t="str">
        <f>IF(Person2!$B$15+ROW(B35)-1&lt;=Person2!$C$15, Person2!$B$15+ROW(B35)-1, "")</f>
        <v/>
      </c>
      <c r="N37" s="1" t="str">
        <f>IF(Person2!$B$16+ROW(B35)-1&lt;=Person2!$C$16, Person2!$B$16+ROW(B35)-1, "")</f>
        <v/>
      </c>
      <c r="O37" s="1" t="str">
        <f>IF(Person2!$B$17+ROW(B35)-1&lt;=Person2!$C$17, Person2!$B$17+ROW(B35)-1, "")</f>
        <v/>
      </c>
      <c r="V37" s="1" t="str">
        <f>IF(Person2!$D$3+ROW(A35)-1&lt;=Person2!$E$3, Person2!$D$3+ROW(A35)-1, "")</f>
        <v/>
      </c>
      <c r="W37" s="1" t="str">
        <f>IF(Person2!$D$4+ROW(A35)-1&lt;=Person2!$E$4, Person2!$D$4+ROW(A35)-1, "")</f>
        <v/>
      </c>
      <c r="X37" s="1" t="str">
        <f>IF(Person2!$D$5+ROW(A35)-1&lt;=Person2!$E$5, Person2!$D$5+ROW(A35)-1, "")</f>
        <v/>
      </c>
      <c r="Y37" s="1" t="str">
        <f>IF(Person2!$D$6+ROW(A35)-1&lt;=Person2!$E$6, Person2!$D$6+ROW(A35)-1, "")</f>
        <v/>
      </c>
      <c r="Z37" s="1" t="str">
        <f>IF(Person2!$D$7+ROW(A35)-1&lt;=Person2!$E$7, Person2!$D$7+ROW(A35)-1, "")</f>
        <v/>
      </c>
      <c r="AA37" s="1" t="str">
        <f>IF(Person2!$D$8+ROW(A35)-1&lt;=Person2!$E$8, Person2!$D$8+ROW(A35)-1, "")</f>
        <v/>
      </c>
      <c r="AE37" s="1" t="str">
        <f>IF(Person2!$F$3+ROW(A35)-1&lt;=Person2!$G$3, Person2!$F$3+ROW(A35)-1, "")</f>
        <v/>
      </c>
      <c r="AF37" s="1" t="str">
        <f>IF(Person2!$F$4+ROW(A35)-1&lt;=Person2!$G$4, Person2!$F$4+ROW(A35)-1, "")</f>
        <v/>
      </c>
      <c r="AG37" s="1" t="str">
        <f>IF(Person2!$F$5+ROW(A35)-1&lt;=Person2!$G$5, Person2!$F$5+ROW(A35)-1, "")</f>
        <v/>
      </c>
      <c r="AH37" s="1" t="str">
        <f>IF(Person2!$F$6+ROW(A35)-1&lt;=Person2!$G$6, Person2!$F$6+ROW(A35)-1, "")</f>
        <v/>
      </c>
      <c r="AI37" s="1" t="str">
        <f>IF(Person2!$F$7+ROW(A35)-1&lt;=Person2!$G$7, Person2!$F$7+ROW(A35)-1, "")</f>
        <v/>
      </c>
    </row>
    <row r="38" spans="1:35" x14ac:dyDescent="0.3">
      <c r="A38" s="1" t="str">
        <f>IF(Person2!$B$3+ROW(A36)-1&lt;=Person2!$C$3, Person2!$B$3+ROW(A36)-1, "")</f>
        <v/>
      </c>
      <c r="B38" s="1" t="str">
        <f>IF(Person2!$B$4+ROW(B36)-1&lt;=Person2!$C$4, Person2!$B$4+ROW(B36)-1, "")</f>
        <v/>
      </c>
      <c r="C38" s="1" t="str">
        <f>IF(Person2!$B$5+ROW(B36)-1&lt;=Person2!$C$5, Person2!$B$5+ROW(B36)-1, "")</f>
        <v/>
      </c>
      <c r="D38" s="1" t="str">
        <f>IF(Person2!$B$6+ROW(B36)-1&lt;=Person2!$C$6, Person2!$B$6+ROW(B36)-1, "")</f>
        <v/>
      </c>
      <c r="E38" s="1" t="str">
        <f>IF(Person2!$B$7+ROW(B36)-1&lt;=Person2!$C$7, Person2!$B$7+ROW(B36)-1, "")</f>
        <v/>
      </c>
      <c r="F38" s="1" t="str">
        <f>IF(Person2!$B$8+ROW(B36)-1&lt;=Person2!$C$8, Person2!$B$8+ROW(B36)-1, "")</f>
        <v/>
      </c>
      <c r="G38" s="1" t="str">
        <f>IF(Person2!$B$9+ROW(B36)-1&lt;=Person2!$C$9, Person2!$B$9+ROW(B36)-1, "")</f>
        <v/>
      </c>
      <c r="H38" s="1" t="str">
        <f>IF(Person2!$B$10+ROW(B36)-1&lt;=Person2!$C$10, Person2!$B$10+ROW(B36)-1, "")</f>
        <v/>
      </c>
      <c r="I38" s="1" t="str">
        <f>IF(Person2!$B$11+ROW(B36)-1&lt;=Person2!$C$11, Person2!$B$11+ROW(B36)-1, "")</f>
        <v/>
      </c>
      <c r="J38" s="1" t="str">
        <f>IF(Person2!$B$12+ROW(B36)-1&lt;=Person2!$C$12, Person2!$B$12+ROW(B36)-1, "")</f>
        <v/>
      </c>
      <c r="K38" s="1" t="str">
        <f>IF(Person2!$B$13+ROW(B36)-1&lt;=Person2!$C$13, Person2!$B$13+ROW(B36)-1, "")</f>
        <v/>
      </c>
      <c r="L38" s="1" t="str">
        <f>IF(Person2!$B$14+ROW(B36)-1&lt;=Person2!$C$14, Person2!$B$14+ROW(B36)-1, "")</f>
        <v/>
      </c>
      <c r="M38" s="1" t="str">
        <f>IF(Person2!$B$15+ROW(B36)-1&lt;=Person2!$C$15, Person2!$B$15+ROW(B36)-1, "")</f>
        <v/>
      </c>
      <c r="N38" s="1" t="str">
        <f>IF(Person2!$B$16+ROW(B36)-1&lt;=Person2!$C$16, Person2!$B$16+ROW(B36)-1, "")</f>
        <v/>
      </c>
      <c r="O38" s="1" t="str">
        <f>IF(Person2!$B$17+ROW(B36)-1&lt;=Person2!$C$17, Person2!$B$17+ROW(B36)-1, "")</f>
        <v/>
      </c>
      <c r="V38" s="1" t="str">
        <f>IF(Person2!$D$3+ROW(A36)-1&lt;=Person2!$E$3, Person2!$D$3+ROW(A36)-1, "")</f>
        <v/>
      </c>
      <c r="W38" s="1" t="str">
        <f>IF(Person2!$D$4+ROW(A36)-1&lt;=Person2!$E$4, Person2!$D$4+ROW(A36)-1, "")</f>
        <v/>
      </c>
      <c r="X38" s="1" t="str">
        <f>IF(Person2!$D$5+ROW(A36)-1&lt;=Person2!$E$5, Person2!$D$5+ROW(A36)-1, "")</f>
        <v/>
      </c>
      <c r="Y38" s="1" t="str">
        <f>IF(Person2!$D$6+ROW(A36)-1&lt;=Person2!$E$6, Person2!$D$6+ROW(A36)-1, "")</f>
        <v/>
      </c>
      <c r="Z38" s="1" t="str">
        <f>IF(Person2!$D$7+ROW(A36)-1&lt;=Person2!$E$7, Person2!$D$7+ROW(A36)-1, "")</f>
        <v/>
      </c>
      <c r="AA38" s="1" t="str">
        <f>IF(Person2!$D$8+ROW(A36)-1&lt;=Person2!$E$8, Person2!$D$8+ROW(A36)-1, "")</f>
        <v/>
      </c>
      <c r="AE38" s="1" t="str">
        <f>IF(Person2!$F$3+ROW(A36)-1&lt;=Person2!$G$3, Person2!$F$3+ROW(A36)-1, "")</f>
        <v/>
      </c>
      <c r="AF38" s="1" t="str">
        <f>IF(Person2!$F$4+ROW(A36)-1&lt;=Person2!$G$4, Person2!$F$4+ROW(A36)-1, "")</f>
        <v/>
      </c>
      <c r="AG38" s="1" t="str">
        <f>IF(Person2!$F$5+ROW(A36)-1&lt;=Person2!$G$5, Person2!$F$5+ROW(A36)-1, "")</f>
        <v/>
      </c>
      <c r="AH38" s="1" t="str">
        <f>IF(Person2!$F$6+ROW(A36)-1&lt;=Person2!$G$6, Person2!$F$6+ROW(A36)-1, "")</f>
        <v/>
      </c>
      <c r="AI38" s="1" t="str">
        <f>IF(Person2!$F$7+ROW(A36)-1&lt;=Person2!$G$7, Person2!$F$7+ROW(A36)-1, "")</f>
        <v/>
      </c>
    </row>
    <row r="39" spans="1:35" x14ac:dyDescent="0.3">
      <c r="A39" s="1" t="str">
        <f>IF(Person2!$B$3+ROW(A37)-1&lt;=Person2!$C$3, Person2!$B$3+ROW(A37)-1, "")</f>
        <v/>
      </c>
      <c r="B39" s="1" t="str">
        <f>IF(Person2!$B$4+ROW(B37)-1&lt;=Person2!$C$4, Person2!$B$4+ROW(B37)-1, "")</f>
        <v/>
      </c>
      <c r="C39" s="1" t="str">
        <f>IF(Person2!$B$5+ROW(B37)-1&lt;=Person2!$C$5, Person2!$B$5+ROW(B37)-1, "")</f>
        <v/>
      </c>
      <c r="D39" s="1" t="str">
        <f>IF(Person2!$B$6+ROW(B37)-1&lt;=Person2!$C$6, Person2!$B$6+ROW(B37)-1, "")</f>
        <v/>
      </c>
      <c r="E39" s="1" t="str">
        <f>IF(Person2!$B$7+ROW(B37)-1&lt;=Person2!$C$7, Person2!$B$7+ROW(B37)-1, "")</f>
        <v/>
      </c>
      <c r="F39" s="1" t="str">
        <f>IF(Person2!$B$8+ROW(B37)-1&lt;=Person2!$C$8, Person2!$B$8+ROW(B37)-1, "")</f>
        <v/>
      </c>
      <c r="G39" s="1" t="str">
        <f>IF(Person2!$B$9+ROW(B37)-1&lt;=Person2!$C$9, Person2!$B$9+ROW(B37)-1, "")</f>
        <v/>
      </c>
      <c r="H39" s="1" t="str">
        <f>IF(Person2!$B$10+ROW(B37)-1&lt;=Person2!$C$10, Person2!$B$10+ROW(B37)-1, "")</f>
        <v/>
      </c>
      <c r="I39" s="1" t="str">
        <f>IF(Person2!$B$11+ROW(B37)-1&lt;=Person2!$C$11, Person2!$B$11+ROW(B37)-1, "")</f>
        <v/>
      </c>
      <c r="J39" s="1" t="str">
        <f>IF(Person2!$B$12+ROW(B37)-1&lt;=Person2!$C$12, Person2!$B$12+ROW(B37)-1, "")</f>
        <v/>
      </c>
      <c r="K39" s="1" t="str">
        <f>IF(Person2!$B$13+ROW(B37)-1&lt;=Person2!$C$13, Person2!$B$13+ROW(B37)-1, "")</f>
        <v/>
      </c>
      <c r="L39" s="1" t="str">
        <f>IF(Person2!$B$14+ROW(B37)-1&lt;=Person2!$C$14, Person2!$B$14+ROW(B37)-1, "")</f>
        <v/>
      </c>
      <c r="M39" s="1" t="str">
        <f>IF(Person2!$B$15+ROW(B37)-1&lt;=Person2!$C$15, Person2!$B$15+ROW(B37)-1, "")</f>
        <v/>
      </c>
      <c r="N39" s="1" t="str">
        <f>IF(Person2!$B$16+ROW(B37)-1&lt;=Person2!$C$16, Person2!$B$16+ROW(B37)-1, "")</f>
        <v/>
      </c>
      <c r="O39" s="1" t="str">
        <f>IF(Person2!$B$17+ROW(B37)-1&lt;=Person2!$C$17, Person2!$B$17+ROW(B37)-1, "")</f>
        <v/>
      </c>
      <c r="V39" s="1" t="str">
        <f>IF(Person2!$D$3+ROW(A37)-1&lt;=Person2!$E$3, Person2!$D$3+ROW(A37)-1, "")</f>
        <v/>
      </c>
      <c r="W39" s="1" t="str">
        <f>IF(Person2!$D$4+ROW(A37)-1&lt;=Person2!$E$4, Person2!$D$4+ROW(A37)-1, "")</f>
        <v/>
      </c>
      <c r="X39" s="1" t="str">
        <f>IF(Person2!$D$5+ROW(A37)-1&lt;=Person2!$E$5, Person2!$D$5+ROW(A37)-1, "")</f>
        <v/>
      </c>
      <c r="Y39" s="1" t="str">
        <f>IF(Person2!$D$6+ROW(A37)-1&lt;=Person2!$E$6, Person2!$D$6+ROW(A37)-1, "")</f>
        <v/>
      </c>
      <c r="Z39" s="1" t="str">
        <f>IF(Person2!$D$7+ROW(A37)-1&lt;=Person2!$E$7, Person2!$D$7+ROW(A37)-1, "")</f>
        <v/>
      </c>
      <c r="AA39" s="1" t="str">
        <f>IF(Person2!$D$8+ROW(A37)-1&lt;=Person2!$E$8, Person2!$D$8+ROW(A37)-1, "")</f>
        <v/>
      </c>
      <c r="AE39" s="1" t="str">
        <f>IF(Person2!$F$3+ROW(A37)-1&lt;=Person2!$G$3, Person2!$F$3+ROW(A37)-1, "")</f>
        <v/>
      </c>
      <c r="AF39" s="1" t="str">
        <f>IF(Person2!$F$4+ROW(A37)-1&lt;=Person2!$G$4, Person2!$F$4+ROW(A37)-1, "")</f>
        <v/>
      </c>
      <c r="AG39" s="1" t="str">
        <f>IF(Person2!$F$5+ROW(A37)-1&lt;=Person2!$G$5, Person2!$F$5+ROW(A37)-1, "")</f>
        <v/>
      </c>
      <c r="AH39" s="1" t="str">
        <f>IF(Person2!$F$6+ROW(A37)-1&lt;=Person2!$G$6, Person2!$F$6+ROW(A37)-1, "")</f>
        <v/>
      </c>
      <c r="AI39" s="1" t="str">
        <f>IF(Person2!$F$7+ROW(A37)-1&lt;=Person2!$G$7, Person2!$F$7+ROW(A37)-1, "")</f>
        <v/>
      </c>
    </row>
    <row r="40" spans="1:35" x14ac:dyDescent="0.3">
      <c r="A40" s="1" t="str">
        <f>IF(Person2!$B$3+ROW(A38)-1&lt;=Person2!$C$3, Person2!$B$3+ROW(A38)-1, "")</f>
        <v/>
      </c>
      <c r="B40" s="1" t="str">
        <f>IF(Person2!$B$4+ROW(B38)-1&lt;=Person2!$C$4, Person2!$B$4+ROW(B38)-1, "")</f>
        <v/>
      </c>
      <c r="C40" s="1" t="str">
        <f>IF(Person2!$B$5+ROW(B38)-1&lt;=Person2!$C$5, Person2!$B$5+ROW(B38)-1, "")</f>
        <v/>
      </c>
      <c r="D40" s="1" t="str">
        <f>IF(Person2!$B$6+ROW(B38)-1&lt;=Person2!$C$6, Person2!$B$6+ROW(B38)-1, "")</f>
        <v/>
      </c>
      <c r="E40" s="1" t="str">
        <f>IF(Person2!$B$7+ROW(B38)-1&lt;=Person2!$C$7, Person2!$B$7+ROW(B38)-1, "")</f>
        <v/>
      </c>
      <c r="F40" s="1" t="str">
        <f>IF(Person2!$B$8+ROW(B38)-1&lt;=Person2!$C$8, Person2!$B$8+ROW(B38)-1, "")</f>
        <v/>
      </c>
      <c r="G40" s="1" t="str">
        <f>IF(Person2!$B$9+ROW(B38)-1&lt;=Person2!$C$9, Person2!$B$9+ROW(B38)-1, "")</f>
        <v/>
      </c>
      <c r="H40" s="1" t="str">
        <f>IF(Person2!$B$10+ROW(B38)-1&lt;=Person2!$C$10, Person2!$B$10+ROW(B38)-1, "")</f>
        <v/>
      </c>
      <c r="I40" s="1" t="str">
        <f>IF(Person2!$B$11+ROW(B38)-1&lt;=Person2!$C$11, Person2!$B$11+ROW(B38)-1, "")</f>
        <v/>
      </c>
      <c r="J40" s="1" t="str">
        <f>IF(Person2!$B$12+ROW(B38)-1&lt;=Person2!$C$12, Person2!$B$12+ROW(B38)-1, "")</f>
        <v/>
      </c>
      <c r="K40" s="1" t="str">
        <f>IF(Person2!$B$13+ROW(B38)-1&lt;=Person2!$C$13, Person2!$B$13+ROW(B38)-1, "")</f>
        <v/>
      </c>
      <c r="L40" s="1" t="str">
        <f>IF(Person2!$B$14+ROW(B38)-1&lt;=Person2!$C$14, Person2!$B$14+ROW(B38)-1, "")</f>
        <v/>
      </c>
      <c r="M40" s="1" t="str">
        <f>IF(Person2!$B$15+ROW(B38)-1&lt;=Person2!$C$15, Person2!$B$15+ROW(B38)-1, "")</f>
        <v/>
      </c>
      <c r="N40" s="1" t="str">
        <f>IF(Person2!$B$16+ROW(B38)-1&lt;=Person2!$C$16, Person2!$B$16+ROW(B38)-1, "")</f>
        <v/>
      </c>
      <c r="O40" s="1" t="str">
        <f>IF(Person2!$B$17+ROW(B38)-1&lt;=Person2!$C$17, Person2!$B$17+ROW(B38)-1, "")</f>
        <v/>
      </c>
      <c r="V40" s="1" t="str">
        <f>IF(Person2!$D$3+ROW(A38)-1&lt;=Person2!$E$3, Person2!$D$3+ROW(A38)-1, "")</f>
        <v/>
      </c>
      <c r="W40" s="1" t="str">
        <f>IF(Person2!$D$4+ROW(A38)-1&lt;=Person2!$E$4, Person2!$D$4+ROW(A38)-1, "")</f>
        <v/>
      </c>
      <c r="X40" s="1" t="str">
        <f>IF(Person2!$D$5+ROW(A38)-1&lt;=Person2!$E$5, Person2!$D$5+ROW(A38)-1, "")</f>
        <v/>
      </c>
      <c r="Y40" s="1" t="str">
        <f>IF(Person2!$D$6+ROW(A38)-1&lt;=Person2!$E$6, Person2!$D$6+ROW(A38)-1, "")</f>
        <v/>
      </c>
      <c r="Z40" s="1" t="str">
        <f>IF(Person2!$D$7+ROW(A38)-1&lt;=Person2!$E$7, Person2!$D$7+ROW(A38)-1, "")</f>
        <v/>
      </c>
      <c r="AA40" s="1" t="str">
        <f>IF(Person2!$D$8+ROW(A38)-1&lt;=Person2!$E$8, Person2!$D$8+ROW(A38)-1, "")</f>
        <v/>
      </c>
      <c r="AE40" s="1" t="str">
        <f>IF(Person2!$F$3+ROW(A38)-1&lt;=Person2!$G$3, Person2!$F$3+ROW(A38)-1, "")</f>
        <v/>
      </c>
      <c r="AF40" s="1" t="str">
        <f>IF(Person2!$F$4+ROW(A38)-1&lt;=Person2!$G$4, Person2!$F$4+ROW(A38)-1, "")</f>
        <v/>
      </c>
      <c r="AG40" s="1" t="str">
        <f>IF(Person2!$F$5+ROW(A38)-1&lt;=Person2!$G$5, Person2!$F$5+ROW(A38)-1, "")</f>
        <v/>
      </c>
      <c r="AH40" s="1" t="str">
        <f>IF(Person2!$F$6+ROW(A38)-1&lt;=Person2!$G$6, Person2!$F$6+ROW(A38)-1, "")</f>
        <v/>
      </c>
      <c r="AI40" s="1" t="str">
        <f>IF(Person2!$F$7+ROW(A38)-1&lt;=Person2!$G$7, Person2!$F$7+ROW(A38)-1, "")</f>
        <v/>
      </c>
    </row>
    <row r="41" spans="1:35" x14ac:dyDescent="0.3">
      <c r="A41" s="1" t="str">
        <f>IF(Person2!$B$3+ROW(A39)-1&lt;=Person2!$C$3, Person2!$B$3+ROW(A39)-1, "")</f>
        <v/>
      </c>
      <c r="B41" s="1" t="str">
        <f>IF(Person2!$B$4+ROW(B39)-1&lt;=Person2!$C$4, Person2!$B$4+ROW(B39)-1, "")</f>
        <v/>
      </c>
      <c r="C41" s="1" t="str">
        <f>IF(Person2!$B$5+ROW(B39)-1&lt;=Person2!$C$5, Person2!$B$5+ROW(B39)-1, "")</f>
        <v/>
      </c>
      <c r="D41" s="1" t="str">
        <f>IF(Person2!$B$6+ROW(B39)-1&lt;=Person2!$C$6, Person2!$B$6+ROW(B39)-1, "")</f>
        <v/>
      </c>
      <c r="E41" s="1" t="str">
        <f>IF(Person2!$B$7+ROW(B39)-1&lt;=Person2!$C$7, Person2!$B$7+ROW(B39)-1, "")</f>
        <v/>
      </c>
      <c r="F41" s="1" t="str">
        <f>IF(Person2!$B$8+ROW(B39)-1&lt;=Person2!$C$8, Person2!$B$8+ROW(B39)-1, "")</f>
        <v/>
      </c>
      <c r="G41" s="1" t="str">
        <f>IF(Person2!$B$9+ROW(B39)-1&lt;=Person2!$C$9, Person2!$B$9+ROW(B39)-1, "")</f>
        <v/>
      </c>
      <c r="H41" s="1" t="str">
        <f>IF(Person2!$B$10+ROW(B39)-1&lt;=Person2!$C$10, Person2!$B$10+ROW(B39)-1, "")</f>
        <v/>
      </c>
      <c r="I41" s="1" t="str">
        <f>IF(Person2!$B$11+ROW(B39)-1&lt;=Person2!$C$11, Person2!$B$11+ROW(B39)-1, "")</f>
        <v/>
      </c>
      <c r="J41" s="1" t="str">
        <f>IF(Person2!$B$12+ROW(B39)-1&lt;=Person2!$C$12, Person2!$B$12+ROW(B39)-1, "")</f>
        <v/>
      </c>
      <c r="K41" s="1" t="str">
        <f>IF(Person2!$B$13+ROW(B39)-1&lt;=Person2!$C$13, Person2!$B$13+ROW(B39)-1, "")</f>
        <v/>
      </c>
      <c r="L41" s="1" t="str">
        <f>IF(Person2!$B$14+ROW(B39)-1&lt;=Person2!$C$14, Person2!$B$14+ROW(B39)-1, "")</f>
        <v/>
      </c>
      <c r="M41" s="1" t="str">
        <f>IF(Person2!$B$15+ROW(B39)-1&lt;=Person2!$C$15, Person2!$B$15+ROW(B39)-1, "")</f>
        <v/>
      </c>
      <c r="N41" s="1" t="str">
        <f>IF(Person2!$B$16+ROW(B39)-1&lt;=Person2!$C$16, Person2!$B$16+ROW(B39)-1, "")</f>
        <v/>
      </c>
      <c r="O41" s="1" t="str">
        <f>IF(Person2!$B$17+ROW(B39)-1&lt;=Person2!$C$17, Person2!$B$17+ROW(B39)-1, "")</f>
        <v/>
      </c>
      <c r="V41" s="1" t="str">
        <f>IF(Person2!$D$3+ROW(A39)-1&lt;=Person2!$E$3, Person2!$D$3+ROW(A39)-1, "")</f>
        <v/>
      </c>
      <c r="W41" s="1" t="str">
        <f>IF(Person2!$D$4+ROW(A39)-1&lt;=Person2!$E$4, Person2!$D$4+ROW(A39)-1, "")</f>
        <v/>
      </c>
      <c r="X41" s="1" t="str">
        <f>IF(Person2!$D$5+ROW(A39)-1&lt;=Person2!$E$5, Person2!$D$5+ROW(A39)-1, "")</f>
        <v/>
      </c>
      <c r="Y41" s="1" t="str">
        <f>IF(Person2!$D$6+ROW(A39)-1&lt;=Person2!$E$6, Person2!$D$6+ROW(A39)-1, "")</f>
        <v/>
      </c>
      <c r="Z41" s="1" t="str">
        <f>IF(Person2!$D$7+ROW(A39)-1&lt;=Person2!$E$7, Person2!$D$7+ROW(A39)-1, "")</f>
        <v/>
      </c>
      <c r="AA41" s="1" t="str">
        <f>IF(Person2!$D$8+ROW(A39)-1&lt;=Person2!$E$8, Person2!$D$8+ROW(A39)-1, "")</f>
        <v/>
      </c>
      <c r="AE41" s="1" t="str">
        <f>IF(Person2!$F$3+ROW(A39)-1&lt;=Person2!$G$3, Person2!$F$3+ROW(A39)-1, "")</f>
        <v/>
      </c>
      <c r="AF41" s="1" t="str">
        <f>IF(Person2!$F$4+ROW(A39)-1&lt;=Person2!$G$4, Person2!$F$4+ROW(A39)-1, "")</f>
        <v/>
      </c>
      <c r="AG41" s="1" t="str">
        <f>IF(Person2!$F$5+ROW(A39)-1&lt;=Person2!$G$5, Person2!$F$5+ROW(A39)-1, "")</f>
        <v/>
      </c>
      <c r="AH41" s="1" t="str">
        <f>IF(Person2!$F$6+ROW(A39)-1&lt;=Person2!$G$6, Person2!$F$6+ROW(A39)-1, "")</f>
        <v/>
      </c>
      <c r="AI41" s="1" t="str">
        <f>IF(Person2!$F$7+ROW(A39)-1&lt;=Person2!$G$7, Person2!$F$7+ROW(A39)-1, "")</f>
        <v/>
      </c>
    </row>
    <row r="42" spans="1:35" x14ac:dyDescent="0.3">
      <c r="A42" s="1" t="str">
        <f>IF(Person2!$B$3+ROW(A40)-1&lt;=Person2!$C$3, Person2!$B$3+ROW(A40)-1, "")</f>
        <v/>
      </c>
      <c r="B42" s="1" t="str">
        <f>IF(Person2!$B$4+ROW(B40)-1&lt;=Person2!$C$4, Person2!$B$4+ROW(B40)-1, "")</f>
        <v/>
      </c>
      <c r="C42" s="1" t="str">
        <f>IF(Person2!$B$5+ROW(B40)-1&lt;=Person2!$C$5, Person2!$B$5+ROW(B40)-1, "")</f>
        <v/>
      </c>
      <c r="D42" s="1" t="str">
        <f>IF(Person2!$B$6+ROW(B40)-1&lt;=Person2!$C$6, Person2!$B$6+ROW(B40)-1, "")</f>
        <v/>
      </c>
      <c r="E42" s="1" t="str">
        <f>IF(Person2!$B$7+ROW(B40)-1&lt;=Person2!$C$7, Person2!$B$7+ROW(B40)-1, "")</f>
        <v/>
      </c>
      <c r="F42" s="1" t="str">
        <f>IF(Person2!$B$8+ROW(B40)-1&lt;=Person2!$C$8, Person2!$B$8+ROW(B40)-1, "")</f>
        <v/>
      </c>
      <c r="G42" s="1" t="str">
        <f>IF(Person2!$B$9+ROW(B40)-1&lt;=Person2!$C$9, Person2!$B$9+ROW(B40)-1, "")</f>
        <v/>
      </c>
      <c r="H42" s="1" t="str">
        <f>IF(Person2!$B$10+ROW(B40)-1&lt;=Person2!$C$10, Person2!$B$10+ROW(B40)-1, "")</f>
        <v/>
      </c>
      <c r="I42" s="1" t="str">
        <f>IF(Person2!$B$11+ROW(B40)-1&lt;=Person2!$C$11, Person2!$B$11+ROW(B40)-1, "")</f>
        <v/>
      </c>
      <c r="J42" s="1" t="str">
        <f>IF(Person2!$B$12+ROW(B40)-1&lt;=Person2!$C$12, Person2!$B$12+ROW(B40)-1, "")</f>
        <v/>
      </c>
      <c r="K42" s="1" t="str">
        <f>IF(Person2!$B$13+ROW(B40)-1&lt;=Person2!$C$13, Person2!$B$13+ROW(B40)-1, "")</f>
        <v/>
      </c>
      <c r="L42" s="1" t="str">
        <f>IF(Person2!$B$14+ROW(B40)-1&lt;=Person2!$C$14, Person2!$B$14+ROW(B40)-1, "")</f>
        <v/>
      </c>
      <c r="M42" s="1" t="str">
        <f>IF(Person2!$B$15+ROW(B40)-1&lt;=Person2!$C$15, Person2!$B$15+ROW(B40)-1, "")</f>
        <v/>
      </c>
      <c r="N42" s="1" t="str">
        <f>IF(Person2!$B$16+ROW(B40)-1&lt;=Person2!$C$16, Person2!$B$16+ROW(B40)-1, "")</f>
        <v/>
      </c>
      <c r="O42" s="1" t="str">
        <f>IF(Person2!$B$17+ROW(B40)-1&lt;=Person2!$C$17, Person2!$B$17+ROW(B40)-1, "")</f>
        <v/>
      </c>
      <c r="V42" s="1" t="str">
        <f>IF(Person2!$D$3+ROW(A40)-1&lt;=Person2!$E$3, Person2!$D$3+ROW(A40)-1, "")</f>
        <v/>
      </c>
      <c r="W42" s="1" t="str">
        <f>IF(Person2!$D$4+ROW(A40)-1&lt;=Person2!$E$4, Person2!$D$4+ROW(A40)-1, "")</f>
        <v/>
      </c>
      <c r="X42" s="1" t="str">
        <f>IF(Person2!$D$5+ROW(A40)-1&lt;=Person2!$E$5, Person2!$D$5+ROW(A40)-1, "")</f>
        <v/>
      </c>
      <c r="Y42" s="1" t="str">
        <f>IF(Person2!$D$6+ROW(A40)-1&lt;=Person2!$E$6, Person2!$D$6+ROW(A40)-1, "")</f>
        <v/>
      </c>
      <c r="Z42" s="1" t="str">
        <f>IF(Person2!$D$7+ROW(A40)-1&lt;=Person2!$E$7, Person2!$D$7+ROW(A40)-1, "")</f>
        <v/>
      </c>
      <c r="AA42" s="1" t="str">
        <f>IF(Person2!$D$8+ROW(A40)-1&lt;=Person2!$E$8, Person2!$D$8+ROW(A40)-1, "")</f>
        <v/>
      </c>
      <c r="AE42" s="1" t="str">
        <f>IF(Person2!$F$3+ROW(A40)-1&lt;=Person2!$G$3, Person2!$F$3+ROW(A40)-1, "")</f>
        <v/>
      </c>
      <c r="AF42" s="1" t="str">
        <f>IF(Person2!$F$4+ROW(A40)-1&lt;=Person2!$G$4, Person2!$F$4+ROW(A40)-1, "")</f>
        <v/>
      </c>
      <c r="AG42" s="1" t="str">
        <f>IF(Person2!$F$5+ROW(A40)-1&lt;=Person2!$G$5, Person2!$F$5+ROW(A40)-1, "")</f>
        <v/>
      </c>
      <c r="AH42" s="1" t="str">
        <f>IF(Person2!$F$6+ROW(A40)-1&lt;=Person2!$G$6, Person2!$F$6+ROW(A40)-1, "")</f>
        <v/>
      </c>
      <c r="AI42" s="1" t="str">
        <f>IF(Person2!$F$7+ROW(A40)-1&lt;=Person2!$G$7, Person2!$F$7+ROW(A40)-1, "")</f>
        <v/>
      </c>
    </row>
    <row r="43" spans="1:35" x14ac:dyDescent="0.3">
      <c r="A43" s="1" t="str">
        <f>IF(Person2!$B$3+ROW(A41)-1&lt;=Person2!$C$3, Person2!$B$3+ROW(A41)-1, "")</f>
        <v/>
      </c>
      <c r="B43" s="1" t="str">
        <f>IF(Person2!$B$4+ROW(B41)-1&lt;=Person2!$C$4, Person2!$B$4+ROW(B41)-1, "")</f>
        <v/>
      </c>
      <c r="C43" s="1" t="str">
        <f>IF(Person2!$B$5+ROW(B41)-1&lt;=Person2!$C$5, Person2!$B$5+ROW(B41)-1, "")</f>
        <v/>
      </c>
      <c r="D43" s="1" t="str">
        <f>IF(Person2!$B$6+ROW(B41)-1&lt;=Person2!$C$6, Person2!$B$6+ROW(B41)-1, "")</f>
        <v/>
      </c>
      <c r="E43" s="1" t="str">
        <f>IF(Person2!$B$7+ROW(B41)-1&lt;=Person2!$C$7, Person2!$B$7+ROW(B41)-1, "")</f>
        <v/>
      </c>
      <c r="F43" s="1" t="str">
        <f>IF(Person2!$B$8+ROW(B41)-1&lt;=Person2!$C$8, Person2!$B$8+ROW(B41)-1, "")</f>
        <v/>
      </c>
      <c r="G43" s="1" t="str">
        <f>IF(Person2!$B$9+ROW(B41)-1&lt;=Person2!$C$9, Person2!$B$9+ROW(B41)-1, "")</f>
        <v/>
      </c>
      <c r="H43" s="1" t="str">
        <f>IF(Person2!$B$10+ROW(B41)-1&lt;=Person2!$C$10, Person2!$B$10+ROW(B41)-1, "")</f>
        <v/>
      </c>
      <c r="I43" s="1" t="str">
        <f>IF(Person2!$B$11+ROW(B41)-1&lt;=Person2!$C$11, Person2!$B$11+ROW(B41)-1, "")</f>
        <v/>
      </c>
      <c r="J43" s="1" t="str">
        <f>IF(Person2!$B$12+ROW(B41)-1&lt;=Person2!$C$12, Person2!$B$12+ROW(B41)-1, "")</f>
        <v/>
      </c>
      <c r="K43" s="1" t="str">
        <f>IF(Person2!$B$13+ROW(B41)-1&lt;=Person2!$C$13, Person2!$B$13+ROW(B41)-1, "")</f>
        <v/>
      </c>
      <c r="L43" s="1" t="str">
        <f>IF(Person2!$B$14+ROW(B41)-1&lt;=Person2!$C$14, Person2!$B$14+ROW(B41)-1, "")</f>
        <v/>
      </c>
      <c r="M43" s="1" t="str">
        <f>IF(Person2!$B$15+ROW(B41)-1&lt;=Person2!$C$15, Person2!$B$15+ROW(B41)-1, "")</f>
        <v/>
      </c>
      <c r="N43" s="1" t="str">
        <f>IF(Person2!$B$16+ROW(B41)-1&lt;=Person2!$C$16, Person2!$B$16+ROW(B41)-1, "")</f>
        <v/>
      </c>
      <c r="O43" s="1" t="str">
        <f>IF(Person2!$B$17+ROW(B41)-1&lt;=Person2!$C$17, Person2!$B$17+ROW(B41)-1, "")</f>
        <v/>
      </c>
      <c r="V43" s="1" t="str">
        <f>IF(Person2!$D$3+ROW(A41)-1&lt;=Person2!$E$3, Person2!$D$3+ROW(A41)-1, "")</f>
        <v/>
      </c>
      <c r="W43" s="1" t="str">
        <f>IF(Person2!$D$4+ROW(A41)-1&lt;=Person2!$E$4, Person2!$D$4+ROW(A41)-1, "")</f>
        <v/>
      </c>
      <c r="X43" s="1" t="str">
        <f>IF(Person2!$D$5+ROW(A41)-1&lt;=Person2!$E$5, Person2!$D$5+ROW(A41)-1, "")</f>
        <v/>
      </c>
      <c r="Y43" s="1" t="str">
        <f>IF(Person2!$D$6+ROW(A41)-1&lt;=Person2!$E$6, Person2!$D$6+ROW(A41)-1, "")</f>
        <v/>
      </c>
      <c r="Z43" s="1" t="str">
        <f>IF(Person2!$D$7+ROW(A41)-1&lt;=Person2!$E$7, Person2!$D$7+ROW(A41)-1, "")</f>
        <v/>
      </c>
      <c r="AA43" s="1" t="str">
        <f>IF(Person2!$D$8+ROW(A41)-1&lt;=Person2!$E$8, Person2!$D$8+ROW(A41)-1, "")</f>
        <v/>
      </c>
      <c r="AE43" s="1" t="str">
        <f>IF(Person2!$F$3+ROW(A41)-1&lt;=Person2!$G$3, Person2!$F$3+ROW(A41)-1, "")</f>
        <v/>
      </c>
      <c r="AF43" s="1" t="str">
        <f>IF(Person2!$F$4+ROW(A41)-1&lt;=Person2!$G$4, Person2!$F$4+ROW(A41)-1, "")</f>
        <v/>
      </c>
      <c r="AG43" s="1" t="str">
        <f>IF(Person2!$F$5+ROW(A41)-1&lt;=Person2!$G$5, Person2!$F$5+ROW(A41)-1, "")</f>
        <v/>
      </c>
      <c r="AH43" s="1" t="str">
        <f>IF(Person2!$F$6+ROW(A41)-1&lt;=Person2!$G$6, Person2!$F$6+ROW(A41)-1, "")</f>
        <v/>
      </c>
      <c r="AI43" s="1" t="str">
        <f>IF(Person2!$F$7+ROW(A41)-1&lt;=Person2!$G$7, Person2!$F$7+ROW(A41)-1, "")</f>
        <v/>
      </c>
    </row>
    <row r="44" spans="1:35" x14ac:dyDescent="0.3">
      <c r="A44" s="1" t="str">
        <f>IF(Person2!$B$3+ROW(A42)-1&lt;=Person2!$C$3, Person2!$B$3+ROW(A42)-1, "")</f>
        <v/>
      </c>
      <c r="B44" s="1" t="str">
        <f>IF(Person2!$B$4+ROW(B42)-1&lt;=Person2!$C$4, Person2!$B$4+ROW(B42)-1, "")</f>
        <v/>
      </c>
      <c r="C44" s="1" t="str">
        <f>IF(Person2!$B$5+ROW(B42)-1&lt;=Person2!$C$5, Person2!$B$5+ROW(B42)-1, "")</f>
        <v/>
      </c>
      <c r="D44" s="1" t="str">
        <f>IF(Person2!$B$6+ROW(B42)-1&lt;=Person2!$C$6, Person2!$B$6+ROW(B42)-1, "")</f>
        <v/>
      </c>
      <c r="E44" s="1" t="str">
        <f>IF(Person2!$B$7+ROW(B42)-1&lt;=Person2!$C$7, Person2!$B$7+ROW(B42)-1, "")</f>
        <v/>
      </c>
      <c r="F44" s="1" t="str">
        <f>IF(Person2!$B$8+ROW(B42)-1&lt;=Person2!$C$8, Person2!$B$8+ROW(B42)-1, "")</f>
        <v/>
      </c>
      <c r="G44" s="1" t="str">
        <f>IF(Person2!$B$9+ROW(B42)-1&lt;=Person2!$C$9, Person2!$B$9+ROW(B42)-1, "")</f>
        <v/>
      </c>
      <c r="H44" s="1" t="str">
        <f>IF(Person2!$B$10+ROW(B42)-1&lt;=Person2!$C$10, Person2!$B$10+ROW(B42)-1, "")</f>
        <v/>
      </c>
      <c r="I44" s="1" t="str">
        <f>IF(Person2!$B$11+ROW(B42)-1&lt;=Person2!$C$11, Person2!$B$11+ROW(B42)-1, "")</f>
        <v/>
      </c>
      <c r="J44" s="1" t="str">
        <f>IF(Person2!$B$12+ROW(B42)-1&lt;=Person2!$C$12, Person2!$B$12+ROW(B42)-1, "")</f>
        <v/>
      </c>
      <c r="K44" s="1" t="str">
        <f>IF(Person2!$B$13+ROW(B42)-1&lt;=Person2!$C$13, Person2!$B$13+ROW(B42)-1, "")</f>
        <v/>
      </c>
      <c r="L44" s="1" t="str">
        <f>IF(Person2!$B$14+ROW(B42)-1&lt;=Person2!$C$14, Person2!$B$14+ROW(B42)-1, "")</f>
        <v/>
      </c>
      <c r="M44" s="1" t="str">
        <f>IF(Person2!$B$15+ROW(B42)-1&lt;=Person2!$C$15, Person2!$B$15+ROW(B42)-1, "")</f>
        <v/>
      </c>
      <c r="N44" s="1" t="str">
        <f>IF(Person2!$B$16+ROW(B42)-1&lt;=Person2!$C$16, Person2!$B$16+ROW(B42)-1, "")</f>
        <v/>
      </c>
      <c r="O44" s="1" t="str">
        <f>IF(Person2!$B$17+ROW(B42)-1&lt;=Person2!$C$17, Person2!$B$17+ROW(B42)-1, "")</f>
        <v/>
      </c>
      <c r="V44" s="1" t="str">
        <f>IF(Person2!$D$3+ROW(A42)-1&lt;=Person2!$E$3, Person2!$D$3+ROW(A42)-1, "")</f>
        <v/>
      </c>
      <c r="W44" s="1" t="str">
        <f>IF(Person2!$D$4+ROW(A42)-1&lt;=Person2!$E$4, Person2!$D$4+ROW(A42)-1, "")</f>
        <v/>
      </c>
      <c r="X44" s="1" t="str">
        <f>IF(Person2!$D$5+ROW(A42)-1&lt;=Person2!$E$5, Person2!$D$5+ROW(A42)-1, "")</f>
        <v/>
      </c>
      <c r="Y44" s="1" t="str">
        <f>IF(Person2!$D$6+ROW(A42)-1&lt;=Person2!$E$6, Person2!$D$6+ROW(A42)-1, "")</f>
        <v/>
      </c>
      <c r="Z44" s="1" t="str">
        <f>IF(Person2!$D$7+ROW(A42)-1&lt;=Person2!$E$7, Person2!$D$7+ROW(A42)-1, "")</f>
        <v/>
      </c>
      <c r="AA44" s="1" t="str">
        <f>IF(Person2!$D$8+ROW(A42)-1&lt;=Person2!$E$8, Person2!$D$8+ROW(A42)-1, "")</f>
        <v/>
      </c>
      <c r="AE44" s="1" t="str">
        <f>IF(Person2!$F$3+ROW(A42)-1&lt;=Person2!$G$3, Person2!$F$3+ROW(A42)-1, "")</f>
        <v/>
      </c>
      <c r="AF44" s="1" t="str">
        <f>IF(Person2!$F$4+ROW(A42)-1&lt;=Person2!$G$4, Person2!$F$4+ROW(A42)-1, "")</f>
        <v/>
      </c>
      <c r="AG44" s="1" t="str">
        <f>IF(Person2!$F$5+ROW(A42)-1&lt;=Person2!$G$5, Person2!$F$5+ROW(A42)-1, "")</f>
        <v/>
      </c>
      <c r="AH44" s="1" t="str">
        <f>IF(Person2!$F$6+ROW(A42)-1&lt;=Person2!$G$6, Person2!$F$6+ROW(A42)-1, "")</f>
        <v/>
      </c>
      <c r="AI44" s="1" t="str">
        <f>IF(Person2!$F$7+ROW(A42)-1&lt;=Person2!$G$7, Person2!$F$7+ROW(A42)-1, "")</f>
        <v/>
      </c>
    </row>
    <row r="45" spans="1:35" x14ac:dyDescent="0.3">
      <c r="A45" s="1" t="str">
        <f>IF(Person2!$B$3+ROW(A43)-1&lt;=Person2!$C$3, Person2!$B$3+ROW(A43)-1, "")</f>
        <v/>
      </c>
      <c r="B45" s="1" t="str">
        <f>IF(Person2!$B$4+ROW(B43)-1&lt;=Person2!$C$4, Person2!$B$4+ROW(B43)-1, "")</f>
        <v/>
      </c>
      <c r="C45" s="1" t="str">
        <f>IF(Person2!$B$5+ROW(B43)-1&lt;=Person2!$C$5, Person2!$B$5+ROW(B43)-1, "")</f>
        <v/>
      </c>
      <c r="D45" s="1" t="str">
        <f>IF(Person2!$B$6+ROW(B43)-1&lt;=Person2!$C$6, Person2!$B$6+ROW(B43)-1, "")</f>
        <v/>
      </c>
      <c r="E45" s="1" t="str">
        <f>IF(Person2!$B$7+ROW(B43)-1&lt;=Person2!$C$7, Person2!$B$7+ROW(B43)-1, "")</f>
        <v/>
      </c>
      <c r="F45" s="1" t="str">
        <f>IF(Person2!$B$8+ROW(B43)-1&lt;=Person2!$C$8, Person2!$B$8+ROW(B43)-1, "")</f>
        <v/>
      </c>
      <c r="G45" s="1" t="str">
        <f>IF(Person2!$B$9+ROW(B43)-1&lt;=Person2!$C$9, Person2!$B$9+ROW(B43)-1, "")</f>
        <v/>
      </c>
      <c r="H45" s="1" t="str">
        <f>IF(Person2!$B$10+ROW(B43)-1&lt;=Person2!$C$10, Person2!$B$10+ROW(B43)-1, "")</f>
        <v/>
      </c>
      <c r="I45" s="1" t="str">
        <f>IF(Person2!$B$11+ROW(B43)-1&lt;=Person2!$C$11, Person2!$B$11+ROW(B43)-1, "")</f>
        <v/>
      </c>
      <c r="J45" s="1" t="str">
        <f>IF(Person2!$B$12+ROW(B43)-1&lt;=Person2!$C$12, Person2!$B$12+ROW(B43)-1, "")</f>
        <v/>
      </c>
      <c r="K45" s="1" t="str">
        <f>IF(Person2!$B$13+ROW(B43)-1&lt;=Person2!$C$13, Person2!$B$13+ROW(B43)-1, "")</f>
        <v/>
      </c>
      <c r="L45" s="1" t="str">
        <f>IF(Person2!$B$14+ROW(B43)-1&lt;=Person2!$C$14, Person2!$B$14+ROW(B43)-1, "")</f>
        <v/>
      </c>
      <c r="M45" s="1" t="str">
        <f>IF(Person2!$B$15+ROW(B43)-1&lt;=Person2!$C$15, Person2!$B$15+ROW(B43)-1, "")</f>
        <v/>
      </c>
      <c r="N45" s="1" t="str">
        <f>IF(Person2!$B$16+ROW(B43)-1&lt;=Person2!$C$16, Person2!$B$16+ROW(B43)-1, "")</f>
        <v/>
      </c>
      <c r="O45" s="1" t="str">
        <f>IF(Person2!$B$17+ROW(B43)-1&lt;=Person2!$C$17, Person2!$B$17+ROW(B43)-1, "")</f>
        <v/>
      </c>
      <c r="V45" s="1" t="str">
        <f>IF(Person2!$D$3+ROW(A43)-1&lt;=Person2!$E$3, Person2!$D$3+ROW(A43)-1, "")</f>
        <v/>
      </c>
      <c r="W45" s="1" t="str">
        <f>IF(Person2!$D$4+ROW(A43)-1&lt;=Person2!$E$4, Person2!$D$4+ROW(A43)-1, "")</f>
        <v/>
      </c>
      <c r="X45" s="1" t="str">
        <f>IF(Person2!$D$5+ROW(A43)-1&lt;=Person2!$E$5, Person2!$D$5+ROW(A43)-1, "")</f>
        <v/>
      </c>
      <c r="Y45" s="1" t="str">
        <f>IF(Person2!$D$6+ROW(A43)-1&lt;=Person2!$E$6, Person2!$D$6+ROW(A43)-1, "")</f>
        <v/>
      </c>
      <c r="Z45" s="1" t="str">
        <f>IF(Person2!$D$7+ROW(A43)-1&lt;=Person2!$E$7, Person2!$D$7+ROW(A43)-1, "")</f>
        <v/>
      </c>
      <c r="AA45" s="1" t="str">
        <f>IF(Person2!$D$8+ROW(A43)-1&lt;=Person2!$E$8, Person2!$D$8+ROW(A43)-1, "")</f>
        <v/>
      </c>
      <c r="AE45" s="1" t="str">
        <f>IF(Person2!$F$3+ROW(A43)-1&lt;=Person2!$G$3, Person2!$F$3+ROW(A43)-1, "")</f>
        <v/>
      </c>
      <c r="AF45" s="1" t="str">
        <f>IF(Person2!$F$4+ROW(A43)-1&lt;=Person2!$G$4, Person2!$F$4+ROW(A43)-1, "")</f>
        <v/>
      </c>
      <c r="AG45" s="1" t="str">
        <f>IF(Person2!$F$5+ROW(A43)-1&lt;=Person2!$G$5, Person2!$F$5+ROW(A43)-1, "")</f>
        <v/>
      </c>
      <c r="AH45" s="1" t="str">
        <f>IF(Person2!$F$6+ROW(A43)-1&lt;=Person2!$G$6, Person2!$F$6+ROW(A43)-1, "")</f>
        <v/>
      </c>
      <c r="AI45" s="1" t="str">
        <f>IF(Person2!$F$7+ROW(A43)-1&lt;=Person2!$G$7, Person2!$F$7+ROW(A43)-1, "")</f>
        <v/>
      </c>
    </row>
    <row r="46" spans="1:35" x14ac:dyDescent="0.3">
      <c r="A46" s="1" t="str">
        <f>IF(Person2!$B$3+ROW(A44)-1&lt;=Person2!$C$3, Person2!$B$3+ROW(A44)-1, "")</f>
        <v/>
      </c>
      <c r="B46" s="1" t="str">
        <f>IF(Person2!$B$4+ROW(B44)-1&lt;=Person2!$C$4, Person2!$B$4+ROW(B44)-1, "")</f>
        <v/>
      </c>
      <c r="C46" s="1" t="str">
        <f>IF(Person2!$B$5+ROW(B44)-1&lt;=Person2!$C$5, Person2!$B$5+ROW(B44)-1, "")</f>
        <v/>
      </c>
      <c r="D46" s="1" t="str">
        <f>IF(Person2!$B$6+ROW(B44)-1&lt;=Person2!$C$6, Person2!$B$6+ROW(B44)-1, "")</f>
        <v/>
      </c>
      <c r="E46" s="1" t="str">
        <f>IF(Person2!$B$7+ROW(B44)-1&lt;=Person2!$C$7, Person2!$B$7+ROW(B44)-1, "")</f>
        <v/>
      </c>
      <c r="F46" s="1" t="str">
        <f>IF(Person2!$B$8+ROW(B44)-1&lt;=Person2!$C$8, Person2!$B$8+ROW(B44)-1, "")</f>
        <v/>
      </c>
      <c r="G46" s="1" t="str">
        <f>IF(Person2!$B$9+ROW(B44)-1&lt;=Person2!$C$9, Person2!$B$9+ROW(B44)-1, "")</f>
        <v/>
      </c>
      <c r="H46" s="1" t="str">
        <f>IF(Person2!$B$10+ROW(B44)-1&lt;=Person2!$C$10, Person2!$B$10+ROW(B44)-1, "")</f>
        <v/>
      </c>
      <c r="I46" s="1" t="str">
        <f>IF(Person2!$B$11+ROW(B44)-1&lt;=Person2!$C$11, Person2!$B$11+ROW(B44)-1, "")</f>
        <v/>
      </c>
      <c r="J46" s="1" t="str">
        <f>IF(Person2!$B$12+ROW(B44)-1&lt;=Person2!$C$12, Person2!$B$12+ROW(B44)-1, "")</f>
        <v/>
      </c>
      <c r="K46" s="1" t="str">
        <f>IF(Person2!$B$13+ROW(B44)-1&lt;=Person2!$C$13, Person2!$B$13+ROW(B44)-1, "")</f>
        <v/>
      </c>
      <c r="L46" s="1" t="str">
        <f>IF(Person2!$B$14+ROW(B44)-1&lt;=Person2!$C$14, Person2!$B$14+ROW(B44)-1, "")</f>
        <v/>
      </c>
      <c r="M46" s="1" t="str">
        <f>IF(Person2!$B$15+ROW(B44)-1&lt;=Person2!$C$15, Person2!$B$15+ROW(B44)-1, "")</f>
        <v/>
      </c>
      <c r="N46" s="1" t="str">
        <f>IF(Person2!$B$16+ROW(B44)-1&lt;=Person2!$C$16, Person2!$B$16+ROW(B44)-1, "")</f>
        <v/>
      </c>
      <c r="O46" s="1" t="str">
        <f>IF(Person2!$B$17+ROW(B44)-1&lt;=Person2!$C$17, Person2!$B$17+ROW(B44)-1, "")</f>
        <v/>
      </c>
      <c r="V46" s="1" t="str">
        <f>IF(Person2!$D$3+ROW(A44)-1&lt;=Person2!$E$3, Person2!$D$3+ROW(A44)-1, "")</f>
        <v/>
      </c>
      <c r="W46" s="1" t="str">
        <f>IF(Person2!$D$4+ROW(A44)-1&lt;=Person2!$E$4, Person2!$D$4+ROW(A44)-1, "")</f>
        <v/>
      </c>
      <c r="X46" s="1" t="str">
        <f>IF(Person2!$D$5+ROW(A44)-1&lt;=Person2!$E$5, Person2!$D$5+ROW(A44)-1, "")</f>
        <v/>
      </c>
      <c r="Y46" s="1" t="str">
        <f>IF(Person2!$D$6+ROW(A44)-1&lt;=Person2!$E$6, Person2!$D$6+ROW(A44)-1, "")</f>
        <v/>
      </c>
      <c r="Z46" s="1" t="str">
        <f>IF(Person2!$D$7+ROW(A44)-1&lt;=Person2!$E$7, Person2!$D$7+ROW(A44)-1, "")</f>
        <v/>
      </c>
      <c r="AA46" s="1" t="str">
        <f>IF(Person2!$D$8+ROW(A44)-1&lt;=Person2!$E$8, Person2!$D$8+ROW(A44)-1, "")</f>
        <v/>
      </c>
      <c r="AE46" s="1" t="str">
        <f>IF(Person2!$F$3+ROW(A44)-1&lt;=Person2!$G$3, Person2!$F$3+ROW(A44)-1, "")</f>
        <v/>
      </c>
      <c r="AF46" s="1" t="str">
        <f>IF(Person2!$F$4+ROW(A44)-1&lt;=Person2!$G$4, Person2!$F$4+ROW(A44)-1, "")</f>
        <v/>
      </c>
      <c r="AG46" s="1" t="str">
        <f>IF(Person2!$F$5+ROW(A44)-1&lt;=Person2!$G$5, Person2!$F$5+ROW(A44)-1, "")</f>
        <v/>
      </c>
      <c r="AH46" s="1" t="str">
        <f>IF(Person2!$F$6+ROW(A44)-1&lt;=Person2!$G$6, Person2!$F$6+ROW(A44)-1, "")</f>
        <v/>
      </c>
      <c r="AI46" s="1" t="str">
        <f>IF(Person2!$F$7+ROW(A44)-1&lt;=Person2!$G$7, Person2!$F$7+ROW(A44)-1, "")</f>
        <v/>
      </c>
    </row>
    <row r="47" spans="1:35" x14ac:dyDescent="0.3">
      <c r="A47" s="1" t="str">
        <f>IF(Person2!$B$3+ROW(A45)-1&lt;=Person2!$C$3, Person2!$B$3+ROW(A45)-1, "")</f>
        <v/>
      </c>
      <c r="B47" s="1" t="str">
        <f>IF(Person2!$B$4+ROW(B45)-1&lt;=Person2!$C$4, Person2!$B$4+ROW(B45)-1, "")</f>
        <v/>
      </c>
      <c r="C47" s="1" t="str">
        <f>IF(Person2!$B$5+ROW(B45)-1&lt;=Person2!$C$5, Person2!$B$5+ROW(B45)-1, "")</f>
        <v/>
      </c>
      <c r="D47" s="1" t="str">
        <f>IF(Person2!$B$6+ROW(B45)-1&lt;=Person2!$C$6, Person2!$B$6+ROW(B45)-1, "")</f>
        <v/>
      </c>
      <c r="E47" s="1" t="str">
        <f>IF(Person2!$B$7+ROW(B45)-1&lt;=Person2!$C$7, Person2!$B$7+ROW(B45)-1, "")</f>
        <v/>
      </c>
      <c r="F47" s="1" t="str">
        <f>IF(Person2!$B$8+ROW(B45)-1&lt;=Person2!$C$8, Person2!$B$8+ROW(B45)-1, "")</f>
        <v/>
      </c>
      <c r="G47" s="1" t="str">
        <f>IF(Person2!$B$9+ROW(B45)-1&lt;=Person2!$C$9, Person2!$B$9+ROW(B45)-1, "")</f>
        <v/>
      </c>
      <c r="H47" s="1" t="str">
        <f>IF(Person2!$B$10+ROW(B45)-1&lt;=Person2!$C$10, Person2!$B$10+ROW(B45)-1, "")</f>
        <v/>
      </c>
      <c r="I47" s="1" t="str">
        <f>IF(Person2!$B$11+ROW(B45)-1&lt;=Person2!$C$11, Person2!$B$11+ROW(B45)-1, "")</f>
        <v/>
      </c>
      <c r="J47" s="1" t="str">
        <f>IF(Person2!$B$12+ROW(B45)-1&lt;=Person2!$C$12, Person2!$B$12+ROW(B45)-1, "")</f>
        <v/>
      </c>
      <c r="K47" s="1" t="str">
        <f>IF(Person2!$B$13+ROW(B45)-1&lt;=Person2!$C$13, Person2!$B$13+ROW(B45)-1, "")</f>
        <v/>
      </c>
      <c r="L47" s="1" t="str">
        <f>IF(Person2!$B$14+ROW(B45)-1&lt;=Person2!$C$14, Person2!$B$14+ROW(B45)-1, "")</f>
        <v/>
      </c>
      <c r="M47" s="1" t="str">
        <f>IF(Person2!$B$15+ROW(B45)-1&lt;=Person2!$C$15, Person2!$B$15+ROW(B45)-1, "")</f>
        <v/>
      </c>
      <c r="N47" s="1" t="str">
        <f>IF(Person2!$B$16+ROW(B45)-1&lt;=Person2!$C$16, Person2!$B$16+ROW(B45)-1, "")</f>
        <v/>
      </c>
      <c r="O47" s="1" t="str">
        <f>IF(Person2!$B$17+ROW(B45)-1&lt;=Person2!$C$17, Person2!$B$17+ROW(B45)-1, "")</f>
        <v/>
      </c>
      <c r="V47" s="1" t="str">
        <f>IF(Person2!$D$3+ROW(A45)-1&lt;=Person2!$E$3, Person2!$D$3+ROW(A45)-1, "")</f>
        <v/>
      </c>
      <c r="W47" s="1" t="str">
        <f>IF(Person2!$D$4+ROW(A45)-1&lt;=Person2!$E$4, Person2!$D$4+ROW(A45)-1, "")</f>
        <v/>
      </c>
      <c r="X47" s="1" t="str">
        <f>IF(Person2!$D$5+ROW(A45)-1&lt;=Person2!$E$5, Person2!$D$5+ROW(A45)-1, "")</f>
        <v/>
      </c>
      <c r="Y47" s="1" t="str">
        <f>IF(Person2!$D$6+ROW(A45)-1&lt;=Person2!$E$6, Person2!$D$6+ROW(A45)-1, "")</f>
        <v/>
      </c>
      <c r="Z47" s="1" t="str">
        <f>IF(Person2!$D$7+ROW(A45)-1&lt;=Person2!$E$7, Person2!$D$7+ROW(A45)-1, "")</f>
        <v/>
      </c>
      <c r="AA47" s="1" t="str">
        <f>IF(Person2!$D$8+ROW(A45)-1&lt;=Person2!$E$8, Person2!$D$8+ROW(A45)-1, "")</f>
        <v/>
      </c>
      <c r="AE47" s="1" t="str">
        <f>IF(Person2!$F$3+ROW(A45)-1&lt;=Person2!$G$3, Person2!$F$3+ROW(A45)-1, "")</f>
        <v/>
      </c>
      <c r="AF47" s="1" t="str">
        <f>IF(Person2!$F$4+ROW(A45)-1&lt;=Person2!$G$4, Person2!$F$4+ROW(A45)-1, "")</f>
        <v/>
      </c>
      <c r="AG47" s="1" t="str">
        <f>IF(Person2!$F$5+ROW(A45)-1&lt;=Person2!$G$5, Person2!$F$5+ROW(A45)-1, "")</f>
        <v/>
      </c>
      <c r="AH47" s="1" t="str">
        <f>IF(Person2!$F$6+ROW(A45)-1&lt;=Person2!$G$6, Person2!$F$6+ROW(A45)-1, "")</f>
        <v/>
      </c>
      <c r="AI47" s="1" t="str">
        <f>IF(Person2!$F$7+ROW(A45)-1&lt;=Person2!$G$7, Person2!$F$7+ROW(A45)-1, "")</f>
        <v/>
      </c>
    </row>
    <row r="48" spans="1:35" x14ac:dyDescent="0.3">
      <c r="A48" s="1" t="str">
        <f>IF(Person2!$B$3+ROW(A46)-1&lt;=Person2!$C$3, Person2!$B$3+ROW(A46)-1, "")</f>
        <v/>
      </c>
      <c r="B48" s="1" t="str">
        <f>IF(Person2!$B$4+ROW(B46)-1&lt;=Person2!$C$4, Person2!$B$4+ROW(B46)-1, "")</f>
        <v/>
      </c>
      <c r="C48" s="1" t="str">
        <f>IF(Person2!$B$5+ROW(B46)-1&lt;=Person2!$C$5, Person2!$B$5+ROW(B46)-1, "")</f>
        <v/>
      </c>
      <c r="D48" s="1" t="str">
        <f>IF(Person2!$B$6+ROW(B46)-1&lt;=Person2!$C$6, Person2!$B$6+ROW(B46)-1, "")</f>
        <v/>
      </c>
      <c r="E48" s="1" t="str">
        <f>IF(Person2!$B$7+ROW(B46)-1&lt;=Person2!$C$7, Person2!$B$7+ROW(B46)-1, "")</f>
        <v/>
      </c>
      <c r="F48" s="1" t="str">
        <f>IF(Person2!$B$8+ROW(B46)-1&lt;=Person2!$C$8, Person2!$B$8+ROW(B46)-1, "")</f>
        <v/>
      </c>
      <c r="G48" s="1" t="str">
        <f>IF(Person2!$B$9+ROW(B46)-1&lt;=Person2!$C$9, Person2!$B$9+ROW(B46)-1, "")</f>
        <v/>
      </c>
      <c r="H48" s="1" t="str">
        <f>IF(Person2!$B$10+ROW(B46)-1&lt;=Person2!$C$10, Person2!$B$10+ROW(B46)-1, "")</f>
        <v/>
      </c>
      <c r="I48" s="1" t="str">
        <f>IF(Person2!$B$11+ROW(B46)-1&lt;=Person2!$C$11, Person2!$B$11+ROW(B46)-1, "")</f>
        <v/>
      </c>
      <c r="J48" s="1" t="str">
        <f>IF(Person2!$B$12+ROW(B46)-1&lt;=Person2!$C$12, Person2!$B$12+ROW(B46)-1, "")</f>
        <v/>
      </c>
      <c r="K48" s="1" t="str">
        <f>IF(Person2!$B$13+ROW(B46)-1&lt;=Person2!$C$13, Person2!$B$13+ROW(B46)-1, "")</f>
        <v/>
      </c>
      <c r="L48" s="1" t="str">
        <f>IF(Person2!$B$14+ROW(B46)-1&lt;=Person2!$C$14, Person2!$B$14+ROW(B46)-1, "")</f>
        <v/>
      </c>
      <c r="M48" s="1" t="str">
        <f>IF(Person2!$B$15+ROW(B46)-1&lt;=Person2!$C$15, Person2!$B$15+ROW(B46)-1, "")</f>
        <v/>
      </c>
      <c r="N48" s="1" t="str">
        <f>IF(Person2!$B$16+ROW(B46)-1&lt;=Person2!$C$16, Person2!$B$16+ROW(B46)-1, "")</f>
        <v/>
      </c>
      <c r="O48" s="1" t="str">
        <f>IF(Person2!$B$17+ROW(B46)-1&lt;=Person2!$C$17, Person2!$B$17+ROW(B46)-1, "")</f>
        <v/>
      </c>
      <c r="V48" s="1" t="str">
        <f>IF(Person2!$D$3+ROW(A46)-1&lt;=Person2!$E$3, Person2!$D$3+ROW(A46)-1, "")</f>
        <v/>
      </c>
      <c r="W48" s="1" t="str">
        <f>IF(Person2!$D$4+ROW(A46)-1&lt;=Person2!$E$4, Person2!$D$4+ROW(A46)-1, "")</f>
        <v/>
      </c>
      <c r="X48" s="1" t="str">
        <f>IF(Person2!$D$5+ROW(A46)-1&lt;=Person2!$E$5, Person2!$D$5+ROW(A46)-1, "")</f>
        <v/>
      </c>
      <c r="Y48" s="1" t="str">
        <f>IF(Person2!$D$6+ROW(A46)-1&lt;=Person2!$E$6, Person2!$D$6+ROW(A46)-1, "")</f>
        <v/>
      </c>
      <c r="Z48" s="1" t="str">
        <f>IF(Person2!$D$7+ROW(A46)-1&lt;=Person2!$E$7, Person2!$D$7+ROW(A46)-1, "")</f>
        <v/>
      </c>
      <c r="AA48" s="1" t="str">
        <f>IF(Person2!$D$8+ROW(A46)-1&lt;=Person2!$E$8, Person2!$D$8+ROW(A46)-1, "")</f>
        <v/>
      </c>
      <c r="AE48" s="1" t="str">
        <f>IF(Person2!$F$3+ROW(A46)-1&lt;=Person2!$G$3, Person2!$F$3+ROW(A46)-1, "")</f>
        <v/>
      </c>
      <c r="AF48" s="1" t="str">
        <f>IF(Person2!$F$4+ROW(A46)-1&lt;=Person2!$G$4, Person2!$F$4+ROW(A46)-1, "")</f>
        <v/>
      </c>
      <c r="AG48" s="1" t="str">
        <f>IF(Person2!$F$5+ROW(A46)-1&lt;=Person2!$G$5, Person2!$F$5+ROW(A46)-1, "")</f>
        <v/>
      </c>
      <c r="AH48" s="1" t="str">
        <f>IF(Person2!$F$6+ROW(A46)-1&lt;=Person2!$G$6, Person2!$F$6+ROW(A46)-1, "")</f>
        <v/>
      </c>
      <c r="AI48" s="1" t="str">
        <f>IF(Person2!$F$7+ROW(A46)-1&lt;=Person2!$G$7, Person2!$F$7+ROW(A46)-1, "")</f>
        <v/>
      </c>
    </row>
    <row r="49" spans="1:35" x14ac:dyDescent="0.3">
      <c r="A49" s="1" t="str">
        <f>IF(Person2!$B$3+ROW(A47)-1&lt;=Person2!$C$3, Person2!$B$3+ROW(A47)-1, "")</f>
        <v/>
      </c>
      <c r="B49" s="1" t="str">
        <f>IF(Person2!$B$4+ROW(B47)-1&lt;=Person2!$C$4, Person2!$B$4+ROW(B47)-1, "")</f>
        <v/>
      </c>
      <c r="C49" s="1" t="str">
        <f>IF(Person2!$B$5+ROW(B47)-1&lt;=Person2!$C$5, Person2!$B$5+ROW(B47)-1, "")</f>
        <v/>
      </c>
      <c r="D49" s="1" t="str">
        <f>IF(Person2!$B$6+ROW(B47)-1&lt;=Person2!$C$6, Person2!$B$6+ROW(B47)-1, "")</f>
        <v/>
      </c>
      <c r="E49" s="1" t="str">
        <f>IF(Person2!$B$7+ROW(B47)-1&lt;=Person2!$C$7, Person2!$B$7+ROW(B47)-1, "")</f>
        <v/>
      </c>
      <c r="F49" s="1" t="str">
        <f>IF(Person2!$B$8+ROW(B47)-1&lt;=Person2!$C$8, Person2!$B$8+ROW(B47)-1, "")</f>
        <v/>
      </c>
      <c r="G49" s="1" t="str">
        <f>IF(Person2!$B$9+ROW(B47)-1&lt;=Person2!$C$9, Person2!$B$9+ROW(B47)-1, "")</f>
        <v/>
      </c>
      <c r="H49" s="1" t="str">
        <f>IF(Person2!$B$10+ROW(B47)-1&lt;=Person2!$C$10, Person2!$B$10+ROW(B47)-1, "")</f>
        <v/>
      </c>
      <c r="I49" s="1" t="str">
        <f>IF(Person2!$B$11+ROW(B47)-1&lt;=Person2!$C$11, Person2!$B$11+ROW(B47)-1, "")</f>
        <v/>
      </c>
      <c r="J49" s="1" t="str">
        <f>IF(Person2!$B$12+ROW(B47)-1&lt;=Person2!$C$12, Person2!$B$12+ROW(B47)-1, "")</f>
        <v/>
      </c>
      <c r="K49" s="1" t="str">
        <f>IF(Person2!$B$13+ROW(B47)-1&lt;=Person2!$C$13, Person2!$B$13+ROW(B47)-1, "")</f>
        <v/>
      </c>
      <c r="L49" s="1" t="str">
        <f>IF(Person2!$B$14+ROW(B47)-1&lt;=Person2!$C$14, Person2!$B$14+ROW(B47)-1, "")</f>
        <v/>
      </c>
      <c r="M49" s="1" t="str">
        <f>IF(Person2!$B$15+ROW(B47)-1&lt;=Person2!$C$15, Person2!$B$15+ROW(B47)-1, "")</f>
        <v/>
      </c>
      <c r="N49" s="1" t="str">
        <f>IF(Person2!$B$16+ROW(B47)-1&lt;=Person2!$C$16, Person2!$B$16+ROW(B47)-1, "")</f>
        <v/>
      </c>
      <c r="O49" s="1" t="str">
        <f>IF(Person2!$B$17+ROW(B47)-1&lt;=Person2!$C$17, Person2!$B$17+ROW(B47)-1, "")</f>
        <v/>
      </c>
      <c r="V49" s="1" t="str">
        <f>IF(Person2!$D$3+ROW(A47)-1&lt;=Person2!$E$3, Person2!$D$3+ROW(A47)-1, "")</f>
        <v/>
      </c>
      <c r="W49" s="1" t="str">
        <f>IF(Person2!$D$4+ROW(A47)-1&lt;=Person2!$E$4, Person2!$D$4+ROW(A47)-1, "")</f>
        <v/>
      </c>
      <c r="X49" s="1" t="str">
        <f>IF(Person2!$D$5+ROW(A47)-1&lt;=Person2!$E$5, Person2!$D$5+ROW(A47)-1, "")</f>
        <v/>
      </c>
      <c r="Y49" s="1" t="str">
        <f>IF(Person2!$D$6+ROW(A47)-1&lt;=Person2!$E$6, Person2!$D$6+ROW(A47)-1, "")</f>
        <v/>
      </c>
      <c r="Z49" s="1" t="str">
        <f>IF(Person2!$D$7+ROW(A47)-1&lt;=Person2!$E$7, Person2!$D$7+ROW(A47)-1, "")</f>
        <v/>
      </c>
      <c r="AA49" s="1" t="str">
        <f>IF(Person2!$D$8+ROW(A47)-1&lt;=Person2!$E$8, Person2!$D$8+ROW(A47)-1, "")</f>
        <v/>
      </c>
      <c r="AE49" s="1" t="str">
        <f>IF(Person2!$F$3+ROW(A47)-1&lt;=Person2!$G$3, Person2!$F$3+ROW(A47)-1, "")</f>
        <v/>
      </c>
      <c r="AF49" s="1" t="str">
        <f>IF(Person2!$F$4+ROW(A47)-1&lt;=Person2!$G$4, Person2!$F$4+ROW(A47)-1, "")</f>
        <v/>
      </c>
      <c r="AG49" s="1" t="str">
        <f>IF(Person2!$F$5+ROW(A47)-1&lt;=Person2!$G$5, Person2!$F$5+ROW(A47)-1, "")</f>
        <v/>
      </c>
      <c r="AH49" s="1" t="str">
        <f>IF(Person2!$F$6+ROW(A47)-1&lt;=Person2!$G$6, Person2!$F$6+ROW(A47)-1, "")</f>
        <v/>
      </c>
      <c r="AI49" s="1" t="str">
        <f>IF(Person2!$F$7+ROW(A47)-1&lt;=Person2!$G$7, Person2!$F$7+ROW(A47)-1, "")</f>
        <v/>
      </c>
    </row>
    <row r="50" spans="1:35" x14ac:dyDescent="0.3">
      <c r="A50" s="1" t="str">
        <f>IF(Person2!$B$3+ROW(A48)-1&lt;=Person2!$C$3, Person2!$B$3+ROW(A48)-1, "")</f>
        <v/>
      </c>
      <c r="B50" s="1" t="str">
        <f>IF(Person2!$B$4+ROW(B48)-1&lt;=Person2!$C$4, Person2!$B$4+ROW(B48)-1, "")</f>
        <v/>
      </c>
      <c r="C50" s="1" t="str">
        <f>IF(Person2!$B$5+ROW(B48)-1&lt;=Person2!$C$5, Person2!$B$5+ROW(B48)-1, "")</f>
        <v/>
      </c>
      <c r="D50" s="1" t="str">
        <f>IF(Person2!$B$6+ROW(B48)-1&lt;=Person2!$C$6, Person2!$B$6+ROW(B48)-1, "")</f>
        <v/>
      </c>
      <c r="E50" s="1" t="str">
        <f>IF(Person2!$B$7+ROW(B48)-1&lt;=Person2!$C$7, Person2!$B$7+ROW(B48)-1, "")</f>
        <v/>
      </c>
      <c r="F50" s="1" t="str">
        <f>IF(Person2!$B$8+ROW(B48)-1&lt;=Person2!$C$8, Person2!$B$8+ROW(B48)-1, "")</f>
        <v/>
      </c>
      <c r="G50" s="1" t="str">
        <f>IF(Person2!$B$9+ROW(B48)-1&lt;=Person2!$C$9, Person2!$B$9+ROW(B48)-1, "")</f>
        <v/>
      </c>
      <c r="H50" s="1" t="str">
        <f>IF(Person2!$B$10+ROW(B48)-1&lt;=Person2!$C$10, Person2!$B$10+ROW(B48)-1, "")</f>
        <v/>
      </c>
      <c r="I50" s="1" t="str">
        <f>IF(Person2!$B$11+ROW(B48)-1&lt;=Person2!$C$11, Person2!$B$11+ROW(B48)-1, "")</f>
        <v/>
      </c>
      <c r="J50" s="1" t="str">
        <f>IF(Person2!$B$12+ROW(B48)-1&lt;=Person2!$C$12, Person2!$B$12+ROW(B48)-1, "")</f>
        <v/>
      </c>
      <c r="K50" s="1" t="str">
        <f>IF(Person2!$B$13+ROW(B48)-1&lt;=Person2!$C$13, Person2!$B$13+ROW(B48)-1, "")</f>
        <v/>
      </c>
      <c r="L50" s="1" t="str">
        <f>IF(Person2!$B$14+ROW(B48)-1&lt;=Person2!$C$14, Person2!$B$14+ROW(B48)-1, "")</f>
        <v/>
      </c>
      <c r="M50" s="1" t="str">
        <f>IF(Person2!$B$15+ROW(B48)-1&lt;=Person2!$C$15, Person2!$B$15+ROW(B48)-1, "")</f>
        <v/>
      </c>
      <c r="N50" s="1" t="str">
        <f>IF(Person2!$B$16+ROW(B48)-1&lt;=Person2!$C$16, Person2!$B$16+ROW(B48)-1, "")</f>
        <v/>
      </c>
      <c r="O50" s="1" t="str">
        <f>IF(Person2!$B$17+ROW(B48)-1&lt;=Person2!$C$17, Person2!$B$17+ROW(B48)-1, "")</f>
        <v/>
      </c>
      <c r="V50" s="1" t="str">
        <f>IF(Person2!$D$3+ROW(A48)-1&lt;=Person2!$E$3, Person2!$D$3+ROW(A48)-1, "")</f>
        <v/>
      </c>
      <c r="W50" s="1" t="str">
        <f>IF(Person2!$D$4+ROW(A48)-1&lt;=Person2!$E$4, Person2!$D$4+ROW(A48)-1, "")</f>
        <v/>
      </c>
      <c r="X50" s="1" t="str">
        <f>IF(Person2!$D$5+ROW(A48)-1&lt;=Person2!$E$5, Person2!$D$5+ROW(A48)-1, "")</f>
        <v/>
      </c>
      <c r="Y50" s="1" t="str">
        <f>IF(Person2!$D$6+ROW(A48)-1&lt;=Person2!$E$6, Person2!$D$6+ROW(A48)-1, "")</f>
        <v/>
      </c>
      <c r="Z50" s="1" t="str">
        <f>IF(Person2!$D$7+ROW(A48)-1&lt;=Person2!$E$7, Person2!$D$7+ROW(A48)-1, "")</f>
        <v/>
      </c>
      <c r="AA50" s="1" t="str">
        <f>IF(Person2!$D$8+ROW(A48)-1&lt;=Person2!$E$8, Person2!$D$8+ROW(A48)-1, "")</f>
        <v/>
      </c>
      <c r="AE50" s="1" t="str">
        <f>IF(Person2!$F$3+ROW(A48)-1&lt;=Person2!$G$3, Person2!$F$3+ROW(A48)-1, "")</f>
        <v/>
      </c>
      <c r="AF50" s="1" t="str">
        <f>IF(Person2!$F$4+ROW(A48)-1&lt;=Person2!$G$4, Person2!$F$4+ROW(A48)-1, "")</f>
        <v/>
      </c>
      <c r="AG50" s="1" t="str">
        <f>IF(Person2!$F$5+ROW(A48)-1&lt;=Person2!$G$5, Person2!$F$5+ROW(A48)-1, "")</f>
        <v/>
      </c>
      <c r="AH50" s="1" t="str">
        <f>IF(Person2!$F$6+ROW(A48)-1&lt;=Person2!$G$6, Person2!$F$6+ROW(A48)-1, "")</f>
        <v/>
      </c>
      <c r="AI50" s="1" t="str">
        <f>IF(Person2!$F$7+ROW(A48)-1&lt;=Person2!$G$7, Person2!$F$7+ROW(A48)-1, "")</f>
        <v/>
      </c>
    </row>
    <row r="51" spans="1:35" x14ac:dyDescent="0.3">
      <c r="A51" s="1" t="str">
        <f>IF(Person2!$B$3+ROW(A49)-1&lt;=Person2!$C$3, Person2!$B$3+ROW(A49)-1, "")</f>
        <v/>
      </c>
      <c r="B51" s="1" t="str">
        <f>IF(Person2!$B$4+ROW(B49)-1&lt;=Person2!$C$4, Person2!$B$4+ROW(B49)-1, "")</f>
        <v/>
      </c>
      <c r="C51" s="1" t="str">
        <f>IF(Person2!$B$5+ROW(B49)-1&lt;=Person2!$C$5, Person2!$B$5+ROW(B49)-1, "")</f>
        <v/>
      </c>
      <c r="D51" s="1" t="str">
        <f>IF(Person2!$B$6+ROW(B49)-1&lt;=Person2!$C$6, Person2!$B$6+ROW(B49)-1, "")</f>
        <v/>
      </c>
      <c r="E51" s="1" t="str">
        <f>IF(Person2!$B$7+ROW(B49)-1&lt;=Person2!$C$7, Person2!$B$7+ROW(B49)-1, "")</f>
        <v/>
      </c>
      <c r="F51" s="1" t="str">
        <f>IF(Person2!$B$8+ROW(B49)-1&lt;=Person2!$C$8, Person2!$B$8+ROW(B49)-1, "")</f>
        <v/>
      </c>
      <c r="G51" s="1" t="str">
        <f>IF(Person2!$B$9+ROW(B49)-1&lt;=Person2!$C$9, Person2!$B$9+ROW(B49)-1, "")</f>
        <v/>
      </c>
      <c r="H51" s="1" t="str">
        <f>IF(Person2!$B$10+ROW(B49)-1&lt;=Person2!$C$10, Person2!$B$10+ROW(B49)-1, "")</f>
        <v/>
      </c>
      <c r="I51" s="1" t="str">
        <f>IF(Person2!$B$11+ROW(B49)-1&lt;=Person2!$C$11, Person2!$B$11+ROW(B49)-1, "")</f>
        <v/>
      </c>
      <c r="J51" s="1" t="str">
        <f>IF(Person2!$B$12+ROW(B49)-1&lt;=Person2!$C$12, Person2!$B$12+ROW(B49)-1, "")</f>
        <v/>
      </c>
      <c r="K51" s="1" t="str">
        <f>IF(Person2!$B$13+ROW(B49)-1&lt;=Person2!$C$13, Person2!$B$13+ROW(B49)-1, "")</f>
        <v/>
      </c>
      <c r="L51" s="1" t="str">
        <f>IF(Person2!$B$14+ROW(B49)-1&lt;=Person2!$C$14, Person2!$B$14+ROW(B49)-1, "")</f>
        <v/>
      </c>
      <c r="M51" s="1" t="str">
        <f>IF(Person2!$B$15+ROW(B49)-1&lt;=Person2!$C$15, Person2!$B$15+ROW(B49)-1, "")</f>
        <v/>
      </c>
      <c r="N51" s="1" t="str">
        <f>IF(Person2!$B$16+ROW(B49)-1&lt;=Person2!$C$16, Person2!$B$16+ROW(B49)-1, "")</f>
        <v/>
      </c>
      <c r="O51" s="1" t="str">
        <f>IF(Person2!$B$17+ROW(B49)-1&lt;=Person2!$C$17, Person2!$B$17+ROW(B49)-1, "")</f>
        <v/>
      </c>
      <c r="V51" s="1" t="str">
        <f>IF(Person2!$D$3+ROW(A49)-1&lt;=Person2!$E$3, Person2!$D$3+ROW(A49)-1, "")</f>
        <v/>
      </c>
      <c r="W51" s="1" t="str">
        <f>IF(Person2!$D$4+ROW(A49)-1&lt;=Person2!$E$4, Person2!$D$4+ROW(A49)-1, "")</f>
        <v/>
      </c>
      <c r="X51" s="1" t="str">
        <f>IF(Person2!$D$5+ROW(A49)-1&lt;=Person2!$E$5, Person2!$D$5+ROW(A49)-1, "")</f>
        <v/>
      </c>
      <c r="Y51" s="1" t="str">
        <f>IF(Person2!$D$6+ROW(A49)-1&lt;=Person2!$E$6, Person2!$D$6+ROW(A49)-1, "")</f>
        <v/>
      </c>
      <c r="Z51" s="1" t="str">
        <f>IF(Person2!$D$7+ROW(A49)-1&lt;=Person2!$E$7, Person2!$D$7+ROW(A49)-1, "")</f>
        <v/>
      </c>
      <c r="AA51" s="1" t="str">
        <f>IF(Person2!$D$8+ROW(A49)-1&lt;=Person2!$E$8, Person2!$D$8+ROW(A49)-1, "")</f>
        <v/>
      </c>
      <c r="AE51" s="1" t="str">
        <f>IF(Person2!$F$3+ROW(A49)-1&lt;=Person2!$G$3, Person2!$F$3+ROW(A49)-1, "")</f>
        <v/>
      </c>
      <c r="AF51" s="1" t="str">
        <f>IF(Person2!$F$4+ROW(A49)-1&lt;=Person2!$G$4, Person2!$F$4+ROW(A49)-1, "")</f>
        <v/>
      </c>
      <c r="AG51" s="1" t="str">
        <f>IF(Person2!$F$5+ROW(A49)-1&lt;=Person2!$G$5, Person2!$F$5+ROW(A49)-1, "")</f>
        <v/>
      </c>
      <c r="AH51" s="1" t="str">
        <f>IF(Person2!$F$6+ROW(A49)-1&lt;=Person2!$G$6, Person2!$F$6+ROW(A49)-1, "")</f>
        <v/>
      </c>
      <c r="AI51" s="1" t="str">
        <f>IF(Person2!$F$7+ROW(A49)-1&lt;=Person2!$G$7, Person2!$F$7+ROW(A49)-1, "")</f>
        <v/>
      </c>
    </row>
    <row r="52" spans="1:35" x14ac:dyDescent="0.3">
      <c r="A52" s="1" t="str">
        <f>IF(Person2!$B$3+ROW(A50)-1&lt;=Person2!$C$3, Person2!$B$3+ROW(A50)-1, "")</f>
        <v/>
      </c>
      <c r="B52" s="1" t="str">
        <f>IF(Person2!$B$4+ROW(B50)-1&lt;=Person2!$C$4, Person2!$B$4+ROW(B50)-1, "")</f>
        <v/>
      </c>
      <c r="C52" s="1" t="str">
        <f>IF(Person2!$B$5+ROW(B50)-1&lt;=Person2!$C$5, Person2!$B$5+ROW(B50)-1, "")</f>
        <v/>
      </c>
      <c r="D52" s="1" t="str">
        <f>IF(Person2!$B$6+ROW(B50)-1&lt;=Person2!$C$6, Person2!$B$6+ROW(B50)-1, "")</f>
        <v/>
      </c>
      <c r="E52" s="1" t="str">
        <f>IF(Person2!$B$7+ROW(B50)-1&lt;=Person2!$C$7, Person2!$B$7+ROW(B50)-1, "")</f>
        <v/>
      </c>
      <c r="F52" s="1" t="str">
        <f>IF(Person2!$B$8+ROW(B50)-1&lt;=Person2!$C$8, Person2!$B$8+ROW(B50)-1, "")</f>
        <v/>
      </c>
      <c r="G52" s="1" t="str">
        <f>IF(Person2!$B$9+ROW(B50)-1&lt;=Person2!$C$9, Person2!$B$9+ROW(B50)-1, "")</f>
        <v/>
      </c>
      <c r="H52" s="1" t="str">
        <f>IF(Person2!$B$10+ROW(B50)-1&lt;=Person2!$C$10, Person2!$B$10+ROW(B50)-1, "")</f>
        <v/>
      </c>
      <c r="I52" s="1" t="str">
        <f>IF(Person2!$B$11+ROW(B50)-1&lt;=Person2!$C$11, Person2!$B$11+ROW(B50)-1, "")</f>
        <v/>
      </c>
      <c r="J52" s="1" t="str">
        <f>IF(Person2!$B$12+ROW(B50)-1&lt;=Person2!$C$12, Person2!$B$12+ROW(B50)-1, "")</f>
        <v/>
      </c>
      <c r="K52" s="1" t="str">
        <f>IF(Person2!$B$13+ROW(B50)-1&lt;=Person2!$C$13, Person2!$B$13+ROW(B50)-1, "")</f>
        <v/>
      </c>
      <c r="L52" s="1" t="str">
        <f>IF(Person2!$B$14+ROW(B50)-1&lt;=Person2!$C$14, Person2!$B$14+ROW(B50)-1, "")</f>
        <v/>
      </c>
      <c r="M52" s="1" t="str">
        <f>IF(Person2!$B$15+ROW(B50)-1&lt;=Person2!$C$15, Person2!$B$15+ROW(B50)-1, "")</f>
        <v/>
      </c>
      <c r="N52" s="1" t="str">
        <f>IF(Person2!$B$16+ROW(B50)-1&lt;=Person2!$C$16, Person2!$B$16+ROW(B50)-1, "")</f>
        <v/>
      </c>
      <c r="O52" s="1" t="str">
        <f>IF(Person2!$B$17+ROW(B50)-1&lt;=Person2!$C$17, Person2!$B$17+ROW(B50)-1, "")</f>
        <v/>
      </c>
      <c r="V52" s="1" t="str">
        <f>IF(Person2!$D$3+ROW(A50)-1&lt;=Person2!$E$3, Person2!$D$3+ROW(A50)-1, "")</f>
        <v/>
      </c>
      <c r="W52" s="1" t="str">
        <f>IF(Person2!$D$4+ROW(A50)-1&lt;=Person2!$E$4, Person2!$D$4+ROW(A50)-1, "")</f>
        <v/>
      </c>
      <c r="X52" s="1" t="str">
        <f>IF(Person2!$D$5+ROW(A50)-1&lt;=Person2!$E$5, Person2!$D$5+ROW(A50)-1, "")</f>
        <v/>
      </c>
      <c r="Y52" s="1" t="str">
        <f>IF(Person2!$D$6+ROW(A50)-1&lt;=Person2!$E$6, Person2!$D$6+ROW(A50)-1, "")</f>
        <v/>
      </c>
      <c r="Z52" s="1" t="str">
        <f>IF(Person2!$D$7+ROW(A50)-1&lt;=Person2!$E$7, Person2!$D$7+ROW(A50)-1, "")</f>
        <v/>
      </c>
      <c r="AA52" s="1" t="str">
        <f>IF(Person2!$D$8+ROW(A50)-1&lt;=Person2!$E$8, Person2!$D$8+ROW(A50)-1, "")</f>
        <v/>
      </c>
      <c r="AE52" s="1" t="str">
        <f>IF(Person2!$F$3+ROW(A50)-1&lt;=Person2!$G$3, Person2!$F$3+ROW(A50)-1, "")</f>
        <v/>
      </c>
      <c r="AF52" s="1" t="str">
        <f>IF(Person2!$F$4+ROW(A50)-1&lt;=Person2!$G$4, Person2!$F$4+ROW(A50)-1, "")</f>
        <v/>
      </c>
      <c r="AG52" s="1" t="str">
        <f>IF(Person2!$F$5+ROW(A50)-1&lt;=Person2!$G$5, Person2!$F$5+ROW(A50)-1, "")</f>
        <v/>
      </c>
      <c r="AH52" s="1" t="str">
        <f>IF(Person2!$F$6+ROW(A50)-1&lt;=Person2!$G$6, Person2!$F$6+ROW(A50)-1, "")</f>
        <v/>
      </c>
      <c r="AI52" s="1" t="str">
        <f>IF(Person2!$F$7+ROW(A50)-1&lt;=Person2!$G$7, Person2!$F$7+ROW(A50)-1, "")</f>
        <v/>
      </c>
    </row>
    <row r="53" spans="1:35" x14ac:dyDescent="0.3">
      <c r="A53" s="1" t="str">
        <f>IF(Person2!$B$3+ROW(A51)-1&lt;=Person2!$C$3, Person2!$B$3+ROW(A51)-1, "")</f>
        <v/>
      </c>
      <c r="B53" s="1" t="str">
        <f>IF(Person2!$B$4+ROW(B51)-1&lt;=Person2!$C$4, Person2!$B$4+ROW(B51)-1, "")</f>
        <v/>
      </c>
      <c r="C53" s="1" t="str">
        <f>IF(Person2!$B$5+ROW(B51)-1&lt;=Person2!$C$5, Person2!$B$5+ROW(B51)-1, "")</f>
        <v/>
      </c>
      <c r="D53" s="1" t="str">
        <f>IF(Person2!$B$6+ROW(B51)-1&lt;=Person2!$C$6, Person2!$B$6+ROW(B51)-1, "")</f>
        <v/>
      </c>
      <c r="E53" s="1" t="str">
        <f>IF(Person2!$B$7+ROW(B51)-1&lt;=Person2!$C$7, Person2!$B$7+ROW(B51)-1, "")</f>
        <v/>
      </c>
      <c r="F53" s="1" t="str">
        <f>IF(Person2!$B$8+ROW(B51)-1&lt;=Person2!$C$8, Person2!$B$8+ROW(B51)-1, "")</f>
        <v/>
      </c>
      <c r="G53" s="1" t="str">
        <f>IF(Person2!$B$9+ROW(B51)-1&lt;=Person2!$C$9, Person2!$B$9+ROW(B51)-1, "")</f>
        <v/>
      </c>
      <c r="H53" s="1" t="str">
        <f>IF(Person2!$B$10+ROW(B51)-1&lt;=Person2!$C$10, Person2!$B$10+ROW(B51)-1, "")</f>
        <v/>
      </c>
      <c r="I53" s="1" t="str">
        <f>IF(Person2!$B$11+ROW(B51)-1&lt;=Person2!$C$11, Person2!$B$11+ROW(B51)-1, "")</f>
        <v/>
      </c>
      <c r="J53" s="1" t="str">
        <f>IF(Person2!$B$12+ROW(B51)-1&lt;=Person2!$C$12, Person2!$B$12+ROW(B51)-1, "")</f>
        <v/>
      </c>
      <c r="K53" s="1" t="str">
        <f>IF(Person2!$B$13+ROW(B51)-1&lt;=Person2!$C$13, Person2!$B$13+ROW(B51)-1, "")</f>
        <v/>
      </c>
      <c r="L53" s="1" t="str">
        <f>IF(Person2!$B$14+ROW(B51)-1&lt;=Person2!$C$14, Person2!$B$14+ROW(B51)-1, "")</f>
        <v/>
      </c>
      <c r="M53" s="1" t="str">
        <f>IF(Person2!$B$15+ROW(B51)-1&lt;=Person2!$C$15, Person2!$B$15+ROW(B51)-1, "")</f>
        <v/>
      </c>
      <c r="N53" s="1" t="str">
        <f>IF(Person2!$B$16+ROW(B51)-1&lt;=Person2!$C$16, Person2!$B$16+ROW(B51)-1, "")</f>
        <v/>
      </c>
      <c r="O53" s="1" t="str">
        <f>IF(Person2!$B$17+ROW(B51)-1&lt;=Person2!$C$17, Person2!$B$17+ROW(B51)-1, "")</f>
        <v/>
      </c>
      <c r="V53" s="1" t="str">
        <f>IF(Person2!$D$3+ROW(A51)-1&lt;=Person2!$E$3, Person2!$D$3+ROW(A51)-1, "")</f>
        <v/>
      </c>
      <c r="W53" s="1" t="str">
        <f>IF(Person2!$D$4+ROW(A51)-1&lt;=Person2!$E$4, Person2!$D$4+ROW(A51)-1, "")</f>
        <v/>
      </c>
      <c r="X53" s="1" t="str">
        <f>IF(Person2!$D$5+ROW(A51)-1&lt;=Person2!$E$5, Person2!$D$5+ROW(A51)-1, "")</f>
        <v/>
      </c>
      <c r="Y53" s="1" t="str">
        <f>IF(Person2!$D$6+ROW(A51)-1&lt;=Person2!$E$6, Person2!$D$6+ROW(A51)-1, "")</f>
        <v/>
      </c>
      <c r="Z53" s="1" t="str">
        <f>IF(Person2!$D$7+ROW(A51)-1&lt;=Person2!$E$7, Person2!$D$7+ROW(A51)-1, "")</f>
        <v/>
      </c>
      <c r="AA53" s="1" t="str">
        <f>IF(Person2!$D$8+ROW(A51)-1&lt;=Person2!$E$8, Person2!$D$8+ROW(A51)-1, "")</f>
        <v/>
      </c>
      <c r="AE53" s="1" t="str">
        <f>IF(Person2!$F$3+ROW(A51)-1&lt;=Person2!$G$3, Person2!$F$3+ROW(A51)-1, "")</f>
        <v/>
      </c>
      <c r="AF53" s="1" t="str">
        <f>IF(Person2!$F$4+ROW(A51)-1&lt;=Person2!$G$4, Person2!$F$4+ROW(A51)-1, "")</f>
        <v/>
      </c>
      <c r="AG53" s="1" t="str">
        <f>IF(Person2!$F$5+ROW(A51)-1&lt;=Person2!$G$5, Person2!$F$5+ROW(A51)-1, "")</f>
        <v/>
      </c>
      <c r="AH53" s="1" t="str">
        <f>IF(Person2!$F$6+ROW(A51)-1&lt;=Person2!$G$6, Person2!$F$6+ROW(A51)-1, "")</f>
        <v/>
      </c>
      <c r="AI53" s="1" t="str">
        <f>IF(Person2!$F$7+ROW(A51)-1&lt;=Person2!$G$7, Person2!$F$7+ROW(A51)-1, "")</f>
        <v/>
      </c>
    </row>
    <row r="54" spans="1:35" x14ac:dyDescent="0.3">
      <c r="A54" s="1" t="str">
        <f>IF(Person2!$B$3+ROW(A52)-1&lt;=Person2!$C$3, Person2!$B$3+ROW(A52)-1, "")</f>
        <v/>
      </c>
      <c r="B54" s="1" t="str">
        <f>IF(Person2!$B$4+ROW(B52)-1&lt;=Person2!$C$4, Person2!$B$4+ROW(B52)-1, "")</f>
        <v/>
      </c>
      <c r="C54" s="1" t="str">
        <f>IF(Person2!$B$5+ROW(B52)-1&lt;=Person2!$C$5, Person2!$B$5+ROW(B52)-1, "")</f>
        <v/>
      </c>
      <c r="D54" s="1" t="str">
        <f>IF(Person2!$B$6+ROW(B52)-1&lt;=Person2!$C$6, Person2!$B$6+ROW(B52)-1, "")</f>
        <v/>
      </c>
      <c r="E54" s="1" t="str">
        <f>IF(Person2!$B$7+ROW(B52)-1&lt;=Person2!$C$7, Person2!$B$7+ROW(B52)-1, "")</f>
        <v/>
      </c>
      <c r="F54" s="1" t="str">
        <f>IF(Person2!$B$8+ROW(B52)-1&lt;=Person2!$C$8, Person2!$B$8+ROW(B52)-1, "")</f>
        <v/>
      </c>
      <c r="G54" s="1" t="str">
        <f>IF(Person2!$B$9+ROW(B52)-1&lt;=Person2!$C$9, Person2!$B$9+ROW(B52)-1, "")</f>
        <v/>
      </c>
      <c r="H54" s="1" t="str">
        <f>IF(Person2!$B$10+ROW(B52)-1&lt;=Person2!$C$10, Person2!$B$10+ROW(B52)-1, "")</f>
        <v/>
      </c>
      <c r="I54" s="1" t="str">
        <f>IF(Person2!$B$11+ROW(B52)-1&lt;=Person2!$C$11, Person2!$B$11+ROW(B52)-1, "")</f>
        <v/>
      </c>
      <c r="J54" s="1" t="str">
        <f>IF(Person2!$B$12+ROW(B52)-1&lt;=Person2!$C$12, Person2!$B$12+ROW(B52)-1, "")</f>
        <v/>
      </c>
      <c r="K54" s="1" t="str">
        <f>IF(Person2!$B$13+ROW(B52)-1&lt;=Person2!$C$13, Person2!$B$13+ROW(B52)-1, "")</f>
        <v/>
      </c>
      <c r="L54" s="1" t="str">
        <f>IF(Person2!$B$14+ROW(B52)-1&lt;=Person2!$C$14, Person2!$B$14+ROW(B52)-1, "")</f>
        <v/>
      </c>
      <c r="M54" s="1" t="str">
        <f>IF(Person2!$B$15+ROW(B52)-1&lt;=Person2!$C$15, Person2!$B$15+ROW(B52)-1, "")</f>
        <v/>
      </c>
      <c r="N54" s="1" t="str">
        <f>IF(Person2!$B$16+ROW(B52)-1&lt;=Person2!$C$16, Person2!$B$16+ROW(B52)-1, "")</f>
        <v/>
      </c>
      <c r="O54" s="1" t="str">
        <f>IF(Person2!$B$17+ROW(B52)-1&lt;=Person2!$C$17, Person2!$B$17+ROW(B52)-1, "")</f>
        <v/>
      </c>
      <c r="V54" s="1" t="str">
        <f>IF(Person2!$D$3+ROW(A52)-1&lt;=Person2!$E$3, Person2!$D$3+ROW(A52)-1, "")</f>
        <v/>
      </c>
      <c r="W54" s="1" t="str">
        <f>IF(Person2!$D$4+ROW(A52)-1&lt;=Person2!$E$4, Person2!$D$4+ROW(A52)-1, "")</f>
        <v/>
      </c>
      <c r="X54" s="1" t="str">
        <f>IF(Person2!$D$5+ROW(A52)-1&lt;=Person2!$E$5, Person2!$D$5+ROW(A52)-1, "")</f>
        <v/>
      </c>
      <c r="Y54" s="1" t="str">
        <f>IF(Person2!$D$6+ROW(A52)-1&lt;=Person2!$E$6, Person2!$D$6+ROW(A52)-1, "")</f>
        <v/>
      </c>
      <c r="Z54" s="1" t="str">
        <f>IF(Person2!$D$7+ROW(A52)-1&lt;=Person2!$E$7, Person2!$D$7+ROW(A52)-1, "")</f>
        <v/>
      </c>
      <c r="AA54" s="1" t="str">
        <f>IF(Person2!$D$8+ROW(A52)-1&lt;=Person2!$E$8, Person2!$D$8+ROW(A52)-1, "")</f>
        <v/>
      </c>
      <c r="AE54" s="1" t="str">
        <f>IF(Person2!$F$3+ROW(A52)-1&lt;=Person2!$G$3, Person2!$F$3+ROW(A52)-1, "")</f>
        <v/>
      </c>
      <c r="AF54" s="1" t="str">
        <f>IF(Person2!$F$4+ROW(A52)-1&lt;=Person2!$G$4, Person2!$F$4+ROW(A52)-1, "")</f>
        <v/>
      </c>
      <c r="AG54" s="1" t="str">
        <f>IF(Person2!$F$5+ROW(A52)-1&lt;=Person2!$G$5, Person2!$F$5+ROW(A52)-1, "")</f>
        <v/>
      </c>
      <c r="AH54" s="1" t="str">
        <f>IF(Person2!$F$6+ROW(A52)-1&lt;=Person2!$G$6, Person2!$F$6+ROW(A52)-1, "")</f>
        <v/>
      </c>
      <c r="AI54" s="1" t="str">
        <f>IF(Person2!$F$7+ROW(A52)-1&lt;=Person2!$G$7, Person2!$F$7+ROW(A52)-1, "")</f>
        <v/>
      </c>
    </row>
    <row r="55" spans="1:35" x14ac:dyDescent="0.3">
      <c r="A55" s="1" t="str">
        <f>IF(Person2!$B$3+ROW(A53)-1&lt;=Person2!$C$3, Person2!$B$3+ROW(A53)-1, "")</f>
        <v/>
      </c>
      <c r="B55" s="1" t="str">
        <f>IF(Person2!$B$4+ROW(B53)-1&lt;=Person2!$C$4, Person2!$B$4+ROW(B53)-1, "")</f>
        <v/>
      </c>
      <c r="C55" s="1" t="str">
        <f>IF(Person2!$B$5+ROW(B53)-1&lt;=Person2!$C$5, Person2!$B$5+ROW(B53)-1, "")</f>
        <v/>
      </c>
      <c r="D55" s="1" t="str">
        <f>IF(Person2!$B$6+ROW(B53)-1&lt;=Person2!$C$6, Person2!$B$6+ROW(B53)-1, "")</f>
        <v/>
      </c>
      <c r="E55" s="1" t="str">
        <f>IF(Person2!$B$7+ROW(B53)-1&lt;=Person2!$C$7, Person2!$B$7+ROW(B53)-1, "")</f>
        <v/>
      </c>
      <c r="F55" s="1" t="str">
        <f>IF(Person2!$B$8+ROW(B53)-1&lt;=Person2!$C$8, Person2!$B$8+ROW(B53)-1, "")</f>
        <v/>
      </c>
      <c r="G55" s="1" t="str">
        <f>IF(Person2!$B$9+ROW(B53)-1&lt;=Person2!$C$9, Person2!$B$9+ROW(B53)-1, "")</f>
        <v/>
      </c>
      <c r="H55" s="1" t="str">
        <f>IF(Person2!$B$10+ROW(B53)-1&lt;=Person2!$C$10, Person2!$B$10+ROW(B53)-1, "")</f>
        <v/>
      </c>
      <c r="I55" s="1" t="str">
        <f>IF(Person2!$B$11+ROW(B53)-1&lt;=Person2!$C$11, Person2!$B$11+ROW(B53)-1, "")</f>
        <v/>
      </c>
      <c r="J55" s="1" t="str">
        <f>IF(Person2!$B$12+ROW(B53)-1&lt;=Person2!$C$12, Person2!$B$12+ROW(B53)-1, "")</f>
        <v/>
      </c>
      <c r="K55" s="1" t="str">
        <f>IF(Person2!$B$13+ROW(B53)-1&lt;=Person2!$C$13, Person2!$B$13+ROW(B53)-1, "")</f>
        <v/>
      </c>
      <c r="L55" s="1" t="str">
        <f>IF(Person2!$B$14+ROW(B53)-1&lt;=Person2!$C$14, Person2!$B$14+ROW(B53)-1, "")</f>
        <v/>
      </c>
      <c r="M55" s="1" t="str">
        <f>IF(Person2!$B$15+ROW(B53)-1&lt;=Person2!$C$15, Person2!$B$15+ROW(B53)-1, "")</f>
        <v/>
      </c>
      <c r="N55" s="1" t="str">
        <f>IF(Person2!$B$16+ROW(B53)-1&lt;=Person2!$C$16, Person2!$B$16+ROW(B53)-1, "")</f>
        <v/>
      </c>
      <c r="O55" s="1" t="str">
        <f>IF(Person2!$B$17+ROW(B53)-1&lt;=Person2!$C$17, Person2!$B$17+ROW(B53)-1, "")</f>
        <v/>
      </c>
      <c r="V55" s="1" t="str">
        <f>IF(Person2!$D$3+ROW(A53)-1&lt;=Person2!$E$3, Person2!$D$3+ROW(A53)-1, "")</f>
        <v/>
      </c>
      <c r="W55" s="1" t="str">
        <f>IF(Person2!$D$4+ROW(A53)-1&lt;=Person2!$E$4, Person2!$D$4+ROW(A53)-1, "")</f>
        <v/>
      </c>
      <c r="X55" s="1" t="str">
        <f>IF(Person2!$D$5+ROW(A53)-1&lt;=Person2!$E$5, Person2!$D$5+ROW(A53)-1, "")</f>
        <v/>
      </c>
      <c r="Y55" s="1" t="str">
        <f>IF(Person2!$D$6+ROW(A53)-1&lt;=Person2!$E$6, Person2!$D$6+ROW(A53)-1, "")</f>
        <v/>
      </c>
      <c r="Z55" s="1" t="str">
        <f>IF(Person2!$D$7+ROW(A53)-1&lt;=Person2!$E$7, Person2!$D$7+ROW(A53)-1, "")</f>
        <v/>
      </c>
      <c r="AA55" s="1" t="str">
        <f>IF(Person2!$D$8+ROW(A53)-1&lt;=Person2!$E$8, Person2!$D$8+ROW(A53)-1, "")</f>
        <v/>
      </c>
      <c r="AE55" s="1" t="str">
        <f>IF(Person2!$F$3+ROW(A53)-1&lt;=Person2!$G$3, Person2!$F$3+ROW(A53)-1, "")</f>
        <v/>
      </c>
      <c r="AF55" s="1" t="str">
        <f>IF(Person2!$F$4+ROW(A53)-1&lt;=Person2!$G$4, Person2!$F$4+ROW(A53)-1, "")</f>
        <v/>
      </c>
      <c r="AG55" s="1" t="str">
        <f>IF(Person2!$F$5+ROW(A53)-1&lt;=Person2!$G$5, Person2!$F$5+ROW(A53)-1, "")</f>
        <v/>
      </c>
      <c r="AH55" s="1" t="str">
        <f>IF(Person2!$F$6+ROW(A53)-1&lt;=Person2!$G$6, Person2!$F$6+ROW(A53)-1, "")</f>
        <v/>
      </c>
      <c r="AI55" s="1" t="str">
        <f>IF(Person2!$F$7+ROW(A53)-1&lt;=Person2!$G$7, Person2!$F$7+ROW(A53)-1, "")</f>
        <v/>
      </c>
    </row>
    <row r="56" spans="1:35" x14ac:dyDescent="0.3">
      <c r="A56" s="1" t="str">
        <f>IF(Person2!$B$3+ROW(A54)-1&lt;=Person2!$C$3, Person2!$B$3+ROW(A54)-1, "")</f>
        <v/>
      </c>
      <c r="B56" s="1" t="str">
        <f>IF(Person2!$B$4+ROW(B54)-1&lt;=Person2!$C$4, Person2!$B$4+ROW(B54)-1, "")</f>
        <v/>
      </c>
      <c r="C56" s="1" t="str">
        <f>IF(Person2!$B$5+ROW(B54)-1&lt;=Person2!$C$5, Person2!$B$5+ROW(B54)-1, "")</f>
        <v/>
      </c>
      <c r="D56" s="1" t="str">
        <f>IF(Person2!$B$6+ROW(B54)-1&lt;=Person2!$C$6, Person2!$B$6+ROW(B54)-1, "")</f>
        <v/>
      </c>
      <c r="E56" s="1" t="str">
        <f>IF(Person2!$B$7+ROW(B54)-1&lt;=Person2!$C$7, Person2!$B$7+ROW(B54)-1, "")</f>
        <v/>
      </c>
      <c r="F56" s="1" t="str">
        <f>IF(Person2!$B$8+ROW(B54)-1&lt;=Person2!$C$8, Person2!$B$8+ROW(B54)-1, "")</f>
        <v/>
      </c>
      <c r="G56" s="1" t="str">
        <f>IF(Person2!$B$9+ROW(B54)-1&lt;=Person2!$C$9, Person2!$B$9+ROW(B54)-1, "")</f>
        <v/>
      </c>
      <c r="H56" s="1" t="str">
        <f>IF(Person2!$B$10+ROW(B54)-1&lt;=Person2!$C$10, Person2!$B$10+ROW(B54)-1, "")</f>
        <v/>
      </c>
      <c r="I56" s="1" t="str">
        <f>IF(Person2!$B$11+ROW(B54)-1&lt;=Person2!$C$11, Person2!$B$11+ROW(B54)-1, "")</f>
        <v/>
      </c>
      <c r="J56" s="1" t="str">
        <f>IF(Person2!$B$12+ROW(B54)-1&lt;=Person2!$C$12, Person2!$B$12+ROW(B54)-1, "")</f>
        <v/>
      </c>
      <c r="K56" s="1" t="str">
        <f>IF(Person2!$B$13+ROW(B54)-1&lt;=Person2!$C$13, Person2!$B$13+ROW(B54)-1, "")</f>
        <v/>
      </c>
      <c r="L56" s="1" t="str">
        <f>IF(Person2!$B$14+ROW(B54)-1&lt;=Person2!$C$14, Person2!$B$14+ROW(B54)-1, "")</f>
        <v/>
      </c>
      <c r="M56" s="1" t="str">
        <f>IF(Person2!$B$15+ROW(B54)-1&lt;=Person2!$C$15, Person2!$B$15+ROW(B54)-1, "")</f>
        <v/>
      </c>
      <c r="N56" s="1" t="str">
        <f>IF(Person2!$B$16+ROW(B54)-1&lt;=Person2!$C$16, Person2!$B$16+ROW(B54)-1, "")</f>
        <v/>
      </c>
      <c r="O56" s="1" t="str">
        <f>IF(Person2!$B$17+ROW(B54)-1&lt;=Person2!$C$17, Person2!$B$17+ROW(B54)-1, "")</f>
        <v/>
      </c>
      <c r="V56" s="1" t="str">
        <f>IF(Person2!$D$3+ROW(A54)-1&lt;=Person2!$E$3, Person2!$D$3+ROW(A54)-1, "")</f>
        <v/>
      </c>
      <c r="W56" s="1" t="str">
        <f>IF(Person2!$D$4+ROW(A54)-1&lt;=Person2!$E$4, Person2!$D$4+ROW(A54)-1, "")</f>
        <v/>
      </c>
      <c r="X56" s="1" t="str">
        <f>IF(Person2!$D$5+ROW(A54)-1&lt;=Person2!$E$5, Person2!$D$5+ROW(A54)-1, "")</f>
        <v/>
      </c>
      <c r="Y56" s="1" t="str">
        <f>IF(Person2!$D$6+ROW(A54)-1&lt;=Person2!$E$6, Person2!$D$6+ROW(A54)-1, "")</f>
        <v/>
      </c>
      <c r="Z56" s="1" t="str">
        <f>IF(Person2!$D$7+ROW(A54)-1&lt;=Person2!$E$7, Person2!$D$7+ROW(A54)-1, "")</f>
        <v/>
      </c>
      <c r="AA56" s="1" t="str">
        <f>IF(Person2!$D$8+ROW(A54)-1&lt;=Person2!$E$8, Person2!$D$8+ROW(A54)-1, "")</f>
        <v/>
      </c>
      <c r="AE56" s="1" t="str">
        <f>IF(Person2!$F$3+ROW(A54)-1&lt;=Person2!$G$3, Person2!$F$3+ROW(A54)-1, "")</f>
        <v/>
      </c>
      <c r="AF56" s="1" t="str">
        <f>IF(Person2!$F$4+ROW(A54)-1&lt;=Person2!$G$4, Person2!$F$4+ROW(A54)-1, "")</f>
        <v/>
      </c>
      <c r="AG56" s="1" t="str">
        <f>IF(Person2!$F$5+ROW(A54)-1&lt;=Person2!$G$5, Person2!$F$5+ROW(A54)-1, "")</f>
        <v/>
      </c>
      <c r="AH56" s="1" t="str">
        <f>IF(Person2!$F$6+ROW(A54)-1&lt;=Person2!$G$6, Person2!$F$6+ROW(A54)-1, "")</f>
        <v/>
      </c>
      <c r="AI56" s="1" t="str">
        <f>IF(Person2!$F$7+ROW(A54)-1&lt;=Person2!$G$7, Person2!$F$7+ROW(A54)-1, "")</f>
        <v/>
      </c>
    </row>
    <row r="57" spans="1:35" x14ac:dyDescent="0.3">
      <c r="A57" s="1" t="str">
        <f>IF(Person2!$B$3+ROW(A55)-1&lt;=Person2!$C$3, Person2!$B$3+ROW(A55)-1, "")</f>
        <v/>
      </c>
      <c r="B57" s="1" t="str">
        <f>IF(Person2!$B$4+ROW(B55)-1&lt;=Person2!$C$4, Person2!$B$4+ROW(B55)-1, "")</f>
        <v/>
      </c>
      <c r="C57" s="1" t="str">
        <f>IF(Person2!$B$5+ROW(B55)-1&lt;=Person2!$C$5, Person2!$B$5+ROW(B55)-1, "")</f>
        <v/>
      </c>
      <c r="D57" s="1" t="str">
        <f>IF(Person2!$B$6+ROW(B55)-1&lt;=Person2!$C$6, Person2!$B$6+ROW(B55)-1, "")</f>
        <v/>
      </c>
      <c r="E57" s="1" t="str">
        <f>IF(Person2!$B$7+ROW(B55)-1&lt;=Person2!$C$7, Person2!$B$7+ROW(B55)-1, "")</f>
        <v/>
      </c>
      <c r="F57" s="1" t="str">
        <f>IF(Person2!$B$8+ROW(B55)-1&lt;=Person2!$C$8, Person2!$B$8+ROW(B55)-1, "")</f>
        <v/>
      </c>
      <c r="G57" s="1" t="str">
        <f>IF(Person2!$B$9+ROW(B55)-1&lt;=Person2!$C$9, Person2!$B$9+ROW(B55)-1, "")</f>
        <v/>
      </c>
      <c r="H57" s="1" t="str">
        <f>IF(Person2!$B$10+ROW(B55)-1&lt;=Person2!$C$10, Person2!$B$10+ROW(B55)-1, "")</f>
        <v/>
      </c>
      <c r="I57" s="1" t="str">
        <f>IF(Person2!$B$11+ROW(B55)-1&lt;=Person2!$C$11, Person2!$B$11+ROW(B55)-1, "")</f>
        <v/>
      </c>
      <c r="J57" s="1" t="str">
        <f>IF(Person2!$B$12+ROW(B55)-1&lt;=Person2!$C$12, Person2!$B$12+ROW(B55)-1, "")</f>
        <v/>
      </c>
      <c r="K57" s="1" t="str">
        <f>IF(Person2!$B$13+ROW(B55)-1&lt;=Person2!$C$13, Person2!$B$13+ROW(B55)-1, "")</f>
        <v/>
      </c>
      <c r="L57" s="1" t="str">
        <f>IF(Person2!$B$14+ROW(B55)-1&lt;=Person2!$C$14, Person2!$B$14+ROW(B55)-1, "")</f>
        <v/>
      </c>
      <c r="M57" s="1" t="str">
        <f>IF(Person2!$B$15+ROW(B55)-1&lt;=Person2!$C$15, Person2!$B$15+ROW(B55)-1, "")</f>
        <v/>
      </c>
      <c r="N57" s="1" t="str">
        <f>IF(Person2!$B$16+ROW(B55)-1&lt;=Person2!$C$16, Person2!$B$16+ROW(B55)-1, "")</f>
        <v/>
      </c>
      <c r="O57" s="1" t="str">
        <f>IF(Person2!$B$17+ROW(B55)-1&lt;=Person2!$C$17, Person2!$B$17+ROW(B55)-1, "")</f>
        <v/>
      </c>
      <c r="V57" s="1" t="str">
        <f>IF(Person2!$D$3+ROW(A55)-1&lt;=Person2!$E$3, Person2!$D$3+ROW(A55)-1, "")</f>
        <v/>
      </c>
      <c r="W57" s="1" t="str">
        <f>IF(Person2!$D$4+ROW(A55)-1&lt;=Person2!$E$4, Person2!$D$4+ROW(A55)-1, "")</f>
        <v/>
      </c>
      <c r="X57" s="1" t="str">
        <f>IF(Person2!$D$5+ROW(A55)-1&lt;=Person2!$E$5, Person2!$D$5+ROW(A55)-1, "")</f>
        <v/>
      </c>
      <c r="Y57" s="1" t="str">
        <f>IF(Person2!$D$6+ROW(A55)-1&lt;=Person2!$E$6, Person2!$D$6+ROW(A55)-1, "")</f>
        <v/>
      </c>
      <c r="Z57" s="1" t="str">
        <f>IF(Person2!$D$7+ROW(A55)-1&lt;=Person2!$E$7, Person2!$D$7+ROW(A55)-1, "")</f>
        <v/>
      </c>
      <c r="AA57" s="1" t="str">
        <f>IF(Person2!$D$8+ROW(A55)-1&lt;=Person2!$E$8, Person2!$D$8+ROW(A55)-1, "")</f>
        <v/>
      </c>
      <c r="AE57" s="1" t="str">
        <f>IF(Person2!$F$3+ROW(A55)-1&lt;=Person2!$G$3, Person2!$F$3+ROW(A55)-1, "")</f>
        <v/>
      </c>
      <c r="AF57" s="1" t="str">
        <f>IF(Person2!$F$4+ROW(A55)-1&lt;=Person2!$G$4, Person2!$F$4+ROW(A55)-1, "")</f>
        <v/>
      </c>
      <c r="AG57" s="1" t="str">
        <f>IF(Person2!$F$5+ROW(A55)-1&lt;=Person2!$G$5, Person2!$F$5+ROW(A55)-1, "")</f>
        <v/>
      </c>
      <c r="AH57" s="1" t="str">
        <f>IF(Person2!$F$6+ROW(A55)-1&lt;=Person2!$G$6, Person2!$F$6+ROW(A55)-1, "")</f>
        <v/>
      </c>
      <c r="AI57" s="1" t="str">
        <f>IF(Person2!$F$7+ROW(A55)-1&lt;=Person2!$G$7, Person2!$F$7+ROW(A55)-1, "")</f>
        <v/>
      </c>
    </row>
    <row r="58" spans="1:35" x14ac:dyDescent="0.3">
      <c r="A58" s="1" t="str">
        <f>IF(Person2!$B$3+ROW(A56)-1&lt;=Person2!$C$3, Person2!$B$3+ROW(A56)-1, "")</f>
        <v/>
      </c>
      <c r="B58" s="1" t="str">
        <f>IF(Person2!$B$4+ROW(B56)-1&lt;=Person2!$C$4, Person2!$B$4+ROW(B56)-1, "")</f>
        <v/>
      </c>
      <c r="C58" s="1" t="str">
        <f>IF(Person2!$B$5+ROW(B56)-1&lt;=Person2!$C$5, Person2!$B$5+ROW(B56)-1, "")</f>
        <v/>
      </c>
      <c r="D58" s="1" t="str">
        <f>IF(Person2!$B$6+ROW(B56)-1&lt;=Person2!$C$6, Person2!$B$6+ROW(B56)-1, "")</f>
        <v/>
      </c>
      <c r="E58" s="1" t="str">
        <f>IF(Person2!$B$7+ROW(B56)-1&lt;=Person2!$C$7, Person2!$B$7+ROW(B56)-1, "")</f>
        <v/>
      </c>
      <c r="F58" s="1" t="str">
        <f>IF(Person2!$B$8+ROW(B56)-1&lt;=Person2!$C$8, Person2!$B$8+ROW(B56)-1, "")</f>
        <v/>
      </c>
      <c r="G58" s="1" t="str">
        <f>IF(Person2!$B$9+ROW(B56)-1&lt;=Person2!$C$9, Person2!$B$9+ROW(B56)-1, "")</f>
        <v/>
      </c>
      <c r="H58" s="1" t="str">
        <f>IF(Person2!$B$10+ROW(B56)-1&lt;=Person2!$C$10, Person2!$B$10+ROW(B56)-1, "")</f>
        <v/>
      </c>
      <c r="I58" s="1" t="str">
        <f>IF(Person2!$B$11+ROW(B56)-1&lt;=Person2!$C$11, Person2!$B$11+ROW(B56)-1, "")</f>
        <v/>
      </c>
      <c r="J58" s="1" t="str">
        <f>IF(Person2!$B$12+ROW(B56)-1&lt;=Person2!$C$12, Person2!$B$12+ROW(B56)-1, "")</f>
        <v/>
      </c>
      <c r="K58" s="1" t="str">
        <f>IF(Person2!$B$13+ROW(B56)-1&lt;=Person2!$C$13, Person2!$B$13+ROW(B56)-1, "")</f>
        <v/>
      </c>
      <c r="L58" s="1" t="str">
        <f>IF(Person2!$B$14+ROW(B56)-1&lt;=Person2!$C$14, Person2!$B$14+ROW(B56)-1, "")</f>
        <v/>
      </c>
      <c r="M58" s="1" t="str">
        <f>IF(Person2!$B$15+ROW(B56)-1&lt;=Person2!$C$15, Person2!$B$15+ROW(B56)-1, "")</f>
        <v/>
      </c>
      <c r="N58" s="1" t="str">
        <f>IF(Person2!$B$16+ROW(B56)-1&lt;=Person2!$C$16, Person2!$B$16+ROW(B56)-1, "")</f>
        <v/>
      </c>
      <c r="O58" s="1" t="str">
        <f>IF(Person2!$B$17+ROW(B56)-1&lt;=Person2!$C$17, Person2!$B$17+ROW(B56)-1, "")</f>
        <v/>
      </c>
      <c r="V58" s="1" t="str">
        <f>IF(Person2!$D$3+ROW(A56)-1&lt;=Person2!$E$3, Person2!$D$3+ROW(A56)-1, "")</f>
        <v/>
      </c>
      <c r="W58" s="1" t="str">
        <f>IF(Person2!$D$4+ROW(A56)-1&lt;=Person2!$E$4, Person2!$D$4+ROW(A56)-1, "")</f>
        <v/>
      </c>
      <c r="X58" s="1" t="str">
        <f>IF(Person2!$D$5+ROW(A56)-1&lt;=Person2!$E$5, Person2!$D$5+ROW(A56)-1, "")</f>
        <v/>
      </c>
      <c r="Y58" s="1" t="str">
        <f>IF(Person2!$D$6+ROW(A56)-1&lt;=Person2!$E$6, Person2!$D$6+ROW(A56)-1, "")</f>
        <v/>
      </c>
      <c r="Z58" s="1" t="str">
        <f>IF(Person2!$D$7+ROW(A56)-1&lt;=Person2!$E$7, Person2!$D$7+ROW(A56)-1, "")</f>
        <v/>
      </c>
      <c r="AA58" s="1" t="str">
        <f>IF(Person2!$D$8+ROW(A56)-1&lt;=Person2!$E$8, Person2!$D$8+ROW(A56)-1, "")</f>
        <v/>
      </c>
      <c r="AE58" s="1" t="str">
        <f>IF(Person2!$F$3+ROW(A56)-1&lt;=Person2!$G$3, Person2!$F$3+ROW(A56)-1, "")</f>
        <v/>
      </c>
      <c r="AF58" s="1" t="str">
        <f>IF(Person2!$F$4+ROW(A56)-1&lt;=Person2!$G$4, Person2!$F$4+ROW(A56)-1, "")</f>
        <v/>
      </c>
      <c r="AG58" s="1" t="str">
        <f>IF(Person2!$F$5+ROW(A56)-1&lt;=Person2!$G$5, Person2!$F$5+ROW(A56)-1, "")</f>
        <v/>
      </c>
      <c r="AH58" s="1" t="str">
        <f>IF(Person2!$F$6+ROW(A56)-1&lt;=Person2!$G$6, Person2!$F$6+ROW(A56)-1, "")</f>
        <v/>
      </c>
      <c r="AI58" s="1" t="str">
        <f>IF(Person2!$F$7+ROW(A56)-1&lt;=Person2!$G$7, Person2!$F$7+ROW(A56)-1, "")</f>
        <v/>
      </c>
    </row>
    <row r="59" spans="1:35" x14ac:dyDescent="0.3">
      <c r="A59" s="1" t="str">
        <f>IF(Person2!$B$3+ROW(A57)-1&lt;=Person2!$C$3, Person2!$B$3+ROW(A57)-1, "")</f>
        <v/>
      </c>
      <c r="B59" s="1" t="str">
        <f>IF(Person2!$B$4+ROW(B57)-1&lt;=Person2!$C$4, Person2!$B$4+ROW(B57)-1, "")</f>
        <v/>
      </c>
      <c r="C59" s="1" t="str">
        <f>IF(Person2!$B$5+ROW(B57)-1&lt;=Person2!$C$5, Person2!$B$5+ROW(B57)-1, "")</f>
        <v/>
      </c>
      <c r="D59" s="1" t="str">
        <f>IF(Person2!$B$6+ROW(B57)-1&lt;=Person2!$C$6, Person2!$B$6+ROW(B57)-1, "")</f>
        <v/>
      </c>
      <c r="E59" s="1" t="str">
        <f>IF(Person2!$B$7+ROW(B57)-1&lt;=Person2!$C$7, Person2!$B$7+ROW(B57)-1, "")</f>
        <v/>
      </c>
      <c r="F59" s="1" t="str">
        <f>IF(Person2!$B$8+ROW(B57)-1&lt;=Person2!$C$8, Person2!$B$8+ROW(B57)-1, "")</f>
        <v/>
      </c>
      <c r="G59" s="1" t="str">
        <f>IF(Person2!$B$9+ROW(B57)-1&lt;=Person2!$C$9, Person2!$B$9+ROW(B57)-1, "")</f>
        <v/>
      </c>
      <c r="H59" s="1" t="str">
        <f>IF(Person2!$B$10+ROW(B57)-1&lt;=Person2!$C$10, Person2!$B$10+ROW(B57)-1, "")</f>
        <v/>
      </c>
      <c r="I59" s="1" t="str">
        <f>IF(Person2!$B$11+ROW(B57)-1&lt;=Person2!$C$11, Person2!$B$11+ROW(B57)-1, "")</f>
        <v/>
      </c>
      <c r="J59" s="1" t="str">
        <f>IF(Person2!$B$12+ROW(B57)-1&lt;=Person2!$C$12, Person2!$B$12+ROW(B57)-1, "")</f>
        <v/>
      </c>
      <c r="K59" s="1" t="str">
        <f>IF(Person2!$B$13+ROW(B57)-1&lt;=Person2!$C$13, Person2!$B$13+ROW(B57)-1, "")</f>
        <v/>
      </c>
      <c r="L59" s="1" t="str">
        <f>IF(Person2!$B$14+ROW(B57)-1&lt;=Person2!$C$14, Person2!$B$14+ROW(B57)-1, "")</f>
        <v/>
      </c>
      <c r="M59" s="1" t="str">
        <f>IF(Person2!$B$15+ROW(B57)-1&lt;=Person2!$C$15, Person2!$B$15+ROW(B57)-1, "")</f>
        <v/>
      </c>
      <c r="N59" s="1" t="str">
        <f>IF(Person2!$B$16+ROW(B57)-1&lt;=Person2!$C$16, Person2!$B$16+ROW(B57)-1, "")</f>
        <v/>
      </c>
      <c r="O59" s="1" t="str">
        <f>IF(Person2!$B$17+ROW(B57)-1&lt;=Person2!$C$17, Person2!$B$17+ROW(B57)-1, "")</f>
        <v/>
      </c>
      <c r="V59" s="1" t="str">
        <f>IF(Person2!$D$3+ROW(A57)-1&lt;=Person2!$E$3, Person2!$D$3+ROW(A57)-1, "")</f>
        <v/>
      </c>
      <c r="W59" s="1" t="str">
        <f>IF(Person2!$D$4+ROW(A57)-1&lt;=Person2!$E$4, Person2!$D$4+ROW(A57)-1, "")</f>
        <v/>
      </c>
      <c r="X59" s="1" t="str">
        <f>IF(Person2!$D$5+ROW(A57)-1&lt;=Person2!$E$5, Person2!$D$5+ROW(A57)-1, "")</f>
        <v/>
      </c>
      <c r="Y59" s="1" t="str">
        <f>IF(Person2!$D$6+ROW(A57)-1&lt;=Person2!$E$6, Person2!$D$6+ROW(A57)-1, "")</f>
        <v/>
      </c>
      <c r="Z59" s="1" t="str">
        <f>IF(Person2!$D$7+ROW(A57)-1&lt;=Person2!$E$7, Person2!$D$7+ROW(A57)-1, "")</f>
        <v/>
      </c>
      <c r="AA59" s="1" t="str">
        <f>IF(Person2!$D$8+ROW(A57)-1&lt;=Person2!$E$8, Person2!$D$8+ROW(A57)-1, "")</f>
        <v/>
      </c>
      <c r="AE59" s="1" t="str">
        <f>IF(Person2!$F$3+ROW(A57)-1&lt;=Person2!$G$3, Person2!$F$3+ROW(A57)-1, "")</f>
        <v/>
      </c>
      <c r="AF59" s="1" t="str">
        <f>IF(Person2!$F$4+ROW(A57)-1&lt;=Person2!$G$4, Person2!$F$4+ROW(A57)-1, "")</f>
        <v/>
      </c>
      <c r="AG59" s="1" t="str">
        <f>IF(Person2!$F$5+ROW(A57)-1&lt;=Person2!$G$5, Person2!$F$5+ROW(A57)-1, "")</f>
        <v/>
      </c>
      <c r="AH59" s="1" t="str">
        <f>IF(Person2!$F$6+ROW(A57)-1&lt;=Person2!$G$6, Person2!$F$6+ROW(A57)-1, "")</f>
        <v/>
      </c>
      <c r="AI59" s="1" t="str">
        <f>IF(Person2!$F$7+ROW(A57)-1&lt;=Person2!$G$7, Person2!$F$7+ROW(A57)-1, "")</f>
        <v/>
      </c>
    </row>
    <row r="60" spans="1:35" x14ac:dyDescent="0.3">
      <c r="A60" s="1" t="str">
        <f>IF(Person2!$B$3+ROW(A58)-1&lt;=Person2!$C$3, Person2!$B$3+ROW(A58)-1, "")</f>
        <v/>
      </c>
      <c r="B60" s="1" t="str">
        <f>IF(Person2!$B$4+ROW(B58)-1&lt;=Person2!$C$4, Person2!$B$4+ROW(B58)-1, "")</f>
        <v/>
      </c>
      <c r="C60" s="1" t="str">
        <f>IF(Person2!$B$5+ROW(B58)-1&lt;=Person2!$C$5, Person2!$B$5+ROW(B58)-1, "")</f>
        <v/>
      </c>
      <c r="D60" s="1" t="str">
        <f>IF(Person2!$B$6+ROW(B58)-1&lt;=Person2!$C$6, Person2!$B$6+ROW(B58)-1, "")</f>
        <v/>
      </c>
      <c r="E60" s="1" t="str">
        <f>IF(Person2!$B$7+ROW(B58)-1&lt;=Person2!$C$7, Person2!$B$7+ROW(B58)-1, "")</f>
        <v/>
      </c>
      <c r="F60" s="1" t="str">
        <f>IF(Person2!$B$8+ROW(B58)-1&lt;=Person2!$C$8, Person2!$B$8+ROW(B58)-1, "")</f>
        <v/>
      </c>
      <c r="G60" s="1" t="str">
        <f>IF(Person2!$B$9+ROW(B58)-1&lt;=Person2!$C$9, Person2!$B$9+ROW(B58)-1, "")</f>
        <v/>
      </c>
      <c r="H60" s="1" t="str">
        <f>IF(Person2!$B$10+ROW(B58)-1&lt;=Person2!$C$10, Person2!$B$10+ROW(B58)-1, "")</f>
        <v/>
      </c>
      <c r="I60" s="1" t="str">
        <f>IF(Person2!$B$11+ROW(B58)-1&lt;=Person2!$C$11, Person2!$B$11+ROW(B58)-1, "")</f>
        <v/>
      </c>
      <c r="J60" s="1" t="str">
        <f>IF(Person2!$B$12+ROW(B58)-1&lt;=Person2!$C$12, Person2!$B$12+ROW(B58)-1, "")</f>
        <v/>
      </c>
      <c r="K60" s="1" t="str">
        <f>IF(Person2!$B$13+ROW(B58)-1&lt;=Person2!$C$13, Person2!$B$13+ROW(B58)-1, "")</f>
        <v/>
      </c>
      <c r="L60" s="1" t="str">
        <f>IF(Person2!$B$14+ROW(B58)-1&lt;=Person2!$C$14, Person2!$B$14+ROW(B58)-1, "")</f>
        <v/>
      </c>
      <c r="M60" s="1" t="str">
        <f>IF(Person2!$B$15+ROW(B58)-1&lt;=Person2!$C$15, Person2!$B$15+ROW(B58)-1, "")</f>
        <v/>
      </c>
      <c r="N60" s="1" t="str">
        <f>IF(Person2!$B$16+ROW(B58)-1&lt;=Person2!$C$16, Person2!$B$16+ROW(B58)-1, "")</f>
        <v/>
      </c>
      <c r="O60" s="1" t="str">
        <f>IF(Person2!$B$17+ROW(B58)-1&lt;=Person2!$C$17, Person2!$B$17+ROW(B58)-1, "")</f>
        <v/>
      </c>
      <c r="V60" s="1" t="str">
        <f>IF(Person2!$D$3+ROW(A58)-1&lt;=Person2!$E$3, Person2!$D$3+ROW(A58)-1, "")</f>
        <v/>
      </c>
      <c r="W60" s="1" t="str">
        <f>IF(Person2!$D$4+ROW(A58)-1&lt;=Person2!$E$4, Person2!$D$4+ROW(A58)-1, "")</f>
        <v/>
      </c>
      <c r="X60" s="1" t="str">
        <f>IF(Person2!$D$5+ROW(A58)-1&lt;=Person2!$E$5, Person2!$D$5+ROW(A58)-1, "")</f>
        <v/>
      </c>
      <c r="Y60" s="1" t="str">
        <f>IF(Person2!$D$6+ROW(A58)-1&lt;=Person2!$E$6, Person2!$D$6+ROW(A58)-1, "")</f>
        <v/>
      </c>
      <c r="Z60" s="1" t="str">
        <f>IF(Person2!$D$7+ROW(A58)-1&lt;=Person2!$E$7, Person2!$D$7+ROW(A58)-1, "")</f>
        <v/>
      </c>
      <c r="AA60" s="1" t="str">
        <f>IF(Person2!$D$8+ROW(A58)-1&lt;=Person2!$E$8, Person2!$D$8+ROW(A58)-1, "")</f>
        <v/>
      </c>
      <c r="AE60" s="1" t="str">
        <f>IF(Person2!$F$3+ROW(A58)-1&lt;=Person2!$G$3, Person2!$F$3+ROW(A58)-1, "")</f>
        <v/>
      </c>
      <c r="AF60" s="1" t="str">
        <f>IF(Person2!$F$4+ROW(A58)-1&lt;=Person2!$G$4, Person2!$F$4+ROW(A58)-1, "")</f>
        <v/>
      </c>
      <c r="AG60" s="1" t="str">
        <f>IF(Person2!$F$5+ROW(A58)-1&lt;=Person2!$G$5, Person2!$F$5+ROW(A58)-1, "")</f>
        <v/>
      </c>
      <c r="AH60" s="1" t="str">
        <f>IF(Person2!$F$6+ROW(A58)-1&lt;=Person2!$G$6, Person2!$F$6+ROW(A58)-1, "")</f>
        <v/>
      </c>
      <c r="AI60" s="1" t="str">
        <f>IF(Person2!$F$7+ROW(A58)-1&lt;=Person2!$G$7, Person2!$F$7+ROW(A58)-1, "")</f>
        <v/>
      </c>
    </row>
    <row r="61" spans="1:35" x14ac:dyDescent="0.3">
      <c r="A61" s="1" t="str">
        <f>IF(Person2!$B$3+ROW(A59)-1&lt;=Person2!$C$3, Person2!$B$3+ROW(A59)-1, "")</f>
        <v/>
      </c>
      <c r="B61" s="1" t="str">
        <f>IF(Person2!$B$4+ROW(B59)-1&lt;=Person2!$C$4, Person2!$B$4+ROW(B59)-1, "")</f>
        <v/>
      </c>
      <c r="C61" s="1" t="str">
        <f>IF(Person2!$B$5+ROW(B59)-1&lt;=Person2!$C$5, Person2!$B$5+ROW(B59)-1, "")</f>
        <v/>
      </c>
      <c r="D61" s="1" t="str">
        <f>IF(Person2!$B$6+ROW(B59)-1&lt;=Person2!$C$6, Person2!$B$6+ROW(B59)-1, "")</f>
        <v/>
      </c>
      <c r="E61" s="1" t="str">
        <f>IF(Person2!$B$7+ROW(B59)-1&lt;=Person2!$C$7, Person2!$B$7+ROW(B59)-1, "")</f>
        <v/>
      </c>
      <c r="F61" s="1" t="str">
        <f>IF(Person2!$B$8+ROW(B59)-1&lt;=Person2!$C$8, Person2!$B$8+ROW(B59)-1, "")</f>
        <v/>
      </c>
      <c r="G61" s="1" t="str">
        <f>IF(Person2!$B$9+ROW(B59)-1&lt;=Person2!$C$9, Person2!$B$9+ROW(B59)-1, "")</f>
        <v/>
      </c>
      <c r="H61" s="1" t="str">
        <f>IF(Person2!$B$10+ROW(B59)-1&lt;=Person2!$C$10, Person2!$B$10+ROW(B59)-1, "")</f>
        <v/>
      </c>
      <c r="I61" s="1" t="str">
        <f>IF(Person2!$B$11+ROW(B59)-1&lt;=Person2!$C$11, Person2!$B$11+ROW(B59)-1, "")</f>
        <v/>
      </c>
      <c r="J61" s="1" t="str">
        <f>IF(Person2!$B$12+ROW(B59)-1&lt;=Person2!$C$12, Person2!$B$12+ROW(B59)-1, "")</f>
        <v/>
      </c>
      <c r="K61" s="1" t="str">
        <f>IF(Person2!$B$13+ROW(B59)-1&lt;=Person2!$C$13, Person2!$B$13+ROW(B59)-1, "")</f>
        <v/>
      </c>
      <c r="L61" s="1" t="str">
        <f>IF(Person2!$B$14+ROW(B59)-1&lt;=Person2!$C$14, Person2!$B$14+ROW(B59)-1, "")</f>
        <v/>
      </c>
      <c r="M61" s="1" t="str">
        <f>IF(Person2!$B$15+ROW(B59)-1&lt;=Person2!$C$15, Person2!$B$15+ROW(B59)-1, "")</f>
        <v/>
      </c>
      <c r="N61" s="1" t="str">
        <f>IF(Person2!$B$16+ROW(B59)-1&lt;=Person2!$C$16, Person2!$B$16+ROW(B59)-1, "")</f>
        <v/>
      </c>
      <c r="O61" s="1" t="str">
        <f>IF(Person2!$B$17+ROW(B59)-1&lt;=Person2!$C$17, Person2!$B$17+ROW(B59)-1, "")</f>
        <v/>
      </c>
      <c r="V61" s="1" t="str">
        <f>IF(Person2!$D$3+ROW(A59)-1&lt;=Person2!$E$3, Person2!$D$3+ROW(A59)-1, "")</f>
        <v/>
      </c>
      <c r="W61" s="1" t="str">
        <f>IF(Person2!$D$4+ROW(A59)-1&lt;=Person2!$E$4, Person2!$D$4+ROW(A59)-1, "")</f>
        <v/>
      </c>
      <c r="X61" s="1" t="str">
        <f>IF(Person2!$D$5+ROW(A59)-1&lt;=Person2!$E$5, Person2!$D$5+ROW(A59)-1, "")</f>
        <v/>
      </c>
      <c r="Y61" s="1" t="str">
        <f>IF(Person2!$D$6+ROW(A59)-1&lt;=Person2!$E$6, Person2!$D$6+ROW(A59)-1, "")</f>
        <v/>
      </c>
      <c r="Z61" s="1" t="str">
        <f>IF(Person2!$D$7+ROW(A59)-1&lt;=Person2!$E$7, Person2!$D$7+ROW(A59)-1, "")</f>
        <v/>
      </c>
      <c r="AA61" s="1" t="str">
        <f>IF(Person2!$D$8+ROW(A59)-1&lt;=Person2!$E$8, Person2!$D$8+ROW(A59)-1, "")</f>
        <v/>
      </c>
      <c r="AE61" s="1" t="str">
        <f>IF(Person2!$F$3+ROW(A59)-1&lt;=Person2!$G$3, Person2!$F$3+ROW(A59)-1, "")</f>
        <v/>
      </c>
      <c r="AF61" s="1" t="str">
        <f>IF(Person2!$F$4+ROW(A59)-1&lt;=Person2!$G$4, Person2!$F$4+ROW(A59)-1, "")</f>
        <v/>
      </c>
      <c r="AG61" s="1" t="str">
        <f>IF(Person2!$F$5+ROW(A59)-1&lt;=Person2!$G$5, Person2!$F$5+ROW(A59)-1, "")</f>
        <v/>
      </c>
      <c r="AH61" s="1" t="str">
        <f>IF(Person2!$F$6+ROW(A59)-1&lt;=Person2!$G$6, Person2!$F$6+ROW(A59)-1, "")</f>
        <v/>
      </c>
      <c r="AI61" s="1" t="str">
        <f>IF(Person2!$F$7+ROW(A59)-1&lt;=Person2!$G$7, Person2!$F$7+ROW(A59)-1, "")</f>
        <v/>
      </c>
    </row>
    <row r="62" spans="1:35" x14ac:dyDescent="0.3">
      <c r="A62" s="1" t="str">
        <f>IF(Person2!$B$3+ROW(A60)-1&lt;=Person2!$C$3, Person2!$B$3+ROW(A60)-1, "")</f>
        <v/>
      </c>
      <c r="B62" s="1" t="str">
        <f>IF(Person2!$B$4+ROW(B60)-1&lt;=Person2!$C$4, Person2!$B$4+ROW(B60)-1, "")</f>
        <v/>
      </c>
      <c r="C62" s="1" t="str">
        <f>IF(Person2!$B$5+ROW(B60)-1&lt;=Person2!$C$5, Person2!$B$5+ROW(B60)-1, "")</f>
        <v/>
      </c>
      <c r="D62" s="1" t="str">
        <f>IF(Person2!$B$6+ROW(B60)-1&lt;=Person2!$C$6, Person2!$B$6+ROW(B60)-1, "")</f>
        <v/>
      </c>
      <c r="E62" s="1" t="str">
        <f>IF(Person2!$B$7+ROW(B60)-1&lt;=Person2!$C$7, Person2!$B$7+ROW(B60)-1, "")</f>
        <v/>
      </c>
      <c r="F62" s="1" t="str">
        <f>IF(Person2!$B$8+ROW(B60)-1&lt;=Person2!$C$8, Person2!$B$8+ROW(B60)-1, "")</f>
        <v/>
      </c>
      <c r="G62" s="1" t="str">
        <f>IF(Person2!$B$9+ROW(B60)-1&lt;=Person2!$C$9, Person2!$B$9+ROW(B60)-1, "")</f>
        <v/>
      </c>
      <c r="H62" s="1" t="str">
        <f>IF(Person2!$B$10+ROW(B60)-1&lt;=Person2!$C$10, Person2!$B$10+ROW(B60)-1, "")</f>
        <v/>
      </c>
      <c r="I62" s="1" t="str">
        <f>IF(Person2!$B$11+ROW(B60)-1&lt;=Person2!$C$11, Person2!$B$11+ROW(B60)-1, "")</f>
        <v/>
      </c>
      <c r="J62" s="1" t="str">
        <f>IF(Person2!$B$12+ROW(B60)-1&lt;=Person2!$C$12, Person2!$B$12+ROW(B60)-1, "")</f>
        <v/>
      </c>
      <c r="K62" s="1" t="str">
        <f>IF(Person2!$B$13+ROW(B60)-1&lt;=Person2!$C$13, Person2!$B$13+ROW(B60)-1, "")</f>
        <v/>
      </c>
      <c r="L62" s="1" t="str">
        <f>IF(Person2!$B$14+ROW(B60)-1&lt;=Person2!$C$14, Person2!$B$14+ROW(B60)-1, "")</f>
        <v/>
      </c>
      <c r="M62" s="1" t="str">
        <f>IF(Person2!$B$15+ROW(B60)-1&lt;=Person2!$C$15, Person2!$B$15+ROW(B60)-1, "")</f>
        <v/>
      </c>
      <c r="N62" s="1" t="str">
        <f>IF(Person2!$B$16+ROW(B60)-1&lt;=Person2!$C$16, Person2!$B$16+ROW(B60)-1, "")</f>
        <v/>
      </c>
      <c r="O62" s="1" t="str">
        <f>IF(Person2!$B$17+ROW(B60)-1&lt;=Person2!$C$17, Person2!$B$17+ROW(B60)-1, "")</f>
        <v/>
      </c>
      <c r="V62" s="1" t="str">
        <f>IF(Person2!$D$3+ROW(A60)-1&lt;=Person2!$E$3, Person2!$D$3+ROW(A60)-1, "")</f>
        <v/>
      </c>
      <c r="W62" s="1" t="str">
        <f>IF(Person2!$D$4+ROW(A60)-1&lt;=Person2!$E$4, Person2!$D$4+ROW(A60)-1, "")</f>
        <v/>
      </c>
      <c r="X62" s="1" t="str">
        <f>IF(Person2!$D$5+ROW(A60)-1&lt;=Person2!$E$5, Person2!$D$5+ROW(A60)-1, "")</f>
        <v/>
      </c>
      <c r="Y62" s="1" t="str">
        <f>IF(Person2!$D$6+ROW(A60)-1&lt;=Person2!$E$6, Person2!$D$6+ROW(A60)-1, "")</f>
        <v/>
      </c>
      <c r="Z62" s="1" t="str">
        <f>IF(Person2!$D$7+ROW(A60)-1&lt;=Person2!$E$7, Person2!$D$7+ROW(A60)-1, "")</f>
        <v/>
      </c>
      <c r="AA62" s="1" t="str">
        <f>IF(Person2!$D$8+ROW(A60)-1&lt;=Person2!$E$8, Person2!$D$8+ROW(A60)-1, "")</f>
        <v/>
      </c>
      <c r="AE62" s="1" t="str">
        <f>IF(Person2!$F$3+ROW(A60)-1&lt;=Person2!$G$3, Person2!$F$3+ROW(A60)-1, "")</f>
        <v/>
      </c>
      <c r="AF62" s="1" t="str">
        <f>IF(Person2!$F$4+ROW(A60)-1&lt;=Person2!$G$4, Person2!$F$4+ROW(A60)-1, "")</f>
        <v/>
      </c>
      <c r="AG62" s="1" t="str">
        <f>IF(Person2!$F$5+ROW(A60)-1&lt;=Person2!$G$5, Person2!$F$5+ROW(A60)-1, "")</f>
        <v/>
      </c>
      <c r="AH62" s="1" t="str">
        <f>IF(Person2!$F$6+ROW(A60)-1&lt;=Person2!$G$6, Person2!$F$6+ROW(A60)-1, "")</f>
        <v/>
      </c>
      <c r="AI62" s="1" t="str">
        <f>IF(Person2!$F$7+ROW(A60)-1&lt;=Person2!$G$7, Person2!$F$7+ROW(A60)-1, "")</f>
        <v/>
      </c>
    </row>
    <row r="63" spans="1:35" x14ac:dyDescent="0.3">
      <c r="A63" s="1" t="str">
        <f>IF(Person2!$B$3+ROW(A61)-1&lt;=Person2!$C$3, Person2!$B$3+ROW(A61)-1, "")</f>
        <v/>
      </c>
      <c r="B63" s="1" t="str">
        <f>IF(Person2!$B$4+ROW(B61)-1&lt;=Person2!$C$4, Person2!$B$4+ROW(B61)-1, "")</f>
        <v/>
      </c>
      <c r="C63" s="1" t="str">
        <f>IF(Person2!$B$5+ROW(B61)-1&lt;=Person2!$C$5, Person2!$B$5+ROW(B61)-1, "")</f>
        <v/>
      </c>
      <c r="D63" s="1" t="str">
        <f>IF(Person2!$B$6+ROW(B61)-1&lt;=Person2!$C$6, Person2!$B$6+ROW(B61)-1, "")</f>
        <v/>
      </c>
      <c r="E63" s="1" t="str">
        <f>IF(Person2!$B$7+ROW(B61)-1&lt;=Person2!$C$7, Person2!$B$7+ROW(B61)-1, "")</f>
        <v/>
      </c>
      <c r="F63" s="1" t="str">
        <f>IF(Person2!$B$8+ROW(B61)-1&lt;=Person2!$C$8, Person2!$B$8+ROW(B61)-1, "")</f>
        <v/>
      </c>
      <c r="G63" s="1" t="str">
        <f>IF(Person2!$B$9+ROW(B61)-1&lt;=Person2!$C$9, Person2!$B$9+ROW(B61)-1, "")</f>
        <v/>
      </c>
      <c r="H63" s="1" t="str">
        <f>IF(Person2!$B$10+ROW(B61)-1&lt;=Person2!$C$10, Person2!$B$10+ROW(B61)-1, "")</f>
        <v/>
      </c>
      <c r="I63" s="1" t="str">
        <f>IF(Person2!$B$11+ROW(B61)-1&lt;=Person2!$C$11, Person2!$B$11+ROW(B61)-1, "")</f>
        <v/>
      </c>
      <c r="J63" s="1" t="str">
        <f>IF(Person2!$B$12+ROW(B61)-1&lt;=Person2!$C$12, Person2!$B$12+ROW(B61)-1, "")</f>
        <v/>
      </c>
      <c r="K63" s="1" t="str">
        <f>IF(Person2!$B$13+ROW(B61)-1&lt;=Person2!$C$13, Person2!$B$13+ROW(B61)-1, "")</f>
        <v/>
      </c>
      <c r="L63" s="1" t="str">
        <f>IF(Person2!$B$14+ROW(B61)-1&lt;=Person2!$C$14, Person2!$B$14+ROW(B61)-1, "")</f>
        <v/>
      </c>
      <c r="M63" s="1" t="str">
        <f>IF(Person2!$B$15+ROW(B61)-1&lt;=Person2!$C$15, Person2!$B$15+ROW(B61)-1, "")</f>
        <v/>
      </c>
      <c r="N63" s="1" t="str">
        <f>IF(Person2!$B$16+ROW(B61)-1&lt;=Person2!$C$16, Person2!$B$16+ROW(B61)-1, "")</f>
        <v/>
      </c>
      <c r="O63" s="1" t="str">
        <f>IF(Person2!$B$17+ROW(B61)-1&lt;=Person2!$C$17, Person2!$B$17+ROW(B61)-1, "")</f>
        <v/>
      </c>
      <c r="V63" s="1" t="str">
        <f>IF(Person2!$D$3+ROW(A61)-1&lt;=Person2!$E$3, Person2!$D$3+ROW(A61)-1, "")</f>
        <v/>
      </c>
      <c r="W63" s="1" t="str">
        <f>IF(Person2!$D$4+ROW(A61)-1&lt;=Person2!$E$4, Person2!$D$4+ROW(A61)-1, "")</f>
        <v/>
      </c>
      <c r="X63" s="1" t="str">
        <f>IF(Person2!$D$5+ROW(A61)-1&lt;=Person2!$E$5, Person2!$D$5+ROW(A61)-1, "")</f>
        <v/>
      </c>
      <c r="Y63" s="1" t="str">
        <f>IF(Person2!$D$6+ROW(A61)-1&lt;=Person2!$E$6, Person2!$D$6+ROW(A61)-1, "")</f>
        <v/>
      </c>
      <c r="Z63" s="1" t="str">
        <f>IF(Person2!$D$7+ROW(A61)-1&lt;=Person2!$E$7, Person2!$D$7+ROW(A61)-1, "")</f>
        <v/>
      </c>
      <c r="AA63" s="1" t="str">
        <f>IF(Person2!$D$8+ROW(A61)-1&lt;=Person2!$E$8, Person2!$D$8+ROW(A61)-1, "")</f>
        <v/>
      </c>
      <c r="AE63" s="1" t="str">
        <f>IF(Person2!$F$3+ROW(A61)-1&lt;=Person2!$G$3, Person2!$F$3+ROW(A61)-1, "")</f>
        <v/>
      </c>
      <c r="AF63" s="1" t="str">
        <f>IF(Person2!$F$4+ROW(A61)-1&lt;=Person2!$G$4, Person2!$F$4+ROW(A61)-1, "")</f>
        <v/>
      </c>
      <c r="AG63" s="1" t="str">
        <f>IF(Person2!$F$5+ROW(A61)-1&lt;=Person2!$G$5, Person2!$F$5+ROW(A61)-1, "")</f>
        <v/>
      </c>
      <c r="AH63" s="1" t="str">
        <f>IF(Person2!$F$6+ROW(A61)-1&lt;=Person2!$G$6, Person2!$F$6+ROW(A61)-1, "")</f>
        <v/>
      </c>
      <c r="AI63" s="1" t="str">
        <f>IF(Person2!$F$7+ROW(A61)-1&lt;=Person2!$G$7, Person2!$F$7+ROW(A61)-1, "")</f>
        <v/>
      </c>
    </row>
    <row r="64" spans="1:35" x14ac:dyDescent="0.3">
      <c r="A64" s="1" t="str">
        <f>IF(Person2!$B$3+ROW(A62)-1&lt;=Person2!$C$3, Person2!$B$3+ROW(A62)-1, "")</f>
        <v/>
      </c>
      <c r="B64" s="1" t="str">
        <f>IF(Person2!$B$4+ROW(B62)-1&lt;=Person2!$C$4, Person2!$B$4+ROW(B62)-1, "")</f>
        <v/>
      </c>
      <c r="C64" s="1" t="str">
        <f>IF(Person2!$B$5+ROW(B62)-1&lt;=Person2!$C$5, Person2!$B$5+ROW(B62)-1, "")</f>
        <v/>
      </c>
      <c r="D64" s="1" t="str">
        <f>IF(Person2!$B$6+ROW(B62)-1&lt;=Person2!$C$6, Person2!$B$6+ROW(B62)-1, "")</f>
        <v/>
      </c>
      <c r="E64" s="1" t="str">
        <f>IF(Person2!$B$7+ROW(B62)-1&lt;=Person2!$C$7, Person2!$B$7+ROW(B62)-1, "")</f>
        <v/>
      </c>
      <c r="F64" s="1" t="str">
        <f>IF(Person2!$B$8+ROW(B62)-1&lt;=Person2!$C$8, Person2!$B$8+ROW(B62)-1, "")</f>
        <v/>
      </c>
      <c r="G64" s="1" t="str">
        <f>IF(Person2!$B$9+ROW(B62)-1&lt;=Person2!$C$9, Person2!$B$9+ROW(B62)-1, "")</f>
        <v/>
      </c>
      <c r="H64" s="1" t="str">
        <f>IF(Person2!$B$10+ROW(B62)-1&lt;=Person2!$C$10, Person2!$B$10+ROW(B62)-1, "")</f>
        <v/>
      </c>
      <c r="I64" s="1" t="str">
        <f>IF(Person2!$B$11+ROW(B62)-1&lt;=Person2!$C$11, Person2!$B$11+ROW(B62)-1, "")</f>
        <v/>
      </c>
      <c r="J64" s="1" t="str">
        <f>IF(Person2!$B$12+ROW(B62)-1&lt;=Person2!$C$12, Person2!$B$12+ROW(B62)-1, "")</f>
        <v/>
      </c>
      <c r="K64" s="1" t="str">
        <f>IF(Person2!$B$13+ROW(B62)-1&lt;=Person2!$C$13, Person2!$B$13+ROW(B62)-1, "")</f>
        <v/>
      </c>
      <c r="L64" s="1" t="str">
        <f>IF(Person2!$B$14+ROW(B62)-1&lt;=Person2!$C$14, Person2!$B$14+ROW(B62)-1, "")</f>
        <v/>
      </c>
      <c r="M64" s="1" t="str">
        <f>IF(Person2!$B$15+ROW(B62)-1&lt;=Person2!$C$15, Person2!$B$15+ROW(B62)-1, "")</f>
        <v/>
      </c>
      <c r="N64" s="1" t="str">
        <f>IF(Person2!$B$16+ROW(B62)-1&lt;=Person2!$C$16, Person2!$B$16+ROW(B62)-1, "")</f>
        <v/>
      </c>
      <c r="O64" s="1" t="str">
        <f>IF(Person2!$B$17+ROW(B62)-1&lt;=Person2!$C$17, Person2!$B$17+ROW(B62)-1, "")</f>
        <v/>
      </c>
      <c r="V64" s="1" t="str">
        <f>IF(Person2!$D$3+ROW(A62)-1&lt;=Person2!$E$3, Person2!$D$3+ROW(A62)-1, "")</f>
        <v/>
      </c>
      <c r="W64" s="1" t="str">
        <f>IF(Person2!$D$4+ROW(A62)-1&lt;=Person2!$E$4, Person2!$D$4+ROW(A62)-1, "")</f>
        <v/>
      </c>
      <c r="X64" s="1" t="str">
        <f>IF(Person2!$D$5+ROW(A62)-1&lt;=Person2!$E$5, Person2!$D$5+ROW(A62)-1, "")</f>
        <v/>
      </c>
      <c r="Y64" s="1" t="str">
        <f>IF(Person2!$D$6+ROW(A62)-1&lt;=Person2!$E$6, Person2!$D$6+ROW(A62)-1, "")</f>
        <v/>
      </c>
      <c r="Z64" s="1" t="str">
        <f>IF(Person2!$D$7+ROW(A62)-1&lt;=Person2!$E$7, Person2!$D$7+ROW(A62)-1, "")</f>
        <v/>
      </c>
      <c r="AA64" s="1" t="str">
        <f>IF(Person2!$D$8+ROW(A62)-1&lt;=Person2!$E$8, Person2!$D$8+ROW(A62)-1, "")</f>
        <v/>
      </c>
      <c r="AE64" s="1" t="str">
        <f>IF(Person2!$F$3+ROW(A62)-1&lt;=Person2!$G$3, Person2!$F$3+ROW(A62)-1, "")</f>
        <v/>
      </c>
      <c r="AF64" s="1" t="str">
        <f>IF(Person2!$F$4+ROW(A62)-1&lt;=Person2!$G$4, Person2!$F$4+ROW(A62)-1, "")</f>
        <v/>
      </c>
      <c r="AG64" s="1" t="str">
        <f>IF(Person2!$F$5+ROW(A62)-1&lt;=Person2!$G$5, Person2!$F$5+ROW(A62)-1, "")</f>
        <v/>
      </c>
      <c r="AH64" s="1" t="str">
        <f>IF(Person2!$F$6+ROW(A62)-1&lt;=Person2!$G$6, Person2!$F$6+ROW(A62)-1, "")</f>
        <v/>
      </c>
      <c r="AI64" s="1" t="str">
        <f>IF(Person2!$F$7+ROW(A62)-1&lt;=Person2!$G$7, Person2!$F$7+ROW(A62)-1, "")</f>
        <v/>
      </c>
    </row>
    <row r="65" spans="1:35" x14ac:dyDescent="0.3">
      <c r="A65" s="1" t="str">
        <f>IF(Person2!$B$3+ROW(A63)-1&lt;=Person2!$C$3, Person2!$B$3+ROW(A63)-1, "")</f>
        <v/>
      </c>
      <c r="B65" s="1" t="str">
        <f>IF(Person2!$B$4+ROW(B63)-1&lt;=Person2!$C$4, Person2!$B$4+ROW(B63)-1, "")</f>
        <v/>
      </c>
      <c r="C65" s="1" t="str">
        <f>IF(Person2!$B$5+ROW(B63)-1&lt;=Person2!$C$5, Person2!$B$5+ROW(B63)-1, "")</f>
        <v/>
      </c>
      <c r="D65" s="1" t="str">
        <f>IF(Person2!$B$6+ROW(B63)-1&lt;=Person2!$C$6, Person2!$B$6+ROW(B63)-1, "")</f>
        <v/>
      </c>
      <c r="E65" s="1" t="str">
        <f>IF(Person2!$B$7+ROW(B63)-1&lt;=Person2!$C$7, Person2!$B$7+ROW(B63)-1, "")</f>
        <v/>
      </c>
      <c r="F65" s="1" t="str">
        <f>IF(Person2!$B$8+ROW(B63)-1&lt;=Person2!$C$8, Person2!$B$8+ROW(B63)-1, "")</f>
        <v/>
      </c>
      <c r="G65" s="1" t="str">
        <f>IF(Person2!$B$9+ROW(B63)-1&lt;=Person2!$C$9, Person2!$B$9+ROW(B63)-1, "")</f>
        <v/>
      </c>
      <c r="H65" s="1" t="str">
        <f>IF(Person2!$B$10+ROW(B63)-1&lt;=Person2!$C$10, Person2!$B$10+ROW(B63)-1, "")</f>
        <v/>
      </c>
      <c r="I65" s="1" t="str">
        <f>IF(Person2!$B$11+ROW(B63)-1&lt;=Person2!$C$11, Person2!$B$11+ROW(B63)-1, "")</f>
        <v/>
      </c>
      <c r="J65" s="1" t="str">
        <f>IF(Person2!$B$12+ROW(B63)-1&lt;=Person2!$C$12, Person2!$B$12+ROW(B63)-1, "")</f>
        <v/>
      </c>
      <c r="K65" s="1" t="str">
        <f>IF(Person2!$B$13+ROW(B63)-1&lt;=Person2!$C$13, Person2!$B$13+ROW(B63)-1, "")</f>
        <v/>
      </c>
      <c r="L65" s="1" t="str">
        <f>IF(Person2!$B$14+ROW(B63)-1&lt;=Person2!$C$14, Person2!$B$14+ROW(B63)-1, "")</f>
        <v/>
      </c>
      <c r="M65" s="1" t="str">
        <f>IF(Person2!$B$15+ROW(B63)-1&lt;=Person2!$C$15, Person2!$B$15+ROW(B63)-1, "")</f>
        <v/>
      </c>
      <c r="N65" s="1" t="str">
        <f>IF(Person2!$B$16+ROW(B63)-1&lt;=Person2!$C$16, Person2!$B$16+ROW(B63)-1, "")</f>
        <v/>
      </c>
      <c r="O65" s="1" t="str">
        <f>IF(Person2!$B$17+ROW(B63)-1&lt;=Person2!$C$17, Person2!$B$17+ROW(B63)-1, "")</f>
        <v/>
      </c>
      <c r="V65" s="1" t="str">
        <f>IF(Person2!$D$3+ROW(A63)-1&lt;=Person2!$E$3, Person2!$D$3+ROW(A63)-1, "")</f>
        <v/>
      </c>
      <c r="W65" s="1" t="str">
        <f>IF(Person2!$D$4+ROW(A63)-1&lt;=Person2!$E$4, Person2!$D$4+ROW(A63)-1, "")</f>
        <v/>
      </c>
      <c r="X65" s="1" t="str">
        <f>IF(Person2!$D$5+ROW(A63)-1&lt;=Person2!$E$5, Person2!$D$5+ROW(A63)-1, "")</f>
        <v/>
      </c>
      <c r="Y65" s="1" t="str">
        <f>IF(Person2!$D$6+ROW(A63)-1&lt;=Person2!$E$6, Person2!$D$6+ROW(A63)-1, "")</f>
        <v/>
      </c>
      <c r="Z65" s="1" t="str">
        <f>IF(Person2!$D$7+ROW(A63)-1&lt;=Person2!$E$7, Person2!$D$7+ROW(A63)-1, "")</f>
        <v/>
      </c>
      <c r="AA65" s="1" t="str">
        <f>IF(Person2!$D$8+ROW(A63)-1&lt;=Person2!$E$8, Person2!$D$8+ROW(A63)-1, "")</f>
        <v/>
      </c>
      <c r="AE65" s="1" t="str">
        <f>IF(Person2!$F$3+ROW(A63)-1&lt;=Person2!$G$3, Person2!$F$3+ROW(A63)-1, "")</f>
        <v/>
      </c>
      <c r="AF65" s="1" t="str">
        <f>IF(Person2!$F$4+ROW(A63)-1&lt;=Person2!$G$4, Person2!$F$4+ROW(A63)-1, "")</f>
        <v/>
      </c>
      <c r="AG65" s="1" t="str">
        <f>IF(Person2!$F$5+ROW(A63)-1&lt;=Person2!$G$5, Person2!$F$5+ROW(A63)-1, "")</f>
        <v/>
      </c>
      <c r="AH65" s="1" t="str">
        <f>IF(Person2!$F$6+ROW(A63)-1&lt;=Person2!$G$6, Person2!$F$6+ROW(A63)-1, "")</f>
        <v/>
      </c>
      <c r="AI65" s="1" t="str">
        <f>IF(Person2!$F$7+ROW(A63)-1&lt;=Person2!$G$7, Person2!$F$7+ROW(A63)-1, "")</f>
        <v/>
      </c>
    </row>
    <row r="66" spans="1:35" x14ac:dyDescent="0.3">
      <c r="A66" s="1" t="str">
        <f>IF(Person2!$B$3+ROW(A64)-1&lt;=Person2!$C$3, Person2!$B$3+ROW(A64)-1, "")</f>
        <v/>
      </c>
      <c r="B66" s="1" t="str">
        <f>IF(Person2!$B$4+ROW(B64)-1&lt;=Person2!$C$4, Person2!$B$4+ROW(B64)-1, "")</f>
        <v/>
      </c>
      <c r="C66" s="1" t="str">
        <f>IF(Person2!$B$5+ROW(B64)-1&lt;=Person2!$C$5, Person2!$B$5+ROW(B64)-1, "")</f>
        <v/>
      </c>
      <c r="D66" s="1" t="str">
        <f>IF(Person2!$B$6+ROW(B64)-1&lt;=Person2!$C$6, Person2!$B$6+ROW(B64)-1, "")</f>
        <v/>
      </c>
      <c r="E66" s="1" t="str">
        <f>IF(Person2!$B$7+ROW(B64)-1&lt;=Person2!$C$7, Person2!$B$7+ROW(B64)-1, "")</f>
        <v/>
      </c>
      <c r="F66" s="1" t="str">
        <f>IF(Person2!$B$8+ROW(B64)-1&lt;=Person2!$C$8, Person2!$B$8+ROW(B64)-1, "")</f>
        <v/>
      </c>
      <c r="G66" s="1" t="str">
        <f>IF(Person2!$B$9+ROW(B64)-1&lt;=Person2!$C$9, Person2!$B$9+ROW(B64)-1, "")</f>
        <v/>
      </c>
      <c r="H66" s="1" t="str">
        <f>IF(Person2!$B$10+ROW(B64)-1&lt;=Person2!$C$10, Person2!$B$10+ROW(B64)-1, "")</f>
        <v/>
      </c>
      <c r="I66" s="1" t="str">
        <f>IF(Person2!$B$11+ROW(B64)-1&lt;=Person2!$C$11, Person2!$B$11+ROW(B64)-1, "")</f>
        <v/>
      </c>
      <c r="J66" s="1" t="str">
        <f>IF(Person2!$B$12+ROW(B64)-1&lt;=Person2!$C$12, Person2!$B$12+ROW(B64)-1, "")</f>
        <v/>
      </c>
      <c r="K66" s="1" t="str">
        <f>IF(Person2!$B$13+ROW(B64)-1&lt;=Person2!$C$13, Person2!$B$13+ROW(B64)-1, "")</f>
        <v/>
      </c>
      <c r="L66" s="1" t="str">
        <f>IF(Person2!$B$14+ROW(B64)-1&lt;=Person2!$C$14, Person2!$B$14+ROW(B64)-1, "")</f>
        <v/>
      </c>
      <c r="M66" s="1" t="str">
        <f>IF(Person2!$B$15+ROW(B64)-1&lt;=Person2!$C$15, Person2!$B$15+ROW(B64)-1, "")</f>
        <v/>
      </c>
      <c r="N66" s="1" t="str">
        <f>IF(Person2!$B$16+ROW(B64)-1&lt;=Person2!$C$16, Person2!$B$16+ROW(B64)-1, "")</f>
        <v/>
      </c>
      <c r="O66" s="1" t="str">
        <f>IF(Person2!$B$17+ROW(B64)-1&lt;=Person2!$C$17, Person2!$B$17+ROW(B64)-1, "")</f>
        <v/>
      </c>
      <c r="V66" s="1" t="str">
        <f>IF(Person2!$D$3+ROW(A64)-1&lt;=Person2!$E$3, Person2!$D$3+ROW(A64)-1, "")</f>
        <v/>
      </c>
      <c r="W66" s="1" t="str">
        <f>IF(Person2!$D$4+ROW(A64)-1&lt;=Person2!$E$4, Person2!$D$4+ROW(A64)-1, "")</f>
        <v/>
      </c>
      <c r="X66" s="1" t="str">
        <f>IF(Person2!$D$5+ROW(A64)-1&lt;=Person2!$E$5, Person2!$D$5+ROW(A64)-1, "")</f>
        <v/>
      </c>
      <c r="Y66" s="1" t="str">
        <f>IF(Person2!$D$6+ROW(A64)-1&lt;=Person2!$E$6, Person2!$D$6+ROW(A64)-1, "")</f>
        <v/>
      </c>
      <c r="Z66" s="1" t="str">
        <f>IF(Person2!$D$7+ROW(A64)-1&lt;=Person2!$E$7, Person2!$D$7+ROW(A64)-1, "")</f>
        <v/>
      </c>
      <c r="AA66" s="1" t="str">
        <f>IF(Person2!$D$8+ROW(A64)-1&lt;=Person2!$E$8, Person2!$D$8+ROW(A64)-1, "")</f>
        <v/>
      </c>
      <c r="AE66" s="1" t="str">
        <f>IF(Person2!$F$3+ROW(A64)-1&lt;=Person2!$G$3, Person2!$F$3+ROW(A64)-1, "")</f>
        <v/>
      </c>
      <c r="AF66" s="1" t="str">
        <f>IF(Person2!$F$4+ROW(A64)-1&lt;=Person2!$G$4, Person2!$F$4+ROW(A64)-1, "")</f>
        <v/>
      </c>
      <c r="AG66" s="1" t="str">
        <f>IF(Person2!$F$5+ROW(A64)-1&lt;=Person2!$G$5, Person2!$F$5+ROW(A64)-1, "")</f>
        <v/>
      </c>
      <c r="AH66" s="1" t="str">
        <f>IF(Person2!$F$6+ROW(A64)-1&lt;=Person2!$G$6, Person2!$F$6+ROW(A64)-1, "")</f>
        <v/>
      </c>
      <c r="AI66" s="1" t="str">
        <f>IF(Person2!$F$7+ROW(A64)-1&lt;=Person2!$G$7, Person2!$F$7+ROW(A64)-1, "")</f>
        <v/>
      </c>
    </row>
    <row r="67" spans="1:35" x14ac:dyDescent="0.3">
      <c r="A67" s="1" t="str">
        <f>IF(Person2!$B$3+ROW(A65)-1&lt;=Person2!$C$3, Person2!$B$3+ROW(A65)-1, "")</f>
        <v/>
      </c>
      <c r="B67" s="1" t="str">
        <f>IF(Person2!$B$4+ROW(B65)-1&lt;=Person2!$C$4, Person2!$B$4+ROW(B65)-1, "")</f>
        <v/>
      </c>
      <c r="C67" s="1" t="str">
        <f>IF(Person2!$B$5+ROW(B65)-1&lt;=Person2!$C$5, Person2!$B$5+ROW(B65)-1, "")</f>
        <v/>
      </c>
      <c r="D67" s="1" t="str">
        <f>IF(Person2!$B$6+ROW(B65)-1&lt;=Person2!$C$6, Person2!$B$6+ROW(B65)-1, "")</f>
        <v/>
      </c>
      <c r="E67" s="1" t="str">
        <f>IF(Person2!$B$7+ROW(B65)-1&lt;=Person2!$C$7, Person2!$B$7+ROW(B65)-1, "")</f>
        <v/>
      </c>
      <c r="F67" s="1" t="str">
        <f>IF(Person2!$B$8+ROW(B65)-1&lt;=Person2!$C$8, Person2!$B$8+ROW(B65)-1, "")</f>
        <v/>
      </c>
      <c r="G67" s="1" t="str">
        <f>IF(Person2!$B$9+ROW(B65)-1&lt;=Person2!$C$9, Person2!$B$9+ROW(B65)-1, "")</f>
        <v/>
      </c>
      <c r="H67" s="1" t="str">
        <f>IF(Person2!$B$10+ROW(B65)-1&lt;=Person2!$C$10, Person2!$B$10+ROW(B65)-1, "")</f>
        <v/>
      </c>
      <c r="I67" s="1" t="str">
        <f>IF(Person2!$B$11+ROW(B65)-1&lt;=Person2!$C$11, Person2!$B$11+ROW(B65)-1, "")</f>
        <v/>
      </c>
      <c r="J67" s="1" t="str">
        <f>IF(Person2!$B$12+ROW(B65)-1&lt;=Person2!$C$12, Person2!$B$12+ROW(B65)-1, "")</f>
        <v/>
      </c>
      <c r="K67" s="1" t="str">
        <f>IF(Person2!$B$13+ROW(B65)-1&lt;=Person2!$C$13, Person2!$B$13+ROW(B65)-1, "")</f>
        <v/>
      </c>
      <c r="L67" s="1" t="str">
        <f>IF(Person2!$B$14+ROW(B65)-1&lt;=Person2!$C$14, Person2!$B$14+ROW(B65)-1, "")</f>
        <v/>
      </c>
      <c r="M67" s="1" t="str">
        <f>IF(Person2!$B$15+ROW(B65)-1&lt;=Person2!$C$15, Person2!$B$15+ROW(B65)-1, "")</f>
        <v/>
      </c>
      <c r="N67" s="1" t="str">
        <f>IF(Person2!$B$16+ROW(B65)-1&lt;=Person2!$C$16, Person2!$B$16+ROW(B65)-1, "")</f>
        <v/>
      </c>
      <c r="O67" s="1" t="str">
        <f>IF(Person2!$B$17+ROW(B65)-1&lt;=Person2!$C$17, Person2!$B$17+ROW(B65)-1, "")</f>
        <v/>
      </c>
      <c r="V67" s="1" t="str">
        <f>IF(Person2!$D$3+ROW(A65)-1&lt;=Person2!$E$3, Person2!$D$3+ROW(A65)-1, "")</f>
        <v/>
      </c>
      <c r="W67" s="1" t="str">
        <f>IF(Person2!$D$4+ROW(A65)-1&lt;=Person2!$E$4, Person2!$D$4+ROW(A65)-1, "")</f>
        <v/>
      </c>
      <c r="X67" s="1" t="str">
        <f>IF(Person2!$D$5+ROW(A65)-1&lt;=Person2!$E$5, Person2!$D$5+ROW(A65)-1, "")</f>
        <v/>
      </c>
      <c r="Y67" s="1" t="str">
        <f>IF(Person2!$D$6+ROW(A65)-1&lt;=Person2!$E$6, Person2!$D$6+ROW(A65)-1, "")</f>
        <v/>
      </c>
      <c r="Z67" s="1" t="str">
        <f>IF(Person2!$D$7+ROW(A65)-1&lt;=Person2!$E$7, Person2!$D$7+ROW(A65)-1, "")</f>
        <v/>
      </c>
      <c r="AA67" s="1" t="str">
        <f>IF(Person2!$D$8+ROW(A65)-1&lt;=Person2!$E$8, Person2!$D$8+ROW(A65)-1, "")</f>
        <v/>
      </c>
      <c r="AE67" s="1" t="str">
        <f>IF(Person2!$F$3+ROW(A65)-1&lt;=Person2!$G$3, Person2!$F$3+ROW(A65)-1, "")</f>
        <v/>
      </c>
      <c r="AF67" s="1" t="str">
        <f>IF(Person2!$F$4+ROW(A65)-1&lt;=Person2!$G$4, Person2!$F$4+ROW(A65)-1, "")</f>
        <v/>
      </c>
      <c r="AG67" s="1" t="str">
        <f>IF(Person2!$F$5+ROW(A65)-1&lt;=Person2!$G$5, Person2!$F$5+ROW(A65)-1, "")</f>
        <v/>
      </c>
      <c r="AH67" s="1" t="str">
        <f>IF(Person2!$F$6+ROW(A65)-1&lt;=Person2!$G$6, Person2!$F$6+ROW(A65)-1, "")</f>
        <v/>
      </c>
      <c r="AI67" s="1" t="str">
        <f>IF(Person2!$F$7+ROW(A65)-1&lt;=Person2!$G$7, Person2!$F$7+ROW(A65)-1, "")</f>
        <v/>
      </c>
    </row>
    <row r="68" spans="1:35" x14ac:dyDescent="0.3">
      <c r="A68" s="1" t="str">
        <f>IF(Person2!$B$3+ROW(A66)-1&lt;=Person2!$C$3, Person2!$B$3+ROW(A66)-1, "")</f>
        <v/>
      </c>
      <c r="B68" s="1" t="str">
        <f>IF(Person2!$B$4+ROW(B66)-1&lt;=Person2!$C$4, Person2!$B$4+ROW(B66)-1, "")</f>
        <v/>
      </c>
      <c r="C68" s="1" t="str">
        <f>IF(Person2!$B$5+ROW(B66)-1&lt;=Person2!$C$5, Person2!$B$5+ROW(B66)-1, "")</f>
        <v/>
      </c>
      <c r="D68" s="1" t="str">
        <f>IF(Person2!$B$6+ROW(B66)-1&lt;=Person2!$C$6, Person2!$B$6+ROW(B66)-1, "")</f>
        <v/>
      </c>
      <c r="E68" s="1" t="str">
        <f>IF(Person2!$B$7+ROW(B66)-1&lt;=Person2!$C$7, Person2!$B$7+ROW(B66)-1, "")</f>
        <v/>
      </c>
      <c r="F68" s="1" t="str">
        <f>IF(Person2!$B$8+ROW(B66)-1&lt;=Person2!$C$8, Person2!$B$8+ROW(B66)-1, "")</f>
        <v/>
      </c>
      <c r="G68" s="1" t="str">
        <f>IF(Person2!$B$9+ROW(B66)-1&lt;=Person2!$C$9, Person2!$B$9+ROW(B66)-1, "")</f>
        <v/>
      </c>
      <c r="H68" s="1" t="str">
        <f>IF(Person2!$B$10+ROW(B66)-1&lt;=Person2!$C$10, Person2!$B$10+ROW(B66)-1, "")</f>
        <v/>
      </c>
      <c r="I68" s="1" t="str">
        <f>IF(Person2!$B$11+ROW(B66)-1&lt;=Person2!$C$11, Person2!$B$11+ROW(B66)-1, "")</f>
        <v/>
      </c>
      <c r="J68" s="1" t="str">
        <f>IF(Person2!$B$12+ROW(B66)-1&lt;=Person2!$C$12, Person2!$B$12+ROW(B66)-1, "")</f>
        <v/>
      </c>
      <c r="K68" s="1" t="str">
        <f>IF(Person2!$B$13+ROW(B66)-1&lt;=Person2!$C$13, Person2!$B$13+ROW(B66)-1, "")</f>
        <v/>
      </c>
      <c r="L68" s="1" t="str">
        <f>IF(Person2!$B$14+ROW(B66)-1&lt;=Person2!$C$14, Person2!$B$14+ROW(B66)-1, "")</f>
        <v/>
      </c>
      <c r="M68" s="1" t="str">
        <f>IF(Person2!$B$15+ROW(B66)-1&lt;=Person2!$C$15, Person2!$B$15+ROW(B66)-1, "")</f>
        <v/>
      </c>
      <c r="N68" s="1" t="str">
        <f>IF(Person2!$B$16+ROW(B66)-1&lt;=Person2!$C$16, Person2!$B$16+ROW(B66)-1, "")</f>
        <v/>
      </c>
      <c r="O68" s="1" t="str">
        <f>IF(Person2!$B$17+ROW(B66)-1&lt;=Person2!$C$17, Person2!$B$17+ROW(B66)-1, "")</f>
        <v/>
      </c>
      <c r="V68" s="1" t="str">
        <f>IF(Person2!$D$3+ROW(A66)-1&lt;=Person2!$E$3, Person2!$D$3+ROW(A66)-1, "")</f>
        <v/>
      </c>
      <c r="W68" s="1" t="str">
        <f>IF(Person2!$D$4+ROW(A66)-1&lt;=Person2!$E$4, Person2!$D$4+ROW(A66)-1, "")</f>
        <v/>
      </c>
      <c r="X68" s="1" t="str">
        <f>IF(Person2!$D$5+ROW(A66)-1&lt;=Person2!$E$5, Person2!$D$5+ROW(A66)-1, "")</f>
        <v/>
      </c>
      <c r="Y68" s="1" t="str">
        <f>IF(Person2!$D$6+ROW(A66)-1&lt;=Person2!$E$6, Person2!$D$6+ROW(A66)-1, "")</f>
        <v/>
      </c>
      <c r="Z68" s="1" t="str">
        <f>IF(Person2!$D$7+ROW(A66)-1&lt;=Person2!$E$7, Person2!$D$7+ROW(A66)-1, "")</f>
        <v/>
      </c>
      <c r="AA68" s="1" t="str">
        <f>IF(Person2!$D$8+ROW(A66)-1&lt;=Person2!$E$8, Person2!$D$8+ROW(A66)-1, "")</f>
        <v/>
      </c>
      <c r="AE68" s="1" t="str">
        <f>IF(Person2!$F$3+ROW(A66)-1&lt;=Person2!$G$3, Person2!$F$3+ROW(A66)-1, "")</f>
        <v/>
      </c>
      <c r="AF68" s="1" t="str">
        <f>IF(Person2!$F$4+ROW(A66)-1&lt;=Person2!$G$4, Person2!$F$4+ROW(A66)-1, "")</f>
        <v/>
      </c>
      <c r="AG68" s="1" t="str">
        <f>IF(Person2!$F$5+ROW(A66)-1&lt;=Person2!$G$5, Person2!$F$5+ROW(A66)-1, "")</f>
        <v/>
      </c>
      <c r="AH68" s="1" t="str">
        <f>IF(Person2!$F$6+ROW(A66)-1&lt;=Person2!$G$6, Person2!$F$6+ROW(A66)-1, "")</f>
        <v/>
      </c>
      <c r="AI68" s="1" t="str">
        <f>IF(Person2!$F$7+ROW(A66)-1&lt;=Person2!$G$7, Person2!$F$7+ROW(A66)-1, "")</f>
        <v/>
      </c>
    </row>
    <row r="69" spans="1:35" x14ac:dyDescent="0.3">
      <c r="A69" s="1" t="str">
        <f>IF(Person2!$B$3+ROW(A67)-1&lt;=Person2!$C$3, Person2!$B$3+ROW(A67)-1, "")</f>
        <v/>
      </c>
      <c r="B69" s="1" t="str">
        <f>IF(Person2!$B$4+ROW(B67)-1&lt;=Person2!$C$4, Person2!$B$4+ROW(B67)-1, "")</f>
        <v/>
      </c>
      <c r="C69" s="1" t="str">
        <f>IF(Person2!$B$5+ROW(B67)-1&lt;=Person2!$C$5, Person2!$B$5+ROW(B67)-1, "")</f>
        <v/>
      </c>
      <c r="D69" s="1" t="str">
        <f>IF(Person2!$B$6+ROW(B67)-1&lt;=Person2!$C$6, Person2!$B$6+ROW(B67)-1, "")</f>
        <v/>
      </c>
      <c r="E69" s="1" t="str">
        <f>IF(Person2!$B$7+ROW(B67)-1&lt;=Person2!$C$7, Person2!$B$7+ROW(B67)-1, "")</f>
        <v/>
      </c>
      <c r="F69" s="1" t="str">
        <f>IF(Person2!$B$8+ROW(B67)-1&lt;=Person2!$C$8, Person2!$B$8+ROW(B67)-1, "")</f>
        <v/>
      </c>
      <c r="G69" s="1" t="str">
        <f>IF(Person2!$B$9+ROW(B67)-1&lt;=Person2!$C$9, Person2!$B$9+ROW(B67)-1, "")</f>
        <v/>
      </c>
      <c r="H69" s="1" t="str">
        <f>IF(Person2!$B$10+ROW(B67)-1&lt;=Person2!$C$10, Person2!$B$10+ROW(B67)-1, "")</f>
        <v/>
      </c>
      <c r="I69" s="1" t="str">
        <f>IF(Person2!$B$11+ROW(B67)-1&lt;=Person2!$C$11, Person2!$B$11+ROW(B67)-1, "")</f>
        <v/>
      </c>
      <c r="J69" s="1" t="str">
        <f>IF(Person2!$B$12+ROW(B67)-1&lt;=Person2!$C$12, Person2!$B$12+ROW(B67)-1, "")</f>
        <v/>
      </c>
      <c r="K69" s="1" t="str">
        <f>IF(Person2!$B$13+ROW(B67)-1&lt;=Person2!$C$13, Person2!$B$13+ROW(B67)-1, "")</f>
        <v/>
      </c>
      <c r="L69" s="1" t="str">
        <f>IF(Person2!$B$14+ROW(B67)-1&lt;=Person2!$C$14, Person2!$B$14+ROW(B67)-1, "")</f>
        <v/>
      </c>
      <c r="M69" s="1" t="str">
        <f>IF(Person2!$B$15+ROW(B67)-1&lt;=Person2!$C$15, Person2!$B$15+ROW(B67)-1, "")</f>
        <v/>
      </c>
      <c r="N69" s="1" t="str">
        <f>IF(Person2!$B$16+ROW(B67)-1&lt;=Person2!$C$16, Person2!$B$16+ROW(B67)-1, "")</f>
        <v/>
      </c>
      <c r="O69" s="1" t="str">
        <f>IF(Person2!$B$17+ROW(B67)-1&lt;=Person2!$C$17, Person2!$B$17+ROW(B67)-1, "")</f>
        <v/>
      </c>
      <c r="V69" s="1" t="str">
        <f>IF(Person2!$D$3+ROW(A67)-1&lt;=Person2!$E$3, Person2!$D$3+ROW(A67)-1, "")</f>
        <v/>
      </c>
      <c r="W69" s="1" t="str">
        <f>IF(Person2!$D$4+ROW(A67)-1&lt;=Person2!$E$4, Person2!$D$4+ROW(A67)-1, "")</f>
        <v/>
      </c>
      <c r="X69" s="1" t="str">
        <f>IF(Person2!$D$5+ROW(A67)-1&lt;=Person2!$E$5, Person2!$D$5+ROW(A67)-1, "")</f>
        <v/>
      </c>
      <c r="Y69" s="1" t="str">
        <f>IF(Person2!$D$6+ROW(A67)-1&lt;=Person2!$E$6, Person2!$D$6+ROW(A67)-1, "")</f>
        <v/>
      </c>
      <c r="Z69" s="1" t="str">
        <f>IF(Person2!$D$7+ROW(A67)-1&lt;=Person2!$E$7, Person2!$D$7+ROW(A67)-1, "")</f>
        <v/>
      </c>
      <c r="AA69" s="1" t="str">
        <f>IF(Person2!$D$8+ROW(A67)-1&lt;=Person2!$E$8, Person2!$D$8+ROW(A67)-1, "")</f>
        <v/>
      </c>
      <c r="AE69" s="1" t="str">
        <f>IF(Person2!$F$3+ROW(A67)-1&lt;=Person2!$G$3, Person2!$F$3+ROW(A67)-1, "")</f>
        <v/>
      </c>
      <c r="AF69" s="1" t="str">
        <f>IF(Person2!$F$4+ROW(A67)-1&lt;=Person2!$G$4, Person2!$F$4+ROW(A67)-1, "")</f>
        <v/>
      </c>
      <c r="AG69" s="1" t="str">
        <f>IF(Person2!$F$5+ROW(A67)-1&lt;=Person2!$G$5, Person2!$F$5+ROW(A67)-1, "")</f>
        <v/>
      </c>
      <c r="AH69" s="1" t="str">
        <f>IF(Person2!$F$6+ROW(A67)-1&lt;=Person2!$G$6, Person2!$F$6+ROW(A67)-1, "")</f>
        <v/>
      </c>
      <c r="AI69" s="1" t="str">
        <f>IF(Person2!$F$7+ROW(A67)-1&lt;=Person2!$G$7, Person2!$F$7+ROW(A67)-1, "")</f>
        <v/>
      </c>
    </row>
    <row r="70" spans="1:35" x14ac:dyDescent="0.3">
      <c r="A70" s="1" t="str">
        <f>IF(Person2!$B$3+ROW(A68)-1&lt;=Person2!$C$3, Person2!$B$3+ROW(A68)-1, "")</f>
        <v/>
      </c>
      <c r="B70" s="1" t="str">
        <f>IF(Person2!$B$4+ROW(B68)-1&lt;=Person2!$C$4, Person2!$B$4+ROW(B68)-1, "")</f>
        <v/>
      </c>
      <c r="C70" s="1" t="str">
        <f>IF(Person2!$B$5+ROW(B68)-1&lt;=Person2!$C$5, Person2!$B$5+ROW(B68)-1, "")</f>
        <v/>
      </c>
      <c r="D70" s="1" t="str">
        <f>IF(Person2!$B$6+ROW(B68)-1&lt;=Person2!$C$6, Person2!$B$6+ROW(B68)-1, "")</f>
        <v/>
      </c>
      <c r="E70" s="1" t="str">
        <f>IF(Person2!$B$7+ROW(B68)-1&lt;=Person2!$C$7, Person2!$B$7+ROW(B68)-1, "")</f>
        <v/>
      </c>
      <c r="F70" s="1" t="str">
        <f>IF(Person2!$B$8+ROW(B68)-1&lt;=Person2!$C$8, Person2!$B$8+ROW(B68)-1, "")</f>
        <v/>
      </c>
      <c r="G70" s="1" t="str">
        <f>IF(Person2!$B$9+ROW(B68)-1&lt;=Person2!$C$9, Person2!$B$9+ROW(B68)-1, "")</f>
        <v/>
      </c>
      <c r="H70" s="1" t="str">
        <f>IF(Person2!$B$10+ROW(B68)-1&lt;=Person2!$C$10, Person2!$B$10+ROW(B68)-1, "")</f>
        <v/>
      </c>
      <c r="I70" s="1" t="str">
        <f>IF(Person2!$B$11+ROW(B68)-1&lt;=Person2!$C$11, Person2!$B$11+ROW(B68)-1, "")</f>
        <v/>
      </c>
      <c r="J70" s="1" t="str">
        <f>IF(Person2!$B$12+ROW(B68)-1&lt;=Person2!$C$12, Person2!$B$12+ROW(B68)-1, "")</f>
        <v/>
      </c>
      <c r="K70" s="1" t="str">
        <f>IF(Person2!$B$13+ROW(B68)-1&lt;=Person2!$C$13, Person2!$B$13+ROW(B68)-1, "")</f>
        <v/>
      </c>
      <c r="L70" s="1" t="str">
        <f>IF(Person2!$B$14+ROW(B68)-1&lt;=Person2!$C$14, Person2!$B$14+ROW(B68)-1, "")</f>
        <v/>
      </c>
      <c r="M70" s="1" t="str">
        <f>IF(Person2!$B$15+ROW(B68)-1&lt;=Person2!$C$15, Person2!$B$15+ROW(B68)-1, "")</f>
        <v/>
      </c>
      <c r="N70" s="1" t="str">
        <f>IF(Person2!$B$16+ROW(B68)-1&lt;=Person2!$C$16, Person2!$B$16+ROW(B68)-1, "")</f>
        <v/>
      </c>
      <c r="O70" s="1" t="str">
        <f>IF(Person2!$B$17+ROW(B68)-1&lt;=Person2!$C$17, Person2!$B$17+ROW(B68)-1, "")</f>
        <v/>
      </c>
      <c r="V70" s="1" t="str">
        <f>IF(Person2!$D$3+ROW(A68)-1&lt;=Person2!$E$3, Person2!$D$3+ROW(A68)-1, "")</f>
        <v/>
      </c>
      <c r="W70" s="1" t="str">
        <f>IF(Person2!$D$4+ROW(A68)-1&lt;=Person2!$E$4, Person2!$D$4+ROW(A68)-1, "")</f>
        <v/>
      </c>
      <c r="X70" s="1" t="str">
        <f>IF(Person2!$D$5+ROW(A68)-1&lt;=Person2!$E$5, Person2!$D$5+ROW(A68)-1, "")</f>
        <v/>
      </c>
      <c r="Y70" s="1" t="str">
        <f>IF(Person2!$D$6+ROW(A68)-1&lt;=Person2!$E$6, Person2!$D$6+ROW(A68)-1, "")</f>
        <v/>
      </c>
      <c r="Z70" s="1" t="str">
        <f>IF(Person2!$D$7+ROW(A68)-1&lt;=Person2!$E$7, Person2!$D$7+ROW(A68)-1, "")</f>
        <v/>
      </c>
      <c r="AA70" s="1" t="str">
        <f>IF(Person2!$D$8+ROW(A68)-1&lt;=Person2!$E$8, Person2!$D$8+ROW(A68)-1, "")</f>
        <v/>
      </c>
      <c r="AE70" s="1" t="str">
        <f>IF(Person2!$F$3+ROW(A68)-1&lt;=Person2!$G$3, Person2!$F$3+ROW(A68)-1, "")</f>
        <v/>
      </c>
      <c r="AF70" s="1" t="str">
        <f>IF(Person2!$F$4+ROW(A68)-1&lt;=Person2!$G$4, Person2!$F$4+ROW(A68)-1, "")</f>
        <v/>
      </c>
      <c r="AG70" s="1" t="str">
        <f>IF(Person2!$F$5+ROW(A68)-1&lt;=Person2!$G$5, Person2!$F$5+ROW(A68)-1, "")</f>
        <v/>
      </c>
      <c r="AH70" s="1" t="str">
        <f>IF(Person2!$F$6+ROW(A68)-1&lt;=Person2!$G$6, Person2!$F$6+ROW(A68)-1, "")</f>
        <v/>
      </c>
      <c r="AI70" s="1" t="str">
        <f>IF(Person2!$F$7+ROW(A68)-1&lt;=Person2!$G$7, Person2!$F$7+ROW(A68)-1, "")</f>
        <v/>
      </c>
    </row>
    <row r="71" spans="1:35" x14ac:dyDescent="0.3">
      <c r="A71" s="1" t="str">
        <f>IF(Person2!$B$3+ROW(A69)-1&lt;=Person2!$C$3, Person2!$B$3+ROW(A69)-1, "")</f>
        <v/>
      </c>
      <c r="B71" s="1" t="str">
        <f>IF(Person2!$B$4+ROW(B69)-1&lt;=Person2!$C$4, Person2!$B$4+ROW(B69)-1, "")</f>
        <v/>
      </c>
      <c r="C71" s="1" t="str">
        <f>IF(Person2!$B$5+ROW(B69)-1&lt;=Person2!$C$5, Person2!$B$5+ROW(B69)-1, "")</f>
        <v/>
      </c>
      <c r="D71" s="1" t="str">
        <f>IF(Person2!$B$6+ROW(B69)-1&lt;=Person2!$C$6, Person2!$B$6+ROW(B69)-1, "")</f>
        <v/>
      </c>
      <c r="E71" s="1" t="str">
        <f>IF(Person2!$B$7+ROW(B69)-1&lt;=Person2!$C$7, Person2!$B$7+ROW(B69)-1, "")</f>
        <v/>
      </c>
      <c r="F71" s="1" t="str">
        <f>IF(Person2!$B$8+ROW(B69)-1&lt;=Person2!$C$8, Person2!$B$8+ROW(B69)-1, "")</f>
        <v/>
      </c>
      <c r="G71" s="1" t="str">
        <f>IF(Person2!$B$9+ROW(B69)-1&lt;=Person2!$C$9, Person2!$B$9+ROW(B69)-1, "")</f>
        <v/>
      </c>
      <c r="H71" s="1" t="str">
        <f>IF(Person2!$B$10+ROW(B69)-1&lt;=Person2!$C$10, Person2!$B$10+ROW(B69)-1, "")</f>
        <v/>
      </c>
      <c r="I71" s="1" t="str">
        <f>IF(Person2!$B$11+ROW(B69)-1&lt;=Person2!$C$11, Person2!$B$11+ROW(B69)-1, "")</f>
        <v/>
      </c>
      <c r="J71" s="1" t="str">
        <f>IF(Person2!$B$12+ROW(B69)-1&lt;=Person2!$C$12, Person2!$B$12+ROW(B69)-1, "")</f>
        <v/>
      </c>
      <c r="K71" s="1" t="str">
        <f>IF(Person2!$B$13+ROW(B69)-1&lt;=Person2!$C$13, Person2!$B$13+ROW(B69)-1, "")</f>
        <v/>
      </c>
      <c r="L71" s="1" t="str">
        <f>IF(Person2!$B$14+ROW(B69)-1&lt;=Person2!$C$14, Person2!$B$14+ROW(B69)-1, "")</f>
        <v/>
      </c>
      <c r="M71" s="1" t="str">
        <f>IF(Person2!$B$15+ROW(B69)-1&lt;=Person2!$C$15, Person2!$B$15+ROW(B69)-1, "")</f>
        <v/>
      </c>
      <c r="N71" s="1" t="str">
        <f>IF(Person2!$B$16+ROW(B69)-1&lt;=Person2!$C$16, Person2!$B$16+ROW(B69)-1, "")</f>
        <v/>
      </c>
      <c r="O71" s="1" t="str">
        <f>IF(Person2!$B$17+ROW(B69)-1&lt;=Person2!$C$17, Person2!$B$17+ROW(B69)-1, "")</f>
        <v/>
      </c>
      <c r="V71" s="1" t="str">
        <f>IF(Person2!$D$3+ROW(A69)-1&lt;=Person2!$E$3, Person2!$D$3+ROW(A69)-1, "")</f>
        <v/>
      </c>
      <c r="W71" s="1" t="str">
        <f>IF(Person2!$D$4+ROW(A69)-1&lt;=Person2!$E$4, Person2!$D$4+ROW(A69)-1, "")</f>
        <v/>
      </c>
      <c r="X71" s="1" t="str">
        <f>IF(Person2!$D$5+ROW(A69)-1&lt;=Person2!$E$5, Person2!$D$5+ROW(A69)-1, "")</f>
        <v/>
      </c>
      <c r="Y71" s="1" t="str">
        <f>IF(Person2!$D$6+ROW(A69)-1&lt;=Person2!$E$6, Person2!$D$6+ROW(A69)-1, "")</f>
        <v/>
      </c>
      <c r="Z71" s="1" t="str">
        <f>IF(Person2!$D$7+ROW(A69)-1&lt;=Person2!$E$7, Person2!$D$7+ROW(A69)-1, "")</f>
        <v/>
      </c>
      <c r="AA71" s="1" t="str">
        <f>IF(Person2!$D$8+ROW(A69)-1&lt;=Person2!$E$8, Person2!$D$8+ROW(A69)-1, "")</f>
        <v/>
      </c>
      <c r="AE71" s="1" t="str">
        <f>IF(Person2!$F$3+ROW(A69)-1&lt;=Person2!$G$3, Person2!$F$3+ROW(A69)-1, "")</f>
        <v/>
      </c>
      <c r="AF71" s="1" t="str">
        <f>IF(Person2!$F$4+ROW(A69)-1&lt;=Person2!$G$4, Person2!$F$4+ROW(A69)-1, "")</f>
        <v/>
      </c>
      <c r="AG71" s="1" t="str">
        <f>IF(Person2!$F$5+ROW(A69)-1&lt;=Person2!$G$5, Person2!$F$5+ROW(A69)-1, "")</f>
        <v/>
      </c>
      <c r="AH71" s="1" t="str">
        <f>IF(Person2!$F$6+ROW(A69)-1&lt;=Person2!$G$6, Person2!$F$6+ROW(A69)-1, "")</f>
        <v/>
      </c>
      <c r="AI71" s="1" t="str">
        <f>IF(Person2!$F$7+ROW(A69)-1&lt;=Person2!$G$7, Person2!$F$7+ROW(A69)-1, "")</f>
        <v/>
      </c>
    </row>
    <row r="72" spans="1:35" x14ac:dyDescent="0.3">
      <c r="A72" s="1" t="str">
        <f>IF(Person2!$B$3+ROW(A70)-1&lt;=Person2!$C$3, Person2!$B$3+ROW(A70)-1, "")</f>
        <v/>
      </c>
      <c r="B72" s="1" t="str">
        <f>IF(Person2!$B$4+ROW(B70)-1&lt;=Person2!$C$4, Person2!$B$4+ROW(B70)-1, "")</f>
        <v/>
      </c>
      <c r="C72" s="1" t="str">
        <f>IF(Person2!$B$5+ROW(B70)-1&lt;=Person2!$C$5, Person2!$B$5+ROW(B70)-1, "")</f>
        <v/>
      </c>
      <c r="D72" s="1" t="str">
        <f>IF(Person2!$B$6+ROW(B70)-1&lt;=Person2!$C$6, Person2!$B$6+ROW(B70)-1, "")</f>
        <v/>
      </c>
      <c r="E72" s="1" t="str">
        <f>IF(Person2!$B$7+ROW(B70)-1&lt;=Person2!$C$7, Person2!$B$7+ROW(B70)-1, "")</f>
        <v/>
      </c>
      <c r="F72" s="1" t="str">
        <f>IF(Person2!$B$8+ROW(B70)-1&lt;=Person2!$C$8, Person2!$B$8+ROW(B70)-1, "")</f>
        <v/>
      </c>
      <c r="G72" s="1" t="str">
        <f>IF(Person2!$B$9+ROW(B70)-1&lt;=Person2!$C$9, Person2!$B$9+ROW(B70)-1, "")</f>
        <v/>
      </c>
      <c r="H72" s="1" t="str">
        <f>IF(Person2!$B$10+ROW(B70)-1&lt;=Person2!$C$10, Person2!$B$10+ROW(B70)-1, "")</f>
        <v/>
      </c>
      <c r="I72" s="1" t="str">
        <f>IF(Person2!$B$11+ROW(B70)-1&lt;=Person2!$C$11, Person2!$B$11+ROW(B70)-1, "")</f>
        <v/>
      </c>
      <c r="J72" s="1" t="str">
        <f>IF(Person2!$B$12+ROW(B70)-1&lt;=Person2!$C$12, Person2!$B$12+ROW(B70)-1, "")</f>
        <v/>
      </c>
      <c r="K72" s="1" t="str">
        <f>IF(Person2!$B$13+ROW(B70)-1&lt;=Person2!$C$13, Person2!$B$13+ROW(B70)-1, "")</f>
        <v/>
      </c>
      <c r="L72" s="1" t="str">
        <f>IF(Person2!$B$14+ROW(B70)-1&lt;=Person2!$C$14, Person2!$B$14+ROW(B70)-1, "")</f>
        <v/>
      </c>
      <c r="M72" s="1" t="str">
        <f>IF(Person2!$B$15+ROW(B70)-1&lt;=Person2!$C$15, Person2!$B$15+ROW(B70)-1, "")</f>
        <v/>
      </c>
      <c r="N72" s="1" t="str">
        <f>IF(Person2!$B$16+ROW(B70)-1&lt;=Person2!$C$16, Person2!$B$16+ROW(B70)-1, "")</f>
        <v/>
      </c>
      <c r="O72" s="1" t="str">
        <f>IF(Person2!$B$17+ROW(B70)-1&lt;=Person2!$C$17, Person2!$B$17+ROW(B70)-1, "")</f>
        <v/>
      </c>
      <c r="V72" s="1" t="str">
        <f>IF(Person2!$D$3+ROW(A70)-1&lt;=Person2!$E$3, Person2!$D$3+ROW(A70)-1, "")</f>
        <v/>
      </c>
      <c r="W72" s="1" t="str">
        <f>IF(Person2!$D$4+ROW(A70)-1&lt;=Person2!$E$4, Person2!$D$4+ROW(A70)-1, "")</f>
        <v/>
      </c>
      <c r="X72" s="1" t="str">
        <f>IF(Person2!$D$5+ROW(A70)-1&lt;=Person2!$E$5, Person2!$D$5+ROW(A70)-1, "")</f>
        <v/>
      </c>
      <c r="Y72" s="1" t="str">
        <f>IF(Person2!$D$6+ROW(A70)-1&lt;=Person2!$E$6, Person2!$D$6+ROW(A70)-1, "")</f>
        <v/>
      </c>
      <c r="Z72" s="1" t="str">
        <f>IF(Person2!$D$7+ROW(A70)-1&lt;=Person2!$E$7, Person2!$D$7+ROW(A70)-1, "")</f>
        <v/>
      </c>
      <c r="AA72" s="1" t="str">
        <f>IF(Person2!$D$8+ROW(A70)-1&lt;=Person2!$E$8, Person2!$D$8+ROW(A70)-1, "")</f>
        <v/>
      </c>
      <c r="AE72" s="1" t="str">
        <f>IF(Person2!$F$3+ROW(A70)-1&lt;=Person2!$G$3, Person2!$F$3+ROW(A70)-1, "")</f>
        <v/>
      </c>
      <c r="AF72" s="1" t="str">
        <f>IF(Person2!$F$4+ROW(A70)-1&lt;=Person2!$G$4, Person2!$F$4+ROW(A70)-1, "")</f>
        <v/>
      </c>
      <c r="AG72" s="1" t="str">
        <f>IF(Person2!$F$5+ROW(A70)-1&lt;=Person2!$G$5, Person2!$F$5+ROW(A70)-1, "")</f>
        <v/>
      </c>
      <c r="AH72" s="1" t="str">
        <f>IF(Person2!$F$6+ROW(A70)-1&lt;=Person2!$G$6, Person2!$F$6+ROW(A70)-1, "")</f>
        <v/>
      </c>
      <c r="AI72" s="1" t="str">
        <f>IF(Person2!$F$7+ROW(A70)-1&lt;=Person2!$G$7, Person2!$F$7+ROW(A70)-1, "")</f>
        <v/>
      </c>
    </row>
    <row r="73" spans="1:35" x14ac:dyDescent="0.3">
      <c r="A73" s="1" t="str">
        <f>IF(Person2!$B$3+ROW(A71)-1&lt;=Person2!$C$3, Person2!$B$3+ROW(A71)-1, "")</f>
        <v/>
      </c>
      <c r="B73" s="1" t="str">
        <f>IF(Person2!$B$4+ROW(B71)-1&lt;=Person2!$C$4, Person2!$B$4+ROW(B71)-1, "")</f>
        <v/>
      </c>
      <c r="C73" s="1" t="str">
        <f>IF(Person2!$B$5+ROW(B71)-1&lt;=Person2!$C$5, Person2!$B$5+ROW(B71)-1, "")</f>
        <v/>
      </c>
      <c r="D73" s="1" t="str">
        <f>IF(Person2!$B$6+ROW(B71)-1&lt;=Person2!$C$6, Person2!$B$6+ROW(B71)-1, "")</f>
        <v/>
      </c>
      <c r="E73" s="1" t="str">
        <f>IF(Person2!$B$7+ROW(B71)-1&lt;=Person2!$C$7, Person2!$B$7+ROW(B71)-1, "")</f>
        <v/>
      </c>
      <c r="F73" s="1" t="str">
        <f>IF(Person2!$B$8+ROW(B71)-1&lt;=Person2!$C$8, Person2!$B$8+ROW(B71)-1, "")</f>
        <v/>
      </c>
      <c r="G73" s="1" t="str">
        <f>IF(Person2!$B$9+ROW(B71)-1&lt;=Person2!$C$9, Person2!$B$9+ROW(B71)-1, "")</f>
        <v/>
      </c>
      <c r="H73" s="1" t="str">
        <f>IF(Person2!$B$10+ROW(B71)-1&lt;=Person2!$C$10, Person2!$B$10+ROW(B71)-1, "")</f>
        <v/>
      </c>
      <c r="I73" s="1" t="str">
        <f>IF(Person2!$B$11+ROW(B71)-1&lt;=Person2!$C$11, Person2!$B$11+ROW(B71)-1, "")</f>
        <v/>
      </c>
      <c r="J73" s="1" t="str">
        <f>IF(Person2!$B$12+ROW(B71)-1&lt;=Person2!$C$12, Person2!$B$12+ROW(B71)-1, "")</f>
        <v/>
      </c>
      <c r="K73" s="1" t="str">
        <f>IF(Person2!$B$13+ROW(B71)-1&lt;=Person2!$C$13, Person2!$B$13+ROW(B71)-1, "")</f>
        <v/>
      </c>
      <c r="L73" s="1" t="str">
        <f>IF(Person2!$B$14+ROW(B71)-1&lt;=Person2!$C$14, Person2!$B$14+ROW(B71)-1, "")</f>
        <v/>
      </c>
      <c r="M73" s="1" t="str">
        <f>IF(Person2!$B$15+ROW(B71)-1&lt;=Person2!$C$15, Person2!$B$15+ROW(B71)-1, "")</f>
        <v/>
      </c>
      <c r="N73" s="1" t="str">
        <f>IF(Person2!$B$16+ROW(B71)-1&lt;=Person2!$C$16, Person2!$B$16+ROW(B71)-1, "")</f>
        <v/>
      </c>
      <c r="O73" s="1" t="str">
        <f>IF(Person2!$B$17+ROW(B71)-1&lt;=Person2!$C$17, Person2!$B$17+ROW(B71)-1, "")</f>
        <v/>
      </c>
      <c r="V73" s="1" t="str">
        <f>IF(Person2!$D$3+ROW(A71)-1&lt;=Person2!$E$3, Person2!$D$3+ROW(A71)-1, "")</f>
        <v/>
      </c>
      <c r="W73" s="1" t="str">
        <f>IF(Person2!$D$4+ROW(A71)-1&lt;=Person2!$E$4, Person2!$D$4+ROW(A71)-1, "")</f>
        <v/>
      </c>
      <c r="X73" s="1" t="str">
        <f>IF(Person2!$D$5+ROW(A71)-1&lt;=Person2!$E$5, Person2!$D$5+ROW(A71)-1, "")</f>
        <v/>
      </c>
      <c r="Y73" s="1" t="str">
        <f>IF(Person2!$D$6+ROW(A71)-1&lt;=Person2!$E$6, Person2!$D$6+ROW(A71)-1, "")</f>
        <v/>
      </c>
      <c r="Z73" s="1" t="str">
        <f>IF(Person2!$D$7+ROW(A71)-1&lt;=Person2!$E$7, Person2!$D$7+ROW(A71)-1, "")</f>
        <v/>
      </c>
      <c r="AA73" s="1" t="str">
        <f>IF(Person2!$D$8+ROW(A71)-1&lt;=Person2!$E$8, Person2!$D$8+ROW(A71)-1, "")</f>
        <v/>
      </c>
      <c r="AE73" s="1" t="str">
        <f>IF(Person2!$F$3+ROW(A71)-1&lt;=Person2!$G$3, Person2!$F$3+ROW(A71)-1, "")</f>
        <v/>
      </c>
      <c r="AF73" s="1" t="str">
        <f>IF(Person2!$F$4+ROW(A71)-1&lt;=Person2!$G$4, Person2!$F$4+ROW(A71)-1, "")</f>
        <v/>
      </c>
      <c r="AG73" s="1" t="str">
        <f>IF(Person2!$F$5+ROW(A71)-1&lt;=Person2!$G$5, Person2!$F$5+ROW(A71)-1, "")</f>
        <v/>
      </c>
      <c r="AH73" s="1" t="str">
        <f>IF(Person2!$F$6+ROW(A71)-1&lt;=Person2!$G$6, Person2!$F$6+ROW(A71)-1, "")</f>
        <v/>
      </c>
      <c r="AI73" s="1" t="str">
        <f>IF(Person2!$F$7+ROW(A71)-1&lt;=Person2!$G$7, Person2!$F$7+ROW(A71)-1, "")</f>
        <v/>
      </c>
    </row>
    <row r="74" spans="1:35" x14ac:dyDescent="0.3">
      <c r="A74" s="1" t="str">
        <f>IF(Person2!$B$3+ROW(A72)-1&lt;=Person2!$C$3, Person2!$B$3+ROW(A72)-1, "")</f>
        <v/>
      </c>
      <c r="B74" s="1" t="str">
        <f>IF(Person2!$B$4+ROW(B72)-1&lt;=Person2!$C$4, Person2!$B$4+ROW(B72)-1, "")</f>
        <v/>
      </c>
      <c r="C74" s="1" t="str">
        <f>IF(Person2!$B$5+ROW(B72)-1&lt;=Person2!$C$5, Person2!$B$5+ROW(B72)-1, "")</f>
        <v/>
      </c>
      <c r="D74" s="1" t="str">
        <f>IF(Person2!$B$6+ROW(B72)-1&lt;=Person2!$C$6, Person2!$B$6+ROW(B72)-1, "")</f>
        <v/>
      </c>
      <c r="E74" s="1" t="str">
        <f>IF(Person2!$B$7+ROW(B72)-1&lt;=Person2!$C$7, Person2!$B$7+ROW(B72)-1, "")</f>
        <v/>
      </c>
      <c r="F74" s="1" t="str">
        <f>IF(Person2!$B$8+ROW(B72)-1&lt;=Person2!$C$8, Person2!$B$8+ROW(B72)-1, "")</f>
        <v/>
      </c>
      <c r="G74" s="1" t="str">
        <f>IF(Person2!$B$9+ROW(B72)-1&lt;=Person2!$C$9, Person2!$B$9+ROW(B72)-1, "")</f>
        <v/>
      </c>
      <c r="H74" s="1" t="str">
        <f>IF(Person2!$B$10+ROW(B72)-1&lt;=Person2!$C$10, Person2!$B$10+ROW(B72)-1, "")</f>
        <v/>
      </c>
      <c r="I74" s="1" t="str">
        <f>IF(Person2!$B$11+ROW(B72)-1&lt;=Person2!$C$11, Person2!$B$11+ROW(B72)-1, "")</f>
        <v/>
      </c>
      <c r="J74" s="1" t="str">
        <f>IF(Person2!$B$12+ROW(B72)-1&lt;=Person2!$C$12, Person2!$B$12+ROW(B72)-1, "")</f>
        <v/>
      </c>
      <c r="K74" s="1" t="str">
        <f>IF(Person2!$B$13+ROW(B72)-1&lt;=Person2!$C$13, Person2!$B$13+ROW(B72)-1, "")</f>
        <v/>
      </c>
      <c r="L74" s="1" t="str">
        <f>IF(Person2!$B$14+ROW(B72)-1&lt;=Person2!$C$14, Person2!$B$14+ROW(B72)-1, "")</f>
        <v/>
      </c>
      <c r="M74" s="1" t="str">
        <f>IF(Person2!$B$15+ROW(B72)-1&lt;=Person2!$C$15, Person2!$B$15+ROW(B72)-1, "")</f>
        <v/>
      </c>
      <c r="N74" s="1" t="str">
        <f>IF(Person2!$B$16+ROW(B72)-1&lt;=Person2!$C$16, Person2!$B$16+ROW(B72)-1, "")</f>
        <v/>
      </c>
      <c r="O74" s="1" t="str">
        <f>IF(Person2!$B$17+ROW(B72)-1&lt;=Person2!$C$17, Person2!$B$17+ROW(B72)-1, "")</f>
        <v/>
      </c>
      <c r="V74" s="1" t="str">
        <f>IF(Person2!$D$3+ROW(A72)-1&lt;=Person2!$E$3, Person2!$D$3+ROW(A72)-1, "")</f>
        <v/>
      </c>
      <c r="W74" s="1" t="str">
        <f>IF(Person2!$D$4+ROW(A72)-1&lt;=Person2!$E$4, Person2!$D$4+ROW(A72)-1, "")</f>
        <v/>
      </c>
      <c r="X74" s="1" t="str">
        <f>IF(Person2!$D$5+ROW(A72)-1&lt;=Person2!$E$5, Person2!$D$5+ROW(A72)-1, "")</f>
        <v/>
      </c>
      <c r="Y74" s="1" t="str">
        <f>IF(Person2!$D$6+ROW(A72)-1&lt;=Person2!$E$6, Person2!$D$6+ROW(A72)-1, "")</f>
        <v/>
      </c>
      <c r="Z74" s="1" t="str">
        <f>IF(Person2!$D$7+ROW(A72)-1&lt;=Person2!$E$7, Person2!$D$7+ROW(A72)-1, "")</f>
        <v/>
      </c>
      <c r="AA74" s="1" t="str">
        <f>IF(Person2!$D$8+ROW(A72)-1&lt;=Person2!$E$8, Person2!$D$8+ROW(A72)-1, "")</f>
        <v/>
      </c>
      <c r="AE74" s="1" t="str">
        <f>IF(Person2!$F$3+ROW(A72)-1&lt;=Person2!$G$3, Person2!$F$3+ROW(A72)-1, "")</f>
        <v/>
      </c>
      <c r="AF74" s="1" t="str">
        <f>IF(Person2!$F$4+ROW(A72)-1&lt;=Person2!$G$4, Person2!$F$4+ROW(A72)-1, "")</f>
        <v/>
      </c>
      <c r="AG74" s="1" t="str">
        <f>IF(Person2!$F$5+ROW(A72)-1&lt;=Person2!$G$5, Person2!$F$5+ROW(A72)-1, "")</f>
        <v/>
      </c>
      <c r="AH74" s="1" t="str">
        <f>IF(Person2!$F$6+ROW(A72)-1&lt;=Person2!$G$6, Person2!$F$6+ROW(A72)-1, "")</f>
        <v/>
      </c>
      <c r="AI74" s="1" t="str">
        <f>IF(Person2!$F$7+ROW(A72)-1&lt;=Person2!$G$7, Person2!$F$7+ROW(A72)-1, "")</f>
        <v/>
      </c>
    </row>
    <row r="75" spans="1:35" x14ac:dyDescent="0.3">
      <c r="A75" s="1" t="str">
        <f>IF(Person2!$B$3+ROW(A73)-1&lt;=Person2!$C$3, Person2!$B$3+ROW(A73)-1, "")</f>
        <v/>
      </c>
      <c r="B75" s="1" t="str">
        <f>IF(Person2!$B$4+ROW(B73)-1&lt;=Person2!$C$4, Person2!$B$4+ROW(B73)-1, "")</f>
        <v/>
      </c>
      <c r="C75" s="1" t="str">
        <f>IF(Person2!$B$5+ROW(B73)-1&lt;=Person2!$C$5, Person2!$B$5+ROW(B73)-1, "")</f>
        <v/>
      </c>
      <c r="D75" s="1" t="str">
        <f>IF(Person2!$B$6+ROW(B73)-1&lt;=Person2!$C$6, Person2!$B$6+ROW(B73)-1, "")</f>
        <v/>
      </c>
      <c r="E75" s="1" t="str">
        <f>IF(Person2!$B$7+ROW(B73)-1&lt;=Person2!$C$7, Person2!$B$7+ROW(B73)-1, "")</f>
        <v/>
      </c>
      <c r="F75" s="1" t="str">
        <f>IF(Person2!$B$8+ROW(B73)-1&lt;=Person2!$C$8, Person2!$B$8+ROW(B73)-1, "")</f>
        <v/>
      </c>
      <c r="G75" s="1" t="str">
        <f>IF(Person2!$B$9+ROW(B73)-1&lt;=Person2!$C$9, Person2!$B$9+ROW(B73)-1, "")</f>
        <v/>
      </c>
      <c r="H75" s="1" t="str">
        <f>IF(Person2!$B$10+ROW(B73)-1&lt;=Person2!$C$10, Person2!$B$10+ROW(B73)-1, "")</f>
        <v/>
      </c>
      <c r="I75" s="1" t="str">
        <f>IF(Person2!$B$11+ROW(B73)-1&lt;=Person2!$C$11, Person2!$B$11+ROW(B73)-1, "")</f>
        <v/>
      </c>
      <c r="J75" s="1" t="str">
        <f>IF(Person2!$B$12+ROW(B73)-1&lt;=Person2!$C$12, Person2!$B$12+ROW(B73)-1, "")</f>
        <v/>
      </c>
      <c r="K75" s="1" t="str">
        <f>IF(Person2!$B$13+ROW(B73)-1&lt;=Person2!$C$13, Person2!$B$13+ROW(B73)-1, "")</f>
        <v/>
      </c>
      <c r="L75" s="1" t="str">
        <f>IF(Person2!$B$14+ROW(B73)-1&lt;=Person2!$C$14, Person2!$B$14+ROW(B73)-1, "")</f>
        <v/>
      </c>
      <c r="M75" s="1" t="str">
        <f>IF(Person2!$B$15+ROW(B73)-1&lt;=Person2!$C$15, Person2!$B$15+ROW(B73)-1, "")</f>
        <v/>
      </c>
      <c r="N75" s="1" t="str">
        <f>IF(Person2!$B$16+ROW(B73)-1&lt;=Person2!$C$16, Person2!$B$16+ROW(B73)-1, "")</f>
        <v/>
      </c>
      <c r="O75" s="1" t="str">
        <f>IF(Person2!$B$17+ROW(B73)-1&lt;=Person2!$C$17, Person2!$B$17+ROW(B73)-1, "")</f>
        <v/>
      </c>
      <c r="V75" s="1" t="str">
        <f>IF(Person2!$D$3+ROW(A73)-1&lt;=Person2!$E$3, Person2!$D$3+ROW(A73)-1, "")</f>
        <v/>
      </c>
      <c r="W75" s="1" t="str">
        <f>IF(Person2!$D$4+ROW(A73)-1&lt;=Person2!$E$4, Person2!$D$4+ROW(A73)-1, "")</f>
        <v/>
      </c>
      <c r="X75" s="1" t="str">
        <f>IF(Person2!$D$5+ROW(A73)-1&lt;=Person2!$E$5, Person2!$D$5+ROW(A73)-1, "")</f>
        <v/>
      </c>
      <c r="Y75" s="1" t="str">
        <f>IF(Person2!$D$6+ROW(A73)-1&lt;=Person2!$E$6, Person2!$D$6+ROW(A73)-1, "")</f>
        <v/>
      </c>
      <c r="Z75" s="1" t="str">
        <f>IF(Person2!$D$7+ROW(A73)-1&lt;=Person2!$E$7, Person2!$D$7+ROW(A73)-1, "")</f>
        <v/>
      </c>
      <c r="AA75" s="1" t="str">
        <f>IF(Person2!$D$8+ROW(A73)-1&lt;=Person2!$E$8, Person2!$D$8+ROW(A73)-1, "")</f>
        <v/>
      </c>
      <c r="AE75" s="1" t="str">
        <f>IF(Person2!$F$3+ROW(A73)-1&lt;=Person2!$G$3, Person2!$F$3+ROW(A73)-1, "")</f>
        <v/>
      </c>
      <c r="AF75" s="1" t="str">
        <f>IF(Person2!$F$4+ROW(A73)-1&lt;=Person2!$G$4, Person2!$F$4+ROW(A73)-1, "")</f>
        <v/>
      </c>
      <c r="AG75" s="1" t="str">
        <f>IF(Person2!$F$5+ROW(A73)-1&lt;=Person2!$G$5, Person2!$F$5+ROW(A73)-1, "")</f>
        <v/>
      </c>
      <c r="AH75" s="1" t="str">
        <f>IF(Person2!$F$6+ROW(A73)-1&lt;=Person2!$G$6, Person2!$F$6+ROW(A73)-1, "")</f>
        <v/>
      </c>
      <c r="AI75" s="1" t="str">
        <f>IF(Person2!$F$7+ROW(A73)-1&lt;=Person2!$G$7, Person2!$F$7+ROW(A73)-1, "")</f>
        <v/>
      </c>
    </row>
    <row r="76" spans="1:35" x14ac:dyDescent="0.3">
      <c r="A76" s="1" t="str">
        <f>IF(Person2!$B$3+ROW(A74)-1&lt;=Person2!$C$3, Person2!$B$3+ROW(A74)-1, "")</f>
        <v/>
      </c>
      <c r="B76" s="1" t="str">
        <f>IF(Person2!$B$4+ROW(B74)-1&lt;=Person2!$C$4, Person2!$B$4+ROW(B74)-1, "")</f>
        <v/>
      </c>
      <c r="C76" s="1" t="str">
        <f>IF(Person2!$B$5+ROW(B74)-1&lt;=Person2!$C$5, Person2!$B$5+ROW(B74)-1, "")</f>
        <v/>
      </c>
      <c r="D76" s="1" t="str">
        <f>IF(Person2!$B$6+ROW(B74)-1&lt;=Person2!$C$6, Person2!$B$6+ROW(B74)-1, "")</f>
        <v/>
      </c>
      <c r="E76" s="1" t="str">
        <f>IF(Person2!$B$7+ROW(B74)-1&lt;=Person2!$C$7, Person2!$B$7+ROW(B74)-1, "")</f>
        <v/>
      </c>
      <c r="F76" s="1" t="str">
        <f>IF(Person2!$B$8+ROW(B74)-1&lt;=Person2!$C$8, Person2!$B$8+ROW(B74)-1, "")</f>
        <v/>
      </c>
      <c r="G76" s="1" t="str">
        <f>IF(Person2!$B$9+ROW(B74)-1&lt;=Person2!$C$9, Person2!$B$9+ROW(B74)-1, "")</f>
        <v/>
      </c>
      <c r="H76" s="1" t="str">
        <f>IF(Person2!$B$10+ROW(B74)-1&lt;=Person2!$C$10, Person2!$B$10+ROW(B74)-1, "")</f>
        <v/>
      </c>
      <c r="I76" s="1" t="str">
        <f>IF(Person2!$B$11+ROW(B74)-1&lt;=Person2!$C$11, Person2!$B$11+ROW(B74)-1, "")</f>
        <v/>
      </c>
      <c r="J76" s="1" t="str">
        <f>IF(Person2!$B$12+ROW(B74)-1&lt;=Person2!$C$12, Person2!$B$12+ROW(B74)-1, "")</f>
        <v/>
      </c>
      <c r="K76" s="1" t="str">
        <f>IF(Person2!$B$13+ROW(B74)-1&lt;=Person2!$C$13, Person2!$B$13+ROW(B74)-1, "")</f>
        <v/>
      </c>
      <c r="L76" s="1" t="str">
        <f>IF(Person2!$B$14+ROW(B74)-1&lt;=Person2!$C$14, Person2!$B$14+ROW(B74)-1, "")</f>
        <v/>
      </c>
      <c r="M76" s="1" t="str">
        <f>IF(Person2!$B$15+ROW(B74)-1&lt;=Person2!$C$15, Person2!$B$15+ROW(B74)-1, "")</f>
        <v/>
      </c>
      <c r="N76" s="1" t="str">
        <f>IF(Person2!$B$16+ROW(B74)-1&lt;=Person2!$C$16, Person2!$B$16+ROW(B74)-1, "")</f>
        <v/>
      </c>
      <c r="O76" s="1" t="str">
        <f>IF(Person2!$B$17+ROW(B74)-1&lt;=Person2!$C$17, Person2!$B$17+ROW(B74)-1, "")</f>
        <v/>
      </c>
      <c r="V76" s="1" t="str">
        <f>IF(Person2!$D$3+ROW(A74)-1&lt;=Person2!$E$3, Person2!$D$3+ROW(A74)-1, "")</f>
        <v/>
      </c>
      <c r="W76" s="1" t="str">
        <f>IF(Person2!$D$4+ROW(A74)-1&lt;=Person2!$E$4, Person2!$D$4+ROW(A74)-1, "")</f>
        <v/>
      </c>
      <c r="X76" s="1" t="str">
        <f>IF(Person2!$D$5+ROW(A74)-1&lt;=Person2!$E$5, Person2!$D$5+ROW(A74)-1, "")</f>
        <v/>
      </c>
      <c r="Y76" s="1" t="str">
        <f>IF(Person2!$D$6+ROW(A74)-1&lt;=Person2!$E$6, Person2!$D$6+ROW(A74)-1, "")</f>
        <v/>
      </c>
      <c r="Z76" s="1" t="str">
        <f>IF(Person2!$D$7+ROW(A74)-1&lt;=Person2!$E$7, Person2!$D$7+ROW(A74)-1, "")</f>
        <v/>
      </c>
      <c r="AA76" s="1" t="str">
        <f>IF(Person2!$D$8+ROW(A74)-1&lt;=Person2!$E$8, Person2!$D$8+ROW(A74)-1, "")</f>
        <v/>
      </c>
      <c r="AE76" s="1" t="str">
        <f>IF(Person2!$F$3+ROW(A74)-1&lt;=Person2!$G$3, Person2!$F$3+ROW(A74)-1, "")</f>
        <v/>
      </c>
      <c r="AF76" s="1" t="str">
        <f>IF(Person2!$F$4+ROW(A74)-1&lt;=Person2!$G$4, Person2!$F$4+ROW(A74)-1, "")</f>
        <v/>
      </c>
      <c r="AG76" s="1" t="str">
        <f>IF(Person2!$F$5+ROW(A74)-1&lt;=Person2!$G$5, Person2!$F$5+ROW(A74)-1, "")</f>
        <v/>
      </c>
      <c r="AH76" s="1" t="str">
        <f>IF(Person2!$F$6+ROW(A74)-1&lt;=Person2!$G$6, Person2!$F$6+ROW(A74)-1, "")</f>
        <v/>
      </c>
      <c r="AI76" s="1" t="str">
        <f>IF(Person2!$F$7+ROW(A74)-1&lt;=Person2!$G$7, Person2!$F$7+ROW(A74)-1, "")</f>
        <v/>
      </c>
    </row>
    <row r="77" spans="1:35" x14ac:dyDescent="0.3">
      <c r="A77" s="1" t="str">
        <f>IF(Person2!$B$3+ROW(A75)-1&lt;=Person2!$C$3, Person2!$B$3+ROW(A75)-1, "")</f>
        <v/>
      </c>
      <c r="B77" s="1" t="str">
        <f>IF(Person2!$B$4+ROW(B75)-1&lt;=Person2!$C$4, Person2!$B$4+ROW(B75)-1, "")</f>
        <v/>
      </c>
      <c r="C77" s="1" t="str">
        <f>IF(Person2!$B$5+ROW(B75)-1&lt;=Person2!$C$5, Person2!$B$5+ROW(B75)-1, "")</f>
        <v/>
      </c>
      <c r="D77" s="1" t="str">
        <f>IF(Person2!$B$6+ROW(B75)-1&lt;=Person2!$C$6, Person2!$B$6+ROW(B75)-1, "")</f>
        <v/>
      </c>
      <c r="E77" s="1" t="str">
        <f>IF(Person2!$B$7+ROW(B75)-1&lt;=Person2!$C$7, Person2!$B$7+ROW(B75)-1, "")</f>
        <v/>
      </c>
      <c r="F77" s="1" t="str">
        <f>IF(Person2!$B$8+ROW(B75)-1&lt;=Person2!$C$8, Person2!$B$8+ROW(B75)-1, "")</f>
        <v/>
      </c>
      <c r="G77" s="1" t="str">
        <f>IF(Person2!$B$9+ROW(B75)-1&lt;=Person2!$C$9, Person2!$B$9+ROW(B75)-1, "")</f>
        <v/>
      </c>
      <c r="H77" s="1" t="str">
        <f>IF(Person2!$B$10+ROW(B75)-1&lt;=Person2!$C$10, Person2!$B$10+ROW(B75)-1, "")</f>
        <v/>
      </c>
      <c r="I77" s="1" t="str">
        <f>IF(Person2!$B$11+ROW(B75)-1&lt;=Person2!$C$11, Person2!$B$11+ROW(B75)-1, "")</f>
        <v/>
      </c>
      <c r="J77" s="1" t="str">
        <f>IF(Person2!$B$12+ROW(B75)-1&lt;=Person2!$C$12, Person2!$B$12+ROW(B75)-1, "")</f>
        <v/>
      </c>
      <c r="K77" s="1" t="str">
        <f>IF(Person2!$B$13+ROW(B75)-1&lt;=Person2!$C$13, Person2!$B$13+ROW(B75)-1, "")</f>
        <v/>
      </c>
      <c r="L77" s="1" t="str">
        <f>IF(Person2!$B$14+ROW(B75)-1&lt;=Person2!$C$14, Person2!$B$14+ROW(B75)-1, "")</f>
        <v/>
      </c>
      <c r="M77" s="1" t="str">
        <f>IF(Person2!$B$15+ROW(B75)-1&lt;=Person2!$C$15, Person2!$B$15+ROW(B75)-1, "")</f>
        <v/>
      </c>
      <c r="N77" s="1" t="str">
        <f>IF(Person2!$B$16+ROW(B75)-1&lt;=Person2!$C$16, Person2!$B$16+ROW(B75)-1, "")</f>
        <v/>
      </c>
      <c r="O77" s="1" t="str">
        <f>IF(Person2!$B$17+ROW(B75)-1&lt;=Person2!$C$17, Person2!$B$17+ROW(B75)-1, "")</f>
        <v/>
      </c>
      <c r="V77" s="1" t="str">
        <f>IF(Person2!$D$3+ROW(A75)-1&lt;=Person2!$E$3, Person2!$D$3+ROW(A75)-1, "")</f>
        <v/>
      </c>
      <c r="W77" s="1" t="str">
        <f>IF(Person2!$D$4+ROW(A75)-1&lt;=Person2!$E$4, Person2!$D$4+ROW(A75)-1, "")</f>
        <v/>
      </c>
      <c r="X77" s="1" t="str">
        <f>IF(Person2!$D$5+ROW(A75)-1&lt;=Person2!$E$5, Person2!$D$5+ROW(A75)-1, "")</f>
        <v/>
      </c>
      <c r="Y77" s="1" t="str">
        <f>IF(Person2!$D$6+ROW(A75)-1&lt;=Person2!$E$6, Person2!$D$6+ROW(A75)-1, "")</f>
        <v/>
      </c>
      <c r="Z77" s="1" t="str">
        <f>IF(Person2!$D$7+ROW(A75)-1&lt;=Person2!$E$7, Person2!$D$7+ROW(A75)-1, "")</f>
        <v/>
      </c>
      <c r="AA77" s="1" t="str">
        <f>IF(Person2!$D$8+ROW(A75)-1&lt;=Person2!$E$8, Person2!$D$8+ROW(A75)-1, "")</f>
        <v/>
      </c>
      <c r="AE77" s="1" t="str">
        <f>IF(Person2!$F$3+ROW(A75)-1&lt;=Person2!$G$3, Person2!$F$3+ROW(A75)-1, "")</f>
        <v/>
      </c>
      <c r="AF77" s="1" t="str">
        <f>IF(Person2!$F$4+ROW(A75)-1&lt;=Person2!$G$4, Person2!$F$4+ROW(A75)-1, "")</f>
        <v/>
      </c>
      <c r="AG77" s="1" t="str">
        <f>IF(Person2!$F$5+ROW(A75)-1&lt;=Person2!$G$5, Person2!$F$5+ROW(A75)-1, "")</f>
        <v/>
      </c>
      <c r="AH77" s="1" t="str">
        <f>IF(Person2!$F$6+ROW(A75)-1&lt;=Person2!$G$6, Person2!$F$6+ROW(A75)-1, "")</f>
        <v/>
      </c>
      <c r="AI77" s="1" t="str">
        <f>IF(Person2!$F$7+ROW(A75)-1&lt;=Person2!$G$7, Person2!$F$7+ROW(A75)-1, "")</f>
        <v/>
      </c>
    </row>
    <row r="78" spans="1:35" x14ac:dyDescent="0.3">
      <c r="A78" s="1" t="str">
        <f>IF(Person2!$B$3+ROW(A76)-1&lt;=Person2!$C$3, Person2!$B$3+ROW(A76)-1, "")</f>
        <v/>
      </c>
      <c r="B78" s="1" t="str">
        <f>IF(Person2!$B$4+ROW(B76)-1&lt;=Person2!$C$4, Person2!$B$4+ROW(B76)-1, "")</f>
        <v/>
      </c>
      <c r="C78" s="1" t="str">
        <f>IF(Person2!$B$5+ROW(B76)-1&lt;=Person2!$C$5, Person2!$B$5+ROW(B76)-1, "")</f>
        <v/>
      </c>
      <c r="D78" s="1" t="str">
        <f>IF(Person2!$B$6+ROW(B76)-1&lt;=Person2!$C$6, Person2!$B$6+ROW(B76)-1, "")</f>
        <v/>
      </c>
      <c r="E78" s="1" t="str">
        <f>IF(Person2!$B$7+ROW(B76)-1&lt;=Person2!$C$7, Person2!$B$7+ROW(B76)-1, "")</f>
        <v/>
      </c>
      <c r="F78" s="1" t="str">
        <f>IF(Person2!$B$8+ROW(B76)-1&lt;=Person2!$C$8, Person2!$B$8+ROW(B76)-1, "")</f>
        <v/>
      </c>
      <c r="G78" s="1" t="str">
        <f>IF(Person2!$B$9+ROW(B76)-1&lt;=Person2!$C$9, Person2!$B$9+ROW(B76)-1, "")</f>
        <v/>
      </c>
      <c r="H78" s="1" t="str">
        <f>IF(Person2!$B$10+ROW(B76)-1&lt;=Person2!$C$10, Person2!$B$10+ROW(B76)-1, "")</f>
        <v/>
      </c>
      <c r="I78" s="1" t="str">
        <f>IF(Person2!$B$11+ROW(B76)-1&lt;=Person2!$C$11, Person2!$B$11+ROW(B76)-1, "")</f>
        <v/>
      </c>
      <c r="J78" s="1" t="str">
        <f>IF(Person2!$B$12+ROW(B76)-1&lt;=Person2!$C$12, Person2!$B$12+ROW(B76)-1, "")</f>
        <v/>
      </c>
      <c r="K78" s="1" t="str">
        <f>IF(Person2!$B$13+ROW(B76)-1&lt;=Person2!$C$13, Person2!$B$13+ROW(B76)-1, "")</f>
        <v/>
      </c>
      <c r="L78" s="1" t="str">
        <f>IF(Person2!$B$14+ROW(B76)-1&lt;=Person2!$C$14, Person2!$B$14+ROW(B76)-1, "")</f>
        <v/>
      </c>
      <c r="M78" s="1" t="str">
        <f>IF(Person2!$B$15+ROW(B76)-1&lt;=Person2!$C$15, Person2!$B$15+ROW(B76)-1, "")</f>
        <v/>
      </c>
      <c r="N78" s="1" t="str">
        <f>IF(Person2!$B$16+ROW(B76)-1&lt;=Person2!$C$16, Person2!$B$16+ROW(B76)-1, "")</f>
        <v/>
      </c>
      <c r="O78" s="1" t="str">
        <f>IF(Person2!$B$17+ROW(B76)-1&lt;=Person2!$C$17, Person2!$B$17+ROW(B76)-1, "")</f>
        <v/>
      </c>
      <c r="V78" s="1" t="str">
        <f>IF(Person2!$D$3+ROW(A76)-1&lt;=Person2!$E$3, Person2!$D$3+ROW(A76)-1, "")</f>
        <v/>
      </c>
      <c r="W78" s="1" t="str">
        <f>IF(Person2!$D$4+ROW(A76)-1&lt;=Person2!$E$4, Person2!$D$4+ROW(A76)-1, "")</f>
        <v/>
      </c>
      <c r="X78" s="1" t="str">
        <f>IF(Person2!$D$5+ROW(A76)-1&lt;=Person2!$E$5, Person2!$D$5+ROW(A76)-1, "")</f>
        <v/>
      </c>
      <c r="Y78" s="1" t="str">
        <f>IF(Person2!$D$6+ROW(A76)-1&lt;=Person2!$E$6, Person2!$D$6+ROW(A76)-1, "")</f>
        <v/>
      </c>
      <c r="Z78" s="1" t="str">
        <f>IF(Person2!$D$7+ROW(A76)-1&lt;=Person2!$E$7, Person2!$D$7+ROW(A76)-1, "")</f>
        <v/>
      </c>
      <c r="AA78" s="1" t="str">
        <f>IF(Person2!$D$8+ROW(A76)-1&lt;=Person2!$E$8, Person2!$D$8+ROW(A76)-1, "")</f>
        <v/>
      </c>
      <c r="AE78" s="1" t="str">
        <f>IF(Person2!$F$3+ROW(A76)-1&lt;=Person2!$G$3, Person2!$F$3+ROW(A76)-1, "")</f>
        <v/>
      </c>
      <c r="AF78" s="1" t="str">
        <f>IF(Person2!$F$4+ROW(A76)-1&lt;=Person2!$G$4, Person2!$F$4+ROW(A76)-1, "")</f>
        <v/>
      </c>
      <c r="AG78" s="1" t="str">
        <f>IF(Person2!$F$5+ROW(A76)-1&lt;=Person2!$G$5, Person2!$F$5+ROW(A76)-1, "")</f>
        <v/>
      </c>
      <c r="AH78" s="1" t="str">
        <f>IF(Person2!$F$6+ROW(A76)-1&lt;=Person2!$G$6, Person2!$F$6+ROW(A76)-1, "")</f>
        <v/>
      </c>
      <c r="AI78" s="1" t="str">
        <f>IF(Person2!$F$7+ROW(A76)-1&lt;=Person2!$G$7, Person2!$F$7+ROW(A76)-1, "")</f>
        <v/>
      </c>
    </row>
    <row r="79" spans="1:35" x14ac:dyDescent="0.3">
      <c r="A79" s="1" t="str">
        <f>IF(Person2!$B$3+ROW(A77)-1&lt;=Person2!$C$3, Person2!$B$3+ROW(A77)-1, "")</f>
        <v/>
      </c>
      <c r="B79" s="1" t="str">
        <f>IF(Person2!$B$4+ROW(B77)-1&lt;=Person2!$C$4, Person2!$B$4+ROW(B77)-1, "")</f>
        <v/>
      </c>
      <c r="C79" s="1" t="str">
        <f>IF(Person2!$B$5+ROW(B77)-1&lt;=Person2!$C$5, Person2!$B$5+ROW(B77)-1, "")</f>
        <v/>
      </c>
      <c r="D79" s="1" t="str">
        <f>IF(Person2!$B$6+ROW(B77)-1&lt;=Person2!$C$6, Person2!$B$6+ROW(B77)-1, "")</f>
        <v/>
      </c>
      <c r="E79" s="1" t="str">
        <f>IF(Person2!$B$7+ROW(B77)-1&lt;=Person2!$C$7, Person2!$B$7+ROW(B77)-1, "")</f>
        <v/>
      </c>
      <c r="F79" s="1" t="str">
        <f>IF(Person2!$B$8+ROW(B77)-1&lt;=Person2!$C$8, Person2!$B$8+ROW(B77)-1, "")</f>
        <v/>
      </c>
      <c r="G79" s="1" t="str">
        <f>IF(Person2!$B$9+ROW(B77)-1&lt;=Person2!$C$9, Person2!$B$9+ROW(B77)-1, "")</f>
        <v/>
      </c>
      <c r="H79" s="1" t="str">
        <f>IF(Person2!$B$10+ROW(B77)-1&lt;=Person2!$C$10, Person2!$B$10+ROW(B77)-1, "")</f>
        <v/>
      </c>
      <c r="I79" s="1" t="str">
        <f>IF(Person2!$B$11+ROW(B77)-1&lt;=Person2!$C$11, Person2!$B$11+ROW(B77)-1, "")</f>
        <v/>
      </c>
      <c r="J79" s="1" t="str">
        <f>IF(Person2!$B$12+ROW(B77)-1&lt;=Person2!$C$12, Person2!$B$12+ROW(B77)-1, "")</f>
        <v/>
      </c>
      <c r="K79" s="1" t="str">
        <f>IF(Person2!$B$13+ROW(B77)-1&lt;=Person2!$C$13, Person2!$B$13+ROW(B77)-1, "")</f>
        <v/>
      </c>
      <c r="L79" s="1" t="str">
        <f>IF(Person2!$B$14+ROW(B77)-1&lt;=Person2!$C$14, Person2!$B$14+ROW(B77)-1, "")</f>
        <v/>
      </c>
      <c r="M79" s="1" t="str">
        <f>IF(Person2!$B$15+ROW(B77)-1&lt;=Person2!$C$15, Person2!$B$15+ROW(B77)-1, "")</f>
        <v/>
      </c>
      <c r="N79" s="1" t="str">
        <f>IF(Person2!$B$16+ROW(B77)-1&lt;=Person2!$C$16, Person2!$B$16+ROW(B77)-1, "")</f>
        <v/>
      </c>
      <c r="O79" s="1" t="str">
        <f>IF(Person2!$B$17+ROW(B77)-1&lt;=Person2!$C$17, Person2!$B$17+ROW(B77)-1, "")</f>
        <v/>
      </c>
      <c r="V79" s="1" t="str">
        <f>IF(Person2!$D$3+ROW(A77)-1&lt;=Person2!$E$3, Person2!$D$3+ROW(A77)-1, "")</f>
        <v/>
      </c>
      <c r="W79" s="1" t="str">
        <f>IF(Person2!$D$4+ROW(A77)-1&lt;=Person2!$E$4, Person2!$D$4+ROW(A77)-1, "")</f>
        <v/>
      </c>
      <c r="X79" s="1" t="str">
        <f>IF(Person2!$D$5+ROW(A77)-1&lt;=Person2!$E$5, Person2!$D$5+ROW(A77)-1, "")</f>
        <v/>
      </c>
      <c r="Y79" s="1" t="str">
        <f>IF(Person2!$D$6+ROW(A77)-1&lt;=Person2!$E$6, Person2!$D$6+ROW(A77)-1, "")</f>
        <v/>
      </c>
      <c r="Z79" s="1" t="str">
        <f>IF(Person2!$D$7+ROW(A77)-1&lt;=Person2!$E$7, Person2!$D$7+ROW(A77)-1, "")</f>
        <v/>
      </c>
      <c r="AA79" s="1" t="str">
        <f>IF(Person2!$D$8+ROW(A77)-1&lt;=Person2!$E$8, Person2!$D$8+ROW(A77)-1, "")</f>
        <v/>
      </c>
      <c r="AE79" s="1" t="str">
        <f>IF(Person2!$F$3+ROW(A77)-1&lt;=Person2!$G$3, Person2!$F$3+ROW(A77)-1, "")</f>
        <v/>
      </c>
      <c r="AF79" s="1" t="str">
        <f>IF(Person2!$F$4+ROW(A77)-1&lt;=Person2!$G$4, Person2!$F$4+ROW(A77)-1, "")</f>
        <v/>
      </c>
      <c r="AG79" s="1" t="str">
        <f>IF(Person2!$F$5+ROW(A77)-1&lt;=Person2!$G$5, Person2!$F$5+ROW(A77)-1, "")</f>
        <v/>
      </c>
      <c r="AH79" s="1" t="str">
        <f>IF(Person2!$F$6+ROW(A77)-1&lt;=Person2!$G$6, Person2!$F$6+ROW(A77)-1, "")</f>
        <v/>
      </c>
      <c r="AI79" s="1" t="str">
        <f>IF(Person2!$F$7+ROW(A77)-1&lt;=Person2!$G$7, Person2!$F$7+ROW(A77)-1, "")</f>
        <v/>
      </c>
    </row>
    <row r="80" spans="1:35" x14ac:dyDescent="0.3">
      <c r="A80" s="1" t="str">
        <f>IF(Person2!$B$3+ROW(A78)-1&lt;=Person2!$C$3, Person2!$B$3+ROW(A78)-1, "")</f>
        <v/>
      </c>
      <c r="B80" s="1" t="str">
        <f>IF(Person2!$B$4+ROW(B78)-1&lt;=Person2!$C$4, Person2!$B$4+ROW(B78)-1, "")</f>
        <v/>
      </c>
      <c r="C80" s="1" t="str">
        <f>IF(Person2!$B$5+ROW(B78)-1&lt;=Person2!$C$5, Person2!$B$5+ROW(B78)-1, "")</f>
        <v/>
      </c>
      <c r="D80" s="1" t="str">
        <f>IF(Person2!$B$6+ROW(B78)-1&lt;=Person2!$C$6, Person2!$B$6+ROW(B78)-1, "")</f>
        <v/>
      </c>
      <c r="E80" s="1" t="str">
        <f>IF(Person2!$B$7+ROW(B78)-1&lt;=Person2!$C$7, Person2!$B$7+ROW(B78)-1, "")</f>
        <v/>
      </c>
      <c r="F80" s="1" t="str">
        <f>IF(Person2!$B$8+ROW(B78)-1&lt;=Person2!$C$8, Person2!$B$8+ROW(B78)-1, "")</f>
        <v/>
      </c>
      <c r="G80" s="1" t="str">
        <f>IF(Person2!$B$9+ROW(B78)-1&lt;=Person2!$C$9, Person2!$B$9+ROW(B78)-1, "")</f>
        <v/>
      </c>
      <c r="H80" s="1" t="str">
        <f>IF(Person2!$B$10+ROW(B78)-1&lt;=Person2!$C$10, Person2!$B$10+ROW(B78)-1, "")</f>
        <v/>
      </c>
      <c r="I80" s="1" t="str">
        <f>IF(Person2!$B$11+ROW(B78)-1&lt;=Person2!$C$11, Person2!$B$11+ROW(B78)-1, "")</f>
        <v/>
      </c>
      <c r="J80" s="1" t="str">
        <f>IF(Person2!$B$12+ROW(B78)-1&lt;=Person2!$C$12, Person2!$B$12+ROW(B78)-1, "")</f>
        <v/>
      </c>
      <c r="K80" s="1" t="str">
        <f>IF(Person2!$B$13+ROW(B78)-1&lt;=Person2!$C$13, Person2!$B$13+ROW(B78)-1, "")</f>
        <v/>
      </c>
      <c r="L80" s="1" t="str">
        <f>IF(Person2!$B$14+ROW(B78)-1&lt;=Person2!$C$14, Person2!$B$14+ROW(B78)-1, "")</f>
        <v/>
      </c>
      <c r="M80" s="1" t="str">
        <f>IF(Person2!$B$15+ROW(B78)-1&lt;=Person2!$C$15, Person2!$B$15+ROW(B78)-1, "")</f>
        <v/>
      </c>
      <c r="N80" s="1" t="str">
        <f>IF(Person2!$B$16+ROW(B78)-1&lt;=Person2!$C$16, Person2!$B$16+ROW(B78)-1, "")</f>
        <v/>
      </c>
      <c r="O80" s="1" t="str">
        <f>IF(Person2!$B$17+ROW(B78)-1&lt;=Person2!$C$17, Person2!$B$17+ROW(B78)-1, "")</f>
        <v/>
      </c>
      <c r="V80" s="1" t="str">
        <f>IF(Person2!$D$3+ROW(A78)-1&lt;=Person2!$E$3, Person2!$D$3+ROW(A78)-1, "")</f>
        <v/>
      </c>
      <c r="W80" s="1" t="str">
        <f>IF(Person2!$D$4+ROW(A78)-1&lt;=Person2!$E$4, Person2!$D$4+ROW(A78)-1, "")</f>
        <v/>
      </c>
      <c r="X80" s="1" t="str">
        <f>IF(Person2!$D$5+ROW(A78)-1&lt;=Person2!$E$5, Person2!$D$5+ROW(A78)-1, "")</f>
        <v/>
      </c>
      <c r="Y80" s="1" t="str">
        <f>IF(Person2!$D$6+ROW(A78)-1&lt;=Person2!$E$6, Person2!$D$6+ROW(A78)-1, "")</f>
        <v/>
      </c>
      <c r="Z80" s="1" t="str">
        <f>IF(Person2!$D$7+ROW(A78)-1&lt;=Person2!$E$7, Person2!$D$7+ROW(A78)-1, "")</f>
        <v/>
      </c>
      <c r="AA80" s="1" t="str">
        <f>IF(Person2!$D$8+ROW(A78)-1&lt;=Person2!$E$8, Person2!$D$8+ROW(A78)-1, "")</f>
        <v/>
      </c>
      <c r="AE80" s="1" t="str">
        <f>IF(Person2!$F$3+ROW(A78)-1&lt;=Person2!$G$3, Person2!$F$3+ROW(A78)-1, "")</f>
        <v/>
      </c>
      <c r="AF80" s="1" t="str">
        <f>IF(Person2!$F$4+ROW(A78)-1&lt;=Person2!$G$4, Person2!$F$4+ROW(A78)-1, "")</f>
        <v/>
      </c>
      <c r="AG80" s="1" t="str">
        <f>IF(Person2!$F$5+ROW(A78)-1&lt;=Person2!$G$5, Person2!$F$5+ROW(A78)-1, "")</f>
        <v/>
      </c>
      <c r="AH80" s="1" t="str">
        <f>IF(Person2!$F$6+ROW(A78)-1&lt;=Person2!$G$6, Person2!$F$6+ROW(A78)-1, "")</f>
        <v/>
      </c>
      <c r="AI80" s="1" t="str">
        <f>IF(Person2!$F$7+ROW(A78)-1&lt;=Person2!$G$7, Person2!$F$7+ROW(A78)-1, "")</f>
        <v/>
      </c>
    </row>
    <row r="81" spans="1:35" x14ac:dyDescent="0.3">
      <c r="A81" s="1" t="str">
        <f>IF(Person2!$B$3+ROW(A79)-1&lt;=Person2!$C$3, Person2!$B$3+ROW(A79)-1, "")</f>
        <v/>
      </c>
      <c r="B81" s="1" t="str">
        <f>IF(Person2!$B$4+ROW(B79)-1&lt;=Person2!$C$4, Person2!$B$4+ROW(B79)-1, "")</f>
        <v/>
      </c>
      <c r="C81" s="1" t="str">
        <f>IF(Person2!$B$5+ROW(B79)-1&lt;=Person2!$C$5, Person2!$B$5+ROW(B79)-1, "")</f>
        <v/>
      </c>
      <c r="D81" s="1" t="str">
        <f>IF(Person2!$B$6+ROW(B79)-1&lt;=Person2!$C$6, Person2!$B$6+ROW(B79)-1, "")</f>
        <v/>
      </c>
      <c r="E81" s="1" t="str">
        <f>IF(Person2!$B$7+ROW(B79)-1&lt;=Person2!$C$7, Person2!$B$7+ROW(B79)-1, "")</f>
        <v/>
      </c>
      <c r="F81" s="1" t="str">
        <f>IF(Person2!$B$8+ROW(B79)-1&lt;=Person2!$C$8, Person2!$B$8+ROW(B79)-1, "")</f>
        <v/>
      </c>
      <c r="G81" s="1" t="str">
        <f>IF(Person2!$B$9+ROW(B79)-1&lt;=Person2!$C$9, Person2!$B$9+ROW(B79)-1, "")</f>
        <v/>
      </c>
      <c r="H81" s="1" t="str">
        <f>IF(Person2!$B$10+ROW(B79)-1&lt;=Person2!$C$10, Person2!$B$10+ROW(B79)-1, "")</f>
        <v/>
      </c>
      <c r="I81" s="1" t="str">
        <f>IF(Person2!$B$11+ROW(B79)-1&lt;=Person2!$C$11, Person2!$B$11+ROW(B79)-1, "")</f>
        <v/>
      </c>
      <c r="J81" s="1" t="str">
        <f>IF(Person2!$B$12+ROW(B79)-1&lt;=Person2!$C$12, Person2!$B$12+ROW(B79)-1, "")</f>
        <v/>
      </c>
      <c r="K81" s="1" t="str">
        <f>IF(Person2!$B$13+ROW(B79)-1&lt;=Person2!$C$13, Person2!$B$13+ROW(B79)-1, "")</f>
        <v/>
      </c>
      <c r="L81" s="1" t="str">
        <f>IF(Person2!$B$14+ROW(B79)-1&lt;=Person2!$C$14, Person2!$B$14+ROW(B79)-1, "")</f>
        <v/>
      </c>
      <c r="M81" s="1" t="str">
        <f>IF(Person2!$B$15+ROW(B79)-1&lt;=Person2!$C$15, Person2!$B$15+ROW(B79)-1, "")</f>
        <v/>
      </c>
      <c r="N81" s="1" t="str">
        <f>IF(Person2!$B$16+ROW(B79)-1&lt;=Person2!$C$16, Person2!$B$16+ROW(B79)-1, "")</f>
        <v/>
      </c>
      <c r="O81" s="1" t="str">
        <f>IF(Person2!$B$17+ROW(B79)-1&lt;=Person2!$C$17, Person2!$B$17+ROW(B79)-1, "")</f>
        <v/>
      </c>
      <c r="V81" s="1" t="str">
        <f>IF(Person2!$D$3+ROW(A79)-1&lt;=Person2!$E$3, Person2!$D$3+ROW(A79)-1, "")</f>
        <v/>
      </c>
      <c r="W81" s="1" t="str">
        <f>IF(Person2!$D$4+ROW(A79)-1&lt;=Person2!$E$4, Person2!$D$4+ROW(A79)-1, "")</f>
        <v/>
      </c>
      <c r="X81" s="1" t="str">
        <f>IF(Person2!$D$5+ROW(A79)-1&lt;=Person2!$E$5, Person2!$D$5+ROW(A79)-1, "")</f>
        <v/>
      </c>
      <c r="Y81" s="1" t="str">
        <f>IF(Person2!$D$6+ROW(A79)-1&lt;=Person2!$E$6, Person2!$D$6+ROW(A79)-1, "")</f>
        <v/>
      </c>
      <c r="Z81" s="1" t="str">
        <f>IF(Person2!$D$7+ROW(A79)-1&lt;=Person2!$E$7, Person2!$D$7+ROW(A79)-1, "")</f>
        <v/>
      </c>
      <c r="AA81" s="1" t="str">
        <f>IF(Person2!$D$8+ROW(A79)-1&lt;=Person2!$E$8, Person2!$D$8+ROW(A79)-1, "")</f>
        <v/>
      </c>
      <c r="AE81" s="1" t="str">
        <f>IF(Person2!$F$3+ROW(A79)-1&lt;=Person2!$G$3, Person2!$F$3+ROW(A79)-1, "")</f>
        <v/>
      </c>
      <c r="AF81" s="1" t="str">
        <f>IF(Person2!$F$4+ROW(A79)-1&lt;=Person2!$G$4, Person2!$F$4+ROW(A79)-1, "")</f>
        <v/>
      </c>
      <c r="AG81" s="1" t="str">
        <f>IF(Person2!$F$5+ROW(A79)-1&lt;=Person2!$G$5, Person2!$F$5+ROW(A79)-1, "")</f>
        <v/>
      </c>
      <c r="AH81" s="1" t="str">
        <f>IF(Person2!$F$6+ROW(A79)-1&lt;=Person2!$G$6, Person2!$F$6+ROW(A79)-1, "")</f>
        <v/>
      </c>
      <c r="AI81" s="1" t="str">
        <f>IF(Person2!$F$7+ROW(A79)-1&lt;=Person2!$G$7, Person2!$F$7+ROW(A79)-1, "")</f>
        <v/>
      </c>
    </row>
    <row r="82" spans="1:35" x14ac:dyDescent="0.3">
      <c r="A82" s="1" t="str">
        <f>IF(Person2!$B$3+ROW(A80)-1&lt;=Person2!$C$3, Person2!$B$3+ROW(A80)-1, "")</f>
        <v/>
      </c>
      <c r="B82" s="1" t="str">
        <f>IF(Person2!$B$4+ROW(B80)-1&lt;=Person2!$C$4, Person2!$B$4+ROW(B80)-1, "")</f>
        <v/>
      </c>
      <c r="C82" s="1" t="str">
        <f>IF(Person2!$B$5+ROW(B80)-1&lt;=Person2!$C$5, Person2!$B$5+ROW(B80)-1, "")</f>
        <v/>
      </c>
      <c r="D82" s="1" t="str">
        <f>IF(Person2!$B$6+ROW(B80)-1&lt;=Person2!$C$6, Person2!$B$6+ROW(B80)-1, "")</f>
        <v/>
      </c>
      <c r="E82" s="1" t="str">
        <f>IF(Person2!$B$7+ROW(B80)-1&lt;=Person2!$C$7, Person2!$B$7+ROW(B80)-1, "")</f>
        <v/>
      </c>
      <c r="F82" s="1" t="str">
        <f>IF(Person2!$B$8+ROW(B80)-1&lt;=Person2!$C$8, Person2!$B$8+ROW(B80)-1, "")</f>
        <v/>
      </c>
      <c r="G82" s="1" t="str">
        <f>IF(Person2!$B$9+ROW(B80)-1&lt;=Person2!$C$9, Person2!$B$9+ROW(B80)-1, "")</f>
        <v/>
      </c>
      <c r="H82" s="1" t="str">
        <f>IF(Person2!$B$10+ROW(B80)-1&lt;=Person2!$C$10, Person2!$B$10+ROW(B80)-1, "")</f>
        <v/>
      </c>
      <c r="I82" s="1" t="str">
        <f>IF(Person2!$B$11+ROW(B80)-1&lt;=Person2!$C$11, Person2!$B$11+ROW(B80)-1, "")</f>
        <v/>
      </c>
      <c r="J82" s="1" t="str">
        <f>IF(Person2!$B$12+ROW(B80)-1&lt;=Person2!$C$12, Person2!$B$12+ROW(B80)-1, "")</f>
        <v/>
      </c>
      <c r="K82" s="1" t="str">
        <f>IF(Person2!$B$13+ROW(B80)-1&lt;=Person2!$C$13, Person2!$B$13+ROW(B80)-1, "")</f>
        <v/>
      </c>
      <c r="L82" s="1" t="str">
        <f>IF(Person2!$B$14+ROW(B80)-1&lt;=Person2!$C$14, Person2!$B$14+ROW(B80)-1, "")</f>
        <v/>
      </c>
      <c r="M82" s="1" t="str">
        <f>IF(Person2!$B$15+ROW(B80)-1&lt;=Person2!$C$15, Person2!$B$15+ROW(B80)-1, "")</f>
        <v/>
      </c>
      <c r="N82" s="1" t="str">
        <f>IF(Person2!$B$16+ROW(B80)-1&lt;=Person2!$C$16, Person2!$B$16+ROW(B80)-1, "")</f>
        <v/>
      </c>
      <c r="O82" s="1" t="str">
        <f>IF(Person2!$B$17+ROW(B80)-1&lt;=Person2!$C$17, Person2!$B$17+ROW(B80)-1, "")</f>
        <v/>
      </c>
      <c r="V82" s="1" t="str">
        <f>IF(Person2!$D$3+ROW(A80)-1&lt;=Person2!$E$3, Person2!$D$3+ROW(A80)-1, "")</f>
        <v/>
      </c>
      <c r="W82" s="1" t="str">
        <f>IF(Person2!$D$4+ROW(A80)-1&lt;=Person2!$E$4, Person2!$D$4+ROW(A80)-1, "")</f>
        <v/>
      </c>
      <c r="X82" s="1" t="str">
        <f>IF(Person2!$D$5+ROW(A80)-1&lt;=Person2!$E$5, Person2!$D$5+ROW(A80)-1, "")</f>
        <v/>
      </c>
      <c r="Y82" s="1" t="str">
        <f>IF(Person2!$D$6+ROW(A80)-1&lt;=Person2!$E$6, Person2!$D$6+ROW(A80)-1, "")</f>
        <v/>
      </c>
      <c r="Z82" s="1" t="str">
        <f>IF(Person2!$D$7+ROW(A80)-1&lt;=Person2!$E$7, Person2!$D$7+ROW(A80)-1, "")</f>
        <v/>
      </c>
      <c r="AA82" s="1" t="str">
        <f>IF(Person2!$D$8+ROW(A80)-1&lt;=Person2!$E$8, Person2!$D$8+ROW(A80)-1, "")</f>
        <v/>
      </c>
      <c r="AE82" s="1" t="str">
        <f>IF(Person2!$F$3+ROW(A80)-1&lt;=Person2!$G$3, Person2!$F$3+ROW(A80)-1, "")</f>
        <v/>
      </c>
      <c r="AF82" s="1" t="str">
        <f>IF(Person2!$F$4+ROW(A80)-1&lt;=Person2!$G$4, Person2!$F$4+ROW(A80)-1, "")</f>
        <v/>
      </c>
      <c r="AG82" s="1" t="str">
        <f>IF(Person2!$F$5+ROW(A80)-1&lt;=Person2!$G$5, Person2!$F$5+ROW(A80)-1, "")</f>
        <v/>
      </c>
      <c r="AH82" s="1" t="str">
        <f>IF(Person2!$F$6+ROW(A80)-1&lt;=Person2!$G$6, Person2!$F$6+ROW(A80)-1, "")</f>
        <v/>
      </c>
      <c r="AI82" s="1" t="str">
        <f>IF(Person2!$F$7+ROW(A80)-1&lt;=Person2!$G$7, Person2!$F$7+ROW(A80)-1, "")</f>
        <v/>
      </c>
    </row>
    <row r="83" spans="1:35" x14ac:dyDescent="0.3">
      <c r="A83" s="1" t="str">
        <f>IF(Person2!$B$3+ROW(A81)-1&lt;=Person2!$C$3, Person2!$B$3+ROW(A81)-1, "")</f>
        <v/>
      </c>
      <c r="B83" s="1" t="str">
        <f>IF(Person2!$B$4+ROW(B81)-1&lt;=Person2!$C$4, Person2!$B$4+ROW(B81)-1, "")</f>
        <v/>
      </c>
      <c r="C83" s="1" t="str">
        <f>IF(Person2!$B$5+ROW(B81)-1&lt;=Person2!$C$5, Person2!$B$5+ROW(B81)-1, "")</f>
        <v/>
      </c>
      <c r="D83" s="1" t="str">
        <f>IF(Person2!$B$6+ROW(B81)-1&lt;=Person2!$C$6, Person2!$B$6+ROW(B81)-1, "")</f>
        <v/>
      </c>
      <c r="E83" s="1" t="str">
        <f>IF(Person2!$B$7+ROW(B81)-1&lt;=Person2!$C$7, Person2!$B$7+ROW(B81)-1, "")</f>
        <v/>
      </c>
      <c r="F83" s="1" t="str">
        <f>IF(Person2!$B$8+ROW(B81)-1&lt;=Person2!$C$8, Person2!$B$8+ROW(B81)-1, "")</f>
        <v/>
      </c>
      <c r="G83" s="1" t="str">
        <f>IF(Person2!$B$9+ROW(B81)-1&lt;=Person2!$C$9, Person2!$B$9+ROW(B81)-1, "")</f>
        <v/>
      </c>
      <c r="H83" s="1" t="str">
        <f>IF(Person2!$B$10+ROW(B81)-1&lt;=Person2!$C$10, Person2!$B$10+ROW(B81)-1, "")</f>
        <v/>
      </c>
      <c r="I83" s="1" t="str">
        <f>IF(Person2!$B$11+ROW(B81)-1&lt;=Person2!$C$11, Person2!$B$11+ROW(B81)-1, "")</f>
        <v/>
      </c>
      <c r="J83" s="1" t="str">
        <f>IF(Person2!$B$12+ROW(B81)-1&lt;=Person2!$C$12, Person2!$B$12+ROW(B81)-1, "")</f>
        <v/>
      </c>
      <c r="K83" s="1" t="str">
        <f>IF(Person2!$B$13+ROW(B81)-1&lt;=Person2!$C$13, Person2!$B$13+ROW(B81)-1, "")</f>
        <v/>
      </c>
      <c r="L83" s="1" t="str">
        <f>IF(Person2!$B$14+ROW(B81)-1&lt;=Person2!$C$14, Person2!$B$14+ROW(B81)-1, "")</f>
        <v/>
      </c>
      <c r="M83" s="1" t="str">
        <f>IF(Person2!$B$15+ROW(B81)-1&lt;=Person2!$C$15, Person2!$B$15+ROW(B81)-1, "")</f>
        <v/>
      </c>
      <c r="N83" s="1" t="str">
        <f>IF(Person2!$B$16+ROW(B81)-1&lt;=Person2!$C$16, Person2!$B$16+ROW(B81)-1, "")</f>
        <v/>
      </c>
      <c r="O83" s="1" t="str">
        <f>IF(Person2!$B$17+ROW(B81)-1&lt;=Person2!$C$17, Person2!$B$17+ROW(B81)-1, "")</f>
        <v/>
      </c>
      <c r="V83" s="1" t="str">
        <f>IF(Person2!$D$3+ROW(A81)-1&lt;=Person2!$E$3, Person2!$D$3+ROW(A81)-1, "")</f>
        <v/>
      </c>
      <c r="W83" s="1" t="str">
        <f>IF(Person2!$D$4+ROW(A81)-1&lt;=Person2!$E$4, Person2!$D$4+ROW(A81)-1, "")</f>
        <v/>
      </c>
      <c r="X83" s="1" t="str">
        <f>IF(Person2!$D$5+ROW(A81)-1&lt;=Person2!$E$5, Person2!$D$5+ROW(A81)-1, "")</f>
        <v/>
      </c>
      <c r="Y83" s="1" t="str">
        <f>IF(Person2!$D$6+ROW(A81)-1&lt;=Person2!$E$6, Person2!$D$6+ROW(A81)-1, "")</f>
        <v/>
      </c>
      <c r="Z83" s="1" t="str">
        <f>IF(Person2!$D$7+ROW(A81)-1&lt;=Person2!$E$7, Person2!$D$7+ROW(A81)-1, "")</f>
        <v/>
      </c>
      <c r="AA83" s="1" t="str">
        <f>IF(Person2!$D$8+ROW(A81)-1&lt;=Person2!$E$8, Person2!$D$8+ROW(A81)-1, "")</f>
        <v/>
      </c>
      <c r="AE83" s="1" t="str">
        <f>IF(Person2!$F$3+ROW(A81)-1&lt;=Person2!$G$3, Person2!$F$3+ROW(A81)-1, "")</f>
        <v/>
      </c>
      <c r="AF83" s="1" t="str">
        <f>IF(Person2!$F$4+ROW(A81)-1&lt;=Person2!$G$4, Person2!$F$4+ROW(A81)-1, "")</f>
        <v/>
      </c>
      <c r="AG83" s="1" t="str">
        <f>IF(Person2!$F$5+ROW(A81)-1&lt;=Person2!$G$5, Person2!$F$5+ROW(A81)-1, "")</f>
        <v/>
      </c>
      <c r="AH83" s="1" t="str">
        <f>IF(Person2!$F$6+ROW(A81)-1&lt;=Person2!$G$6, Person2!$F$6+ROW(A81)-1, "")</f>
        <v/>
      </c>
      <c r="AI83" s="1" t="str">
        <f>IF(Person2!$F$7+ROW(A81)-1&lt;=Person2!$G$7, Person2!$F$7+ROW(A81)-1, "")</f>
        <v/>
      </c>
    </row>
    <row r="84" spans="1:35" x14ac:dyDescent="0.3">
      <c r="A84" s="1" t="str">
        <f>IF(Person2!$B$3+ROW(A82)-1&lt;=Person2!$C$3, Person2!$B$3+ROW(A82)-1, "")</f>
        <v/>
      </c>
      <c r="B84" s="1" t="str">
        <f>IF(Person2!$B$4+ROW(B82)-1&lt;=Person2!$C$4, Person2!$B$4+ROW(B82)-1, "")</f>
        <v/>
      </c>
      <c r="C84" s="1" t="str">
        <f>IF(Person2!$B$5+ROW(B82)-1&lt;=Person2!$C$5, Person2!$B$5+ROW(B82)-1, "")</f>
        <v/>
      </c>
      <c r="D84" s="1" t="str">
        <f>IF(Person2!$B$6+ROW(B82)-1&lt;=Person2!$C$6, Person2!$B$6+ROW(B82)-1, "")</f>
        <v/>
      </c>
      <c r="E84" s="1" t="str">
        <f>IF(Person2!$B$7+ROW(B82)-1&lt;=Person2!$C$7, Person2!$B$7+ROW(B82)-1, "")</f>
        <v/>
      </c>
      <c r="F84" s="1" t="str">
        <f>IF(Person2!$B$8+ROW(B82)-1&lt;=Person2!$C$8, Person2!$B$8+ROW(B82)-1, "")</f>
        <v/>
      </c>
      <c r="G84" s="1" t="str">
        <f>IF(Person2!$B$9+ROW(B82)-1&lt;=Person2!$C$9, Person2!$B$9+ROW(B82)-1, "")</f>
        <v/>
      </c>
      <c r="H84" s="1" t="str">
        <f>IF(Person2!$B$10+ROW(B82)-1&lt;=Person2!$C$10, Person2!$B$10+ROW(B82)-1, "")</f>
        <v/>
      </c>
      <c r="I84" s="1" t="str">
        <f>IF(Person2!$B$11+ROW(B82)-1&lt;=Person2!$C$11, Person2!$B$11+ROW(B82)-1, "")</f>
        <v/>
      </c>
      <c r="J84" s="1" t="str">
        <f>IF(Person2!$B$12+ROW(B82)-1&lt;=Person2!$C$12, Person2!$B$12+ROW(B82)-1, "")</f>
        <v/>
      </c>
      <c r="K84" s="1" t="str">
        <f>IF(Person2!$B$13+ROW(B82)-1&lt;=Person2!$C$13, Person2!$B$13+ROW(B82)-1, "")</f>
        <v/>
      </c>
      <c r="L84" s="1" t="str">
        <f>IF(Person2!$B$14+ROW(B82)-1&lt;=Person2!$C$14, Person2!$B$14+ROW(B82)-1, "")</f>
        <v/>
      </c>
      <c r="M84" s="1" t="str">
        <f>IF(Person2!$B$15+ROW(B82)-1&lt;=Person2!$C$15, Person2!$B$15+ROW(B82)-1, "")</f>
        <v/>
      </c>
      <c r="N84" s="1" t="str">
        <f>IF(Person2!$B$16+ROW(B82)-1&lt;=Person2!$C$16, Person2!$B$16+ROW(B82)-1, "")</f>
        <v/>
      </c>
      <c r="O84" s="1" t="str">
        <f>IF(Person2!$B$17+ROW(B82)-1&lt;=Person2!$C$17, Person2!$B$17+ROW(B82)-1, "")</f>
        <v/>
      </c>
      <c r="V84" s="1" t="str">
        <f>IF(Person2!$D$3+ROW(A82)-1&lt;=Person2!$E$3, Person2!$D$3+ROW(A82)-1, "")</f>
        <v/>
      </c>
      <c r="W84" s="1" t="str">
        <f>IF(Person2!$D$4+ROW(A82)-1&lt;=Person2!$E$4, Person2!$D$4+ROW(A82)-1, "")</f>
        <v/>
      </c>
      <c r="X84" s="1" t="str">
        <f>IF(Person2!$D$5+ROW(A82)-1&lt;=Person2!$E$5, Person2!$D$5+ROW(A82)-1, "")</f>
        <v/>
      </c>
      <c r="Y84" s="1" t="str">
        <f>IF(Person2!$D$6+ROW(A82)-1&lt;=Person2!$E$6, Person2!$D$6+ROW(A82)-1, "")</f>
        <v/>
      </c>
      <c r="Z84" s="1" t="str">
        <f>IF(Person2!$D$7+ROW(A82)-1&lt;=Person2!$E$7, Person2!$D$7+ROW(A82)-1, "")</f>
        <v/>
      </c>
      <c r="AA84" s="1" t="str">
        <f>IF(Person2!$D$8+ROW(A82)-1&lt;=Person2!$E$8, Person2!$D$8+ROW(A82)-1, "")</f>
        <v/>
      </c>
      <c r="AE84" s="1" t="str">
        <f>IF(Person2!$F$3+ROW(A82)-1&lt;=Person2!$G$3, Person2!$F$3+ROW(A82)-1, "")</f>
        <v/>
      </c>
      <c r="AF84" s="1" t="str">
        <f>IF(Person2!$F$4+ROW(A82)-1&lt;=Person2!$G$4, Person2!$F$4+ROW(A82)-1, "")</f>
        <v/>
      </c>
      <c r="AG84" s="1" t="str">
        <f>IF(Person2!$F$5+ROW(A82)-1&lt;=Person2!$G$5, Person2!$F$5+ROW(A82)-1, "")</f>
        <v/>
      </c>
      <c r="AH84" s="1" t="str">
        <f>IF(Person2!$F$6+ROW(A82)-1&lt;=Person2!$G$6, Person2!$F$6+ROW(A82)-1, "")</f>
        <v/>
      </c>
      <c r="AI84" s="1" t="str">
        <f>IF(Person2!$F$7+ROW(A82)-1&lt;=Person2!$G$7, Person2!$F$7+ROW(A82)-1, "")</f>
        <v/>
      </c>
    </row>
    <row r="85" spans="1:35" x14ac:dyDescent="0.3">
      <c r="A85" s="1" t="str">
        <f>IF(Person2!$B$3+ROW(A83)-1&lt;=Person2!$C$3, Person2!$B$3+ROW(A83)-1, "")</f>
        <v/>
      </c>
      <c r="B85" s="1" t="str">
        <f>IF(Person2!$B$4+ROW(B83)-1&lt;=Person2!$C$4, Person2!$B$4+ROW(B83)-1, "")</f>
        <v/>
      </c>
      <c r="C85" s="1" t="str">
        <f>IF(Person2!$B$5+ROW(B83)-1&lt;=Person2!$C$5, Person2!$B$5+ROW(B83)-1, "")</f>
        <v/>
      </c>
      <c r="D85" s="1" t="str">
        <f>IF(Person2!$B$6+ROW(B83)-1&lt;=Person2!$C$6, Person2!$B$6+ROW(B83)-1, "")</f>
        <v/>
      </c>
      <c r="E85" s="1" t="str">
        <f>IF(Person2!$B$7+ROW(B83)-1&lt;=Person2!$C$7, Person2!$B$7+ROW(B83)-1, "")</f>
        <v/>
      </c>
      <c r="F85" s="1" t="str">
        <f>IF(Person2!$B$8+ROW(B83)-1&lt;=Person2!$C$8, Person2!$B$8+ROW(B83)-1, "")</f>
        <v/>
      </c>
      <c r="G85" s="1" t="str">
        <f>IF(Person2!$B$9+ROW(B83)-1&lt;=Person2!$C$9, Person2!$B$9+ROW(B83)-1, "")</f>
        <v/>
      </c>
      <c r="H85" s="1" t="str">
        <f>IF(Person2!$B$10+ROW(B83)-1&lt;=Person2!$C$10, Person2!$B$10+ROW(B83)-1, "")</f>
        <v/>
      </c>
      <c r="I85" s="1" t="str">
        <f>IF(Person2!$B$11+ROW(B83)-1&lt;=Person2!$C$11, Person2!$B$11+ROW(B83)-1, "")</f>
        <v/>
      </c>
      <c r="J85" s="1" t="str">
        <f>IF(Person2!$B$12+ROW(B83)-1&lt;=Person2!$C$12, Person2!$B$12+ROW(B83)-1, "")</f>
        <v/>
      </c>
      <c r="K85" s="1" t="str">
        <f>IF(Person2!$B$13+ROW(B83)-1&lt;=Person2!$C$13, Person2!$B$13+ROW(B83)-1, "")</f>
        <v/>
      </c>
      <c r="L85" s="1" t="str">
        <f>IF(Person2!$B$14+ROW(B83)-1&lt;=Person2!$C$14, Person2!$B$14+ROW(B83)-1, "")</f>
        <v/>
      </c>
      <c r="M85" s="1" t="str">
        <f>IF(Person2!$B$15+ROW(B83)-1&lt;=Person2!$C$15, Person2!$B$15+ROW(B83)-1, "")</f>
        <v/>
      </c>
      <c r="N85" s="1" t="str">
        <f>IF(Person2!$B$16+ROW(B83)-1&lt;=Person2!$C$16, Person2!$B$16+ROW(B83)-1, "")</f>
        <v/>
      </c>
      <c r="O85" s="1" t="str">
        <f>IF(Person2!$B$17+ROW(B83)-1&lt;=Person2!$C$17, Person2!$B$17+ROW(B83)-1, "")</f>
        <v/>
      </c>
      <c r="V85" s="1" t="str">
        <f>IF(Person2!$D$3+ROW(A83)-1&lt;=Person2!$E$3, Person2!$D$3+ROW(A83)-1, "")</f>
        <v/>
      </c>
      <c r="W85" s="1" t="str">
        <f>IF(Person2!$D$4+ROW(A83)-1&lt;=Person2!$E$4, Person2!$D$4+ROW(A83)-1, "")</f>
        <v/>
      </c>
      <c r="X85" s="1" t="str">
        <f>IF(Person2!$D$5+ROW(A83)-1&lt;=Person2!$E$5, Person2!$D$5+ROW(A83)-1, "")</f>
        <v/>
      </c>
      <c r="Y85" s="1" t="str">
        <f>IF(Person2!$D$6+ROW(A83)-1&lt;=Person2!$E$6, Person2!$D$6+ROW(A83)-1, "")</f>
        <v/>
      </c>
      <c r="Z85" s="1" t="str">
        <f>IF(Person2!$D$7+ROW(A83)-1&lt;=Person2!$E$7, Person2!$D$7+ROW(A83)-1, "")</f>
        <v/>
      </c>
      <c r="AA85" s="1" t="str">
        <f>IF(Person2!$D$8+ROW(A83)-1&lt;=Person2!$E$8, Person2!$D$8+ROW(A83)-1, "")</f>
        <v/>
      </c>
      <c r="AE85" s="1" t="str">
        <f>IF(Person2!$F$3+ROW(A83)-1&lt;=Person2!$G$3, Person2!$F$3+ROW(A83)-1, "")</f>
        <v/>
      </c>
      <c r="AF85" s="1" t="str">
        <f>IF(Person2!$F$4+ROW(A83)-1&lt;=Person2!$G$4, Person2!$F$4+ROW(A83)-1, "")</f>
        <v/>
      </c>
      <c r="AG85" s="1" t="str">
        <f>IF(Person2!$F$5+ROW(A83)-1&lt;=Person2!$G$5, Person2!$F$5+ROW(A83)-1, "")</f>
        <v/>
      </c>
      <c r="AH85" s="1" t="str">
        <f>IF(Person2!$F$6+ROW(A83)-1&lt;=Person2!$G$6, Person2!$F$6+ROW(A83)-1, "")</f>
        <v/>
      </c>
      <c r="AI85" s="1" t="str">
        <f>IF(Person2!$F$7+ROW(A83)-1&lt;=Person2!$G$7, Person2!$F$7+ROW(A83)-1, "")</f>
        <v/>
      </c>
    </row>
    <row r="86" spans="1:35" x14ac:dyDescent="0.3">
      <c r="A86" s="1" t="str">
        <f>IF(Person2!$B$3+ROW(A84)-1&lt;=Person2!$C$3, Person2!$B$3+ROW(A84)-1, "")</f>
        <v/>
      </c>
      <c r="B86" s="1" t="str">
        <f>IF(Person2!$B$4+ROW(B84)-1&lt;=Person2!$C$4, Person2!$B$4+ROW(B84)-1, "")</f>
        <v/>
      </c>
      <c r="C86" s="1" t="str">
        <f>IF(Person2!$B$5+ROW(B84)-1&lt;=Person2!$C$5, Person2!$B$5+ROW(B84)-1, "")</f>
        <v/>
      </c>
      <c r="D86" s="1" t="str">
        <f>IF(Person2!$B$6+ROW(B84)-1&lt;=Person2!$C$6, Person2!$B$6+ROW(B84)-1, "")</f>
        <v/>
      </c>
      <c r="E86" s="1" t="str">
        <f>IF(Person2!$B$7+ROW(B84)-1&lt;=Person2!$C$7, Person2!$B$7+ROW(B84)-1, "")</f>
        <v/>
      </c>
      <c r="F86" s="1" t="str">
        <f>IF(Person2!$B$8+ROW(B84)-1&lt;=Person2!$C$8, Person2!$B$8+ROW(B84)-1, "")</f>
        <v/>
      </c>
      <c r="G86" s="1" t="str">
        <f>IF(Person2!$B$9+ROW(B84)-1&lt;=Person2!$C$9, Person2!$B$9+ROW(B84)-1, "")</f>
        <v/>
      </c>
      <c r="H86" s="1" t="str">
        <f>IF(Person2!$B$10+ROW(B84)-1&lt;=Person2!$C$10, Person2!$B$10+ROW(B84)-1, "")</f>
        <v/>
      </c>
      <c r="I86" s="1" t="str">
        <f>IF(Person2!$B$11+ROW(B84)-1&lt;=Person2!$C$11, Person2!$B$11+ROW(B84)-1, "")</f>
        <v/>
      </c>
      <c r="J86" s="1" t="str">
        <f>IF(Person2!$B$12+ROW(B84)-1&lt;=Person2!$C$12, Person2!$B$12+ROW(B84)-1, "")</f>
        <v/>
      </c>
      <c r="K86" s="1" t="str">
        <f>IF(Person2!$B$13+ROW(B84)-1&lt;=Person2!$C$13, Person2!$B$13+ROW(B84)-1, "")</f>
        <v/>
      </c>
      <c r="L86" s="1" t="str">
        <f>IF(Person2!$B$14+ROW(B84)-1&lt;=Person2!$C$14, Person2!$B$14+ROW(B84)-1, "")</f>
        <v/>
      </c>
      <c r="M86" s="1" t="str">
        <f>IF(Person2!$B$15+ROW(B84)-1&lt;=Person2!$C$15, Person2!$B$15+ROW(B84)-1, "")</f>
        <v/>
      </c>
      <c r="N86" s="1" t="str">
        <f>IF(Person2!$B$16+ROW(B84)-1&lt;=Person2!$C$16, Person2!$B$16+ROW(B84)-1, "")</f>
        <v/>
      </c>
      <c r="O86" s="1" t="str">
        <f>IF(Person2!$B$17+ROW(B84)-1&lt;=Person2!$C$17, Person2!$B$17+ROW(B84)-1, "")</f>
        <v/>
      </c>
      <c r="V86" s="1" t="str">
        <f>IF(Person2!$D$3+ROW(A84)-1&lt;=Person2!$E$3, Person2!$D$3+ROW(A84)-1, "")</f>
        <v/>
      </c>
      <c r="W86" s="1" t="str">
        <f>IF(Person2!$D$4+ROW(A84)-1&lt;=Person2!$E$4, Person2!$D$4+ROW(A84)-1, "")</f>
        <v/>
      </c>
      <c r="X86" s="1" t="str">
        <f>IF(Person2!$D$5+ROW(A84)-1&lt;=Person2!$E$5, Person2!$D$5+ROW(A84)-1, "")</f>
        <v/>
      </c>
      <c r="Y86" s="1" t="str">
        <f>IF(Person2!$D$6+ROW(A84)-1&lt;=Person2!$E$6, Person2!$D$6+ROW(A84)-1, "")</f>
        <v/>
      </c>
      <c r="Z86" s="1" t="str">
        <f>IF(Person2!$D$7+ROW(A84)-1&lt;=Person2!$E$7, Person2!$D$7+ROW(A84)-1, "")</f>
        <v/>
      </c>
      <c r="AA86" s="1" t="str">
        <f>IF(Person2!$D$8+ROW(A84)-1&lt;=Person2!$E$8, Person2!$D$8+ROW(A84)-1, "")</f>
        <v/>
      </c>
      <c r="AE86" s="1" t="str">
        <f>IF(Person2!$F$3+ROW(A84)-1&lt;=Person2!$G$3, Person2!$F$3+ROW(A84)-1, "")</f>
        <v/>
      </c>
      <c r="AF86" s="1" t="str">
        <f>IF(Person2!$F$4+ROW(A84)-1&lt;=Person2!$G$4, Person2!$F$4+ROW(A84)-1, "")</f>
        <v/>
      </c>
      <c r="AG86" s="1" t="str">
        <f>IF(Person2!$F$5+ROW(A84)-1&lt;=Person2!$G$5, Person2!$F$5+ROW(A84)-1, "")</f>
        <v/>
      </c>
      <c r="AH86" s="1" t="str">
        <f>IF(Person2!$F$6+ROW(A84)-1&lt;=Person2!$G$6, Person2!$F$6+ROW(A84)-1, "")</f>
        <v/>
      </c>
      <c r="AI86" s="1" t="str">
        <f>IF(Person2!$F$7+ROW(A84)-1&lt;=Person2!$G$7, Person2!$F$7+ROW(A84)-1, "")</f>
        <v/>
      </c>
    </row>
    <row r="87" spans="1:35" x14ac:dyDescent="0.3">
      <c r="A87" s="1" t="str">
        <f>IF(Person2!$B$3+ROW(A85)-1&lt;=Person2!$C$3, Person2!$B$3+ROW(A85)-1, "")</f>
        <v/>
      </c>
      <c r="B87" s="1" t="str">
        <f>IF(Person2!$B$4+ROW(B85)-1&lt;=Person2!$C$4, Person2!$B$4+ROW(B85)-1, "")</f>
        <v/>
      </c>
      <c r="C87" s="1" t="str">
        <f>IF(Person2!$B$5+ROW(B85)-1&lt;=Person2!$C$5, Person2!$B$5+ROW(B85)-1, "")</f>
        <v/>
      </c>
      <c r="D87" s="1" t="str">
        <f>IF(Person2!$B$6+ROW(B85)-1&lt;=Person2!$C$6, Person2!$B$6+ROW(B85)-1, "")</f>
        <v/>
      </c>
      <c r="E87" s="1" t="str">
        <f>IF(Person2!$B$7+ROW(B85)-1&lt;=Person2!$C$7, Person2!$B$7+ROW(B85)-1, "")</f>
        <v/>
      </c>
      <c r="F87" s="1" t="str">
        <f>IF(Person2!$B$8+ROW(B85)-1&lt;=Person2!$C$8, Person2!$B$8+ROW(B85)-1, "")</f>
        <v/>
      </c>
      <c r="G87" s="1" t="str">
        <f>IF(Person2!$B$9+ROW(B85)-1&lt;=Person2!$C$9, Person2!$B$9+ROW(B85)-1, "")</f>
        <v/>
      </c>
      <c r="H87" s="1" t="str">
        <f>IF(Person2!$B$10+ROW(B85)-1&lt;=Person2!$C$10, Person2!$B$10+ROW(B85)-1, "")</f>
        <v/>
      </c>
      <c r="I87" s="1" t="str">
        <f>IF(Person2!$B$11+ROW(B85)-1&lt;=Person2!$C$11, Person2!$B$11+ROW(B85)-1, "")</f>
        <v/>
      </c>
      <c r="J87" s="1" t="str">
        <f>IF(Person2!$B$12+ROW(B85)-1&lt;=Person2!$C$12, Person2!$B$12+ROW(B85)-1, "")</f>
        <v/>
      </c>
      <c r="K87" s="1" t="str">
        <f>IF(Person2!$B$13+ROW(B85)-1&lt;=Person2!$C$13, Person2!$B$13+ROW(B85)-1, "")</f>
        <v/>
      </c>
      <c r="L87" s="1" t="str">
        <f>IF(Person2!$B$14+ROW(B85)-1&lt;=Person2!$C$14, Person2!$B$14+ROW(B85)-1, "")</f>
        <v/>
      </c>
      <c r="M87" s="1" t="str">
        <f>IF(Person2!$B$15+ROW(B85)-1&lt;=Person2!$C$15, Person2!$B$15+ROW(B85)-1, "")</f>
        <v/>
      </c>
      <c r="N87" s="1" t="str">
        <f>IF(Person2!$B$16+ROW(B85)-1&lt;=Person2!$C$16, Person2!$B$16+ROW(B85)-1, "")</f>
        <v/>
      </c>
      <c r="O87" s="1" t="str">
        <f>IF(Person2!$B$17+ROW(B85)-1&lt;=Person2!$C$17, Person2!$B$17+ROW(B85)-1, "")</f>
        <v/>
      </c>
      <c r="V87" s="1" t="str">
        <f>IF(Person2!$D$3+ROW(A85)-1&lt;=Person2!$E$3, Person2!$D$3+ROW(A85)-1, "")</f>
        <v/>
      </c>
      <c r="W87" s="1" t="str">
        <f>IF(Person2!$D$4+ROW(A85)-1&lt;=Person2!$E$4, Person2!$D$4+ROW(A85)-1, "")</f>
        <v/>
      </c>
      <c r="X87" s="1" t="str">
        <f>IF(Person2!$D$5+ROW(A85)-1&lt;=Person2!$E$5, Person2!$D$5+ROW(A85)-1, "")</f>
        <v/>
      </c>
      <c r="Y87" s="1" t="str">
        <f>IF(Person2!$D$6+ROW(A85)-1&lt;=Person2!$E$6, Person2!$D$6+ROW(A85)-1, "")</f>
        <v/>
      </c>
      <c r="Z87" s="1" t="str">
        <f>IF(Person2!$D$7+ROW(A85)-1&lt;=Person2!$E$7, Person2!$D$7+ROW(A85)-1, "")</f>
        <v/>
      </c>
      <c r="AA87" s="1" t="str">
        <f>IF(Person2!$D$8+ROW(A85)-1&lt;=Person2!$E$8, Person2!$D$8+ROW(A85)-1, "")</f>
        <v/>
      </c>
      <c r="AE87" s="1" t="str">
        <f>IF(Person2!$F$3+ROW(A85)-1&lt;=Person2!$G$3, Person2!$F$3+ROW(A85)-1, "")</f>
        <v/>
      </c>
      <c r="AF87" s="1" t="str">
        <f>IF(Person2!$F$4+ROW(A85)-1&lt;=Person2!$G$4, Person2!$F$4+ROW(A85)-1, "")</f>
        <v/>
      </c>
      <c r="AG87" s="1" t="str">
        <f>IF(Person2!$F$5+ROW(A85)-1&lt;=Person2!$G$5, Person2!$F$5+ROW(A85)-1, "")</f>
        <v/>
      </c>
      <c r="AH87" s="1" t="str">
        <f>IF(Person2!$F$6+ROW(A85)-1&lt;=Person2!$G$6, Person2!$F$6+ROW(A85)-1, "")</f>
        <v/>
      </c>
      <c r="AI87" s="1" t="str">
        <f>IF(Person2!$F$7+ROW(A85)-1&lt;=Person2!$G$7, Person2!$F$7+ROW(A85)-1, "")</f>
        <v/>
      </c>
    </row>
    <row r="88" spans="1:35" x14ac:dyDescent="0.3">
      <c r="A88" s="1" t="str">
        <f>IF(Person2!$B$3+ROW(A86)-1&lt;=Person2!$C$3, Person2!$B$3+ROW(A86)-1, "")</f>
        <v/>
      </c>
      <c r="B88" s="1" t="str">
        <f>IF(Person2!$B$4+ROW(B86)-1&lt;=Person2!$C$4, Person2!$B$4+ROW(B86)-1, "")</f>
        <v/>
      </c>
      <c r="C88" s="1" t="str">
        <f>IF(Person2!$B$5+ROW(B86)-1&lt;=Person2!$C$5, Person2!$B$5+ROW(B86)-1, "")</f>
        <v/>
      </c>
      <c r="D88" s="1" t="str">
        <f>IF(Person2!$B$6+ROW(B86)-1&lt;=Person2!$C$6, Person2!$B$6+ROW(B86)-1, "")</f>
        <v/>
      </c>
      <c r="E88" s="1" t="str">
        <f>IF(Person2!$B$7+ROW(B86)-1&lt;=Person2!$C$7, Person2!$B$7+ROW(B86)-1, "")</f>
        <v/>
      </c>
      <c r="F88" s="1" t="str">
        <f>IF(Person2!$B$8+ROW(B86)-1&lt;=Person2!$C$8, Person2!$B$8+ROW(B86)-1, "")</f>
        <v/>
      </c>
      <c r="G88" s="1" t="str">
        <f>IF(Person2!$B$9+ROW(B86)-1&lt;=Person2!$C$9, Person2!$B$9+ROW(B86)-1, "")</f>
        <v/>
      </c>
      <c r="H88" s="1" t="str">
        <f>IF(Person2!$B$10+ROW(B86)-1&lt;=Person2!$C$10, Person2!$B$10+ROW(B86)-1, "")</f>
        <v/>
      </c>
      <c r="I88" s="1" t="str">
        <f>IF(Person2!$B$11+ROW(B86)-1&lt;=Person2!$C$11, Person2!$B$11+ROW(B86)-1, "")</f>
        <v/>
      </c>
      <c r="J88" s="1" t="str">
        <f>IF(Person2!$B$12+ROW(B86)-1&lt;=Person2!$C$12, Person2!$B$12+ROW(B86)-1, "")</f>
        <v/>
      </c>
      <c r="K88" s="1" t="str">
        <f>IF(Person2!$B$13+ROW(B86)-1&lt;=Person2!$C$13, Person2!$B$13+ROW(B86)-1, "")</f>
        <v/>
      </c>
      <c r="L88" s="1" t="str">
        <f>IF(Person2!$B$14+ROW(B86)-1&lt;=Person2!$C$14, Person2!$B$14+ROW(B86)-1, "")</f>
        <v/>
      </c>
      <c r="M88" s="1" t="str">
        <f>IF(Person2!$B$15+ROW(B86)-1&lt;=Person2!$C$15, Person2!$B$15+ROW(B86)-1, "")</f>
        <v/>
      </c>
      <c r="N88" s="1" t="str">
        <f>IF(Person2!$B$16+ROW(B86)-1&lt;=Person2!$C$16, Person2!$B$16+ROW(B86)-1, "")</f>
        <v/>
      </c>
      <c r="O88" s="1" t="str">
        <f>IF(Person2!$B$17+ROW(B86)-1&lt;=Person2!$C$17, Person2!$B$17+ROW(B86)-1, "")</f>
        <v/>
      </c>
      <c r="V88" s="1" t="str">
        <f>IF(Person2!$D$3+ROW(A86)-1&lt;=Person2!$E$3, Person2!$D$3+ROW(A86)-1, "")</f>
        <v/>
      </c>
      <c r="W88" s="1" t="str">
        <f>IF(Person2!$D$4+ROW(A86)-1&lt;=Person2!$E$4, Person2!$D$4+ROW(A86)-1, "")</f>
        <v/>
      </c>
      <c r="X88" s="1" t="str">
        <f>IF(Person2!$D$5+ROW(A86)-1&lt;=Person2!$E$5, Person2!$D$5+ROW(A86)-1, "")</f>
        <v/>
      </c>
      <c r="Y88" s="1" t="str">
        <f>IF(Person2!$D$6+ROW(A86)-1&lt;=Person2!$E$6, Person2!$D$6+ROW(A86)-1, "")</f>
        <v/>
      </c>
      <c r="Z88" s="1" t="str">
        <f>IF(Person2!$D$7+ROW(A86)-1&lt;=Person2!$E$7, Person2!$D$7+ROW(A86)-1, "")</f>
        <v/>
      </c>
      <c r="AA88" s="1" t="str">
        <f>IF(Person2!$D$8+ROW(A86)-1&lt;=Person2!$E$8, Person2!$D$8+ROW(A86)-1, "")</f>
        <v/>
      </c>
      <c r="AE88" s="1" t="str">
        <f>IF(Person2!$F$3+ROW(A86)-1&lt;=Person2!$G$3, Person2!$F$3+ROW(A86)-1, "")</f>
        <v/>
      </c>
      <c r="AF88" s="1" t="str">
        <f>IF(Person2!$F$4+ROW(A86)-1&lt;=Person2!$G$4, Person2!$F$4+ROW(A86)-1, "")</f>
        <v/>
      </c>
      <c r="AG88" s="1" t="str">
        <f>IF(Person2!$F$5+ROW(A86)-1&lt;=Person2!$G$5, Person2!$F$5+ROW(A86)-1, "")</f>
        <v/>
      </c>
      <c r="AH88" s="1" t="str">
        <f>IF(Person2!$F$6+ROW(A86)-1&lt;=Person2!$G$6, Person2!$F$6+ROW(A86)-1, "")</f>
        <v/>
      </c>
      <c r="AI88" s="1" t="str">
        <f>IF(Person2!$F$7+ROW(A86)-1&lt;=Person2!$G$7, Person2!$F$7+ROW(A86)-1, "")</f>
        <v/>
      </c>
    </row>
    <row r="89" spans="1:35" x14ac:dyDescent="0.3">
      <c r="A89" s="1" t="str">
        <f>IF(Person2!$B$3+ROW(A87)-1&lt;=Person2!$C$3, Person2!$B$3+ROW(A87)-1, "")</f>
        <v/>
      </c>
      <c r="B89" s="1" t="str">
        <f>IF(Person2!$B$4+ROW(B87)-1&lt;=Person2!$C$4, Person2!$B$4+ROW(B87)-1, "")</f>
        <v/>
      </c>
      <c r="C89" s="1" t="str">
        <f>IF(Person2!$B$5+ROW(B87)-1&lt;=Person2!$C$5, Person2!$B$5+ROW(B87)-1, "")</f>
        <v/>
      </c>
      <c r="D89" s="1" t="str">
        <f>IF(Person2!$B$6+ROW(B87)-1&lt;=Person2!$C$6, Person2!$B$6+ROW(B87)-1, "")</f>
        <v/>
      </c>
      <c r="E89" s="1" t="str">
        <f>IF(Person2!$B$7+ROW(B87)-1&lt;=Person2!$C$7, Person2!$B$7+ROW(B87)-1, "")</f>
        <v/>
      </c>
      <c r="F89" s="1" t="str">
        <f>IF(Person2!$B$8+ROW(B87)-1&lt;=Person2!$C$8, Person2!$B$8+ROW(B87)-1, "")</f>
        <v/>
      </c>
      <c r="G89" s="1" t="str">
        <f>IF(Person2!$B$9+ROW(B87)-1&lt;=Person2!$C$9, Person2!$B$9+ROW(B87)-1, "")</f>
        <v/>
      </c>
      <c r="H89" s="1" t="str">
        <f>IF(Person2!$B$10+ROW(B87)-1&lt;=Person2!$C$10, Person2!$B$10+ROW(B87)-1, "")</f>
        <v/>
      </c>
      <c r="I89" s="1" t="str">
        <f>IF(Person2!$B$11+ROW(B87)-1&lt;=Person2!$C$11, Person2!$B$11+ROW(B87)-1, "")</f>
        <v/>
      </c>
      <c r="J89" s="1" t="str">
        <f>IF(Person2!$B$12+ROW(B87)-1&lt;=Person2!$C$12, Person2!$B$12+ROW(B87)-1, "")</f>
        <v/>
      </c>
      <c r="K89" s="1" t="str">
        <f>IF(Person2!$B$13+ROW(B87)-1&lt;=Person2!$C$13, Person2!$B$13+ROW(B87)-1, "")</f>
        <v/>
      </c>
      <c r="L89" s="1" t="str">
        <f>IF(Person2!$B$14+ROW(B87)-1&lt;=Person2!$C$14, Person2!$B$14+ROW(B87)-1, "")</f>
        <v/>
      </c>
      <c r="M89" s="1" t="str">
        <f>IF(Person2!$B$15+ROW(B87)-1&lt;=Person2!$C$15, Person2!$B$15+ROW(B87)-1, "")</f>
        <v/>
      </c>
      <c r="N89" s="1" t="str">
        <f>IF(Person2!$B$16+ROW(B87)-1&lt;=Person2!$C$16, Person2!$B$16+ROW(B87)-1, "")</f>
        <v/>
      </c>
      <c r="O89" s="1" t="str">
        <f>IF(Person2!$B$17+ROW(B87)-1&lt;=Person2!$C$17, Person2!$B$17+ROW(B87)-1, "")</f>
        <v/>
      </c>
      <c r="V89" s="1" t="str">
        <f>IF(Person2!$D$3+ROW(A87)-1&lt;=Person2!$E$3, Person2!$D$3+ROW(A87)-1, "")</f>
        <v/>
      </c>
      <c r="W89" s="1" t="str">
        <f>IF(Person2!$D$4+ROW(A87)-1&lt;=Person2!$E$4, Person2!$D$4+ROW(A87)-1, "")</f>
        <v/>
      </c>
      <c r="X89" s="1" t="str">
        <f>IF(Person2!$D$5+ROW(A87)-1&lt;=Person2!$E$5, Person2!$D$5+ROW(A87)-1, "")</f>
        <v/>
      </c>
      <c r="Y89" s="1" t="str">
        <f>IF(Person2!$D$6+ROW(A87)-1&lt;=Person2!$E$6, Person2!$D$6+ROW(A87)-1, "")</f>
        <v/>
      </c>
      <c r="Z89" s="1" t="str">
        <f>IF(Person2!$D$7+ROW(A87)-1&lt;=Person2!$E$7, Person2!$D$7+ROW(A87)-1, "")</f>
        <v/>
      </c>
      <c r="AA89" s="1" t="str">
        <f>IF(Person2!$D$8+ROW(A87)-1&lt;=Person2!$E$8, Person2!$D$8+ROW(A87)-1, "")</f>
        <v/>
      </c>
      <c r="AE89" s="1" t="str">
        <f>IF(Person2!$F$3+ROW(A87)-1&lt;=Person2!$G$3, Person2!$F$3+ROW(A87)-1, "")</f>
        <v/>
      </c>
      <c r="AF89" s="1" t="str">
        <f>IF(Person2!$F$4+ROW(A87)-1&lt;=Person2!$G$4, Person2!$F$4+ROW(A87)-1, "")</f>
        <v/>
      </c>
      <c r="AG89" s="1" t="str">
        <f>IF(Person2!$F$5+ROW(A87)-1&lt;=Person2!$G$5, Person2!$F$5+ROW(A87)-1, "")</f>
        <v/>
      </c>
      <c r="AH89" s="1" t="str">
        <f>IF(Person2!$F$6+ROW(A87)-1&lt;=Person2!$G$6, Person2!$F$6+ROW(A87)-1, "")</f>
        <v/>
      </c>
      <c r="AI89" s="1" t="str">
        <f>IF(Person2!$F$7+ROW(A87)-1&lt;=Person2!$G$7, Person2!$F$7+ROW(A87)-1, "")</f>
        <v/>
      </c>
    </row>
    <row r="90" spans="1:35" x14ac:dyDescent="0.3">
      <c r="A90" s="1" t="str">
        <f>IF(Person2!$B$3+ROW(A88)-1&lt;=Person2!$C$3, Person2!$B$3+ROW(A88)-1, "")</f>
        <v/>
      </c>
      <c r="B90" s="1" t="str">
        <f>IF(Person2!$B$4+ROW(B88)-1&lt;=Person2!$C$4, Person2!$B$4+ROW(B88)-1, "")</f>
        <v/>
      </c>
      <c r="C90" s="1" t="str">
        <f>IF(Person2!$B$5+ROW(B88)-1&lt;=Person2!$C$5, Person2!$B$5+ROW(B88)-1, "")</f>
        <v/>
      </c>
      <c r="D90" s="1" t="str">
        <f>IF(Person2!$B$6+ROW(B88)-1&lt;=Person2!$C$6, Person2!$B$6+ROW(B88)-1, "")</f>
        <v/>
      </c>
      <c r="E90" s="1" t="str">
        <f>IF(Person2!$B$7+ROW(B88)-1&lt;=Person2!$C$7, Person2!$B$7+ROW(B88)-1, "")</f>
        <v/>
      </c>
      <c r="F90" s="1" t="str">
        <f>IF(Person2!$B$8+ROW(B88)-1&lt;=Person2!$C$8, Person2!$B$8+ROW(B88)-1, "")</f>
        <v/>
      </c>
      <c r="G90" s="1" t="str">
        <f>IF(Person2!$B$9+ROW(B88)-1&lt;=Person2!$C$9, Person2!$B$9+ROW(B88)-1, "")</f>
        <v/>
      </c>
      <c r="H90" s="1" t="str">
        <f>IF(Person2!$B$10+ROW(B88)-1&lt;=Person2!$C$10, Person2!$B$10+ROW(B88)-1, "")</f>
        <v/>
      </c>
      <c r="I90" s="1" t="str">
        <f>IF(Person2!$B$11+ROW(B88)-1&lt;=Person2!$C$11, Person2!$B$11+ROW(B88)-1, "")</f>
        <v/>
      </c>
      <c r="J90" s="1" t="str">
        <f>IF(Person2!$B$12+ROW(B88)-1&lt;=Person2!$C$12, Person2!$B$12+ROW(B88)-1, "")</f>
        <v/>
      </c>
      <c r="K90" s="1" t="str">
        <f>IF(Person2!$B$13+ROW(B88)-1&lt;=Person2!$C$13, Person2!$B$13+ROW(B88)-1, "")</f>
        <v/>
      </c>
      <c r="L90" s="1" t="str">
        <f>IF(Person2!$B$14+ROW(B88)-1&lt;=Person2!$C$14, Person2!$B$14+ROW(B88)-1, "")</f>
        <v/>
      </c>
      <c r="M90" s="1" t="str">
        <f>IF(Person2!$B$15+ROW(B88)-1&lt;=Person2!$C$15, Person2!$B$15+ROW(B88)-1, "")</f>
        <v/>
      </c>
      <c r="N90" s="1" t="str">
        <f>IF(Person2!$B$16+ROW(B88)-1&lt;=Person2!$C$16, Person2!$B$16+ROW(B88)-1, "")</f>
        <v/>
      </c>
      <c r="O90" s="1" t="str">
        <f>IF(Person2!$B$17+ROW(B88)-1&lt;=Person2!$C$17, Person2!$B$17+ROW(B88)-1, "")</f>
        <v/>
      </c>
      <c r="V90" s="1" t="str">
        <f>IF(Person2!$D$3+ROW(A88)-1&lt;=Person2!$E$3, Person2!$D$3+ROW(A88)-1, "")</f>
        <v/>
      </c>
      <c r="W90" s="1" t="str">
        <f>IF(Person2!$D$4+ROW(A88)-1&lt;=Person2!$E$4, Person2!$D$4+ROW(A88)-1, "")</f>
        <v/>
      </c>
      <c r="X90" s="1" t="str">
        <f>IF(Person2!$D$5+ROW(A88)-1&lt;=Person2!$E$5, Person2!$D$5+ROW(A88)-1, "")</f>
        <v/>
      </c>
      <c r="Y90" s="1" t="str">
        <f>IF(Person2!$D$6+ROW(A88)-1&lt;=Person2!$E$6, Person2!$D$6+ROW(A88)-1, "")</f>
        <v/>
      </c>
      <c r="Z90" s="1" t="str">
        <f>IF(Person2!$D$7+ROW(A88)-1&lt;=Person2!$E$7, Person2!$D$7+ROW(A88)-1, "")</f>
        <v/>
      </c>
      <c r="AA90" s="1" t="str">
        <f>IF(Person2!$D$8+ROW(A88)-1&lt;=Person2!$E$8, Person2!$D$8+ROW(A88)-1, "")</f>
        <v/>
      </c>
      <c r="AE90" s="1" t="str">
        <f>IF(Person2!$F$3+ROW(A88)-1&lt;=Person2!$G$3, Person2!$F$3+ROW(A88)-1, "")</f>
        <v/>
      </c>
      <c r="AF90" s="1" t="str">
        <f>IF(Person2!$F$4+ROW(A88)-1&lt;=Person2!$G$4, Person2!$F$4+ROW(A88)-1, "")</f>
        <v/>
      </c>
      <c r="AG90" s="1" t="str">
        <f>IF(Person2!$F$5+ROW(A88)-1&lt;=Person2!$G$5, Person2!$F$5+ROW(A88)-1, "")</f>
        <v/>
      </c>
      <c r="AH90" s="1" t="str">
        <f>IF(Person2!$F$6+ROW(A88)-1&lt;=Person2!$G$6, Person2!$F$6+ROW(A88)-1, "")</f>
        <v/>
      </c>
      <c r="AI90" s="1" t="str">
        <f>IF(Person2!$F$7+ROW(A88)-1&lt;=Person2!$G$7, Person2!$F$7+ROW(A88)-1, "")</f>
        <v/>
      </c>
    </row>
    <row r="91" spans="1:35" x14ac:dyDescent="0.3">
      <c r="A91" s="1" t="str">
        <f>IF(Person2!$B$3+ROW(A89)-1&lt;=Person2!$C$3, Person2!$B$3+ROW(A89)-1, "")</f>
        <v/>
      </c>
      <c r="B91" s="1" t="str">
        <f>IF(Person2!$B$4+ROW(B89)-1&lt;=Person2!$C$4, Person2!$B$4+ROW(B89)-1, "")</f>
        <v/>
      </c>
      <c r="C91" s="1" t="str">
        <f>IF(Person2!$B$5+ROW(B89)-1&lt;=Person2!$C$5, Person2!$B$5+ROW(B89)-1, "")</f>
        <v/>
      </c>
      <c r="D91" s="1" t="str">
        <f>IF(Person2!$B$6+ROW(B89)-1&lt;=Person2!$C$6, Person2!$B$6+ROW(B89)-1, "")</f>
        <v/>
      </c>
      <c r="E91" s="1" t="str">
        <f>IF(Person2!$B$7+ROW(B89)-1&lt;=Person2!$C$7, Person2!$B$7+ROW(B89)-1, "")</f>
        <v/>
      </c>
      <c r="F91" s="1" t="str">
        <f>IF(Person2!$B$8+ROW(B89)-1&lt;=Person2!$C$8, Person2!$B$8+ROW(B89)-1, "")</f>
        <v/>
      </c>
      <c r="G91" s="1" t="str">
        <f>IF(Person2!$B$9+ROW(B89)-1&lt;=Person2!$C$9, Person2!$B$9+ROW(B89)-1, "")</f>
        <v/>
      </c>
      <c r="H91" s="1" t="str">
        <f>IF(Person2!$B$10+ROW(B89)-1&lt;=Person2!$C$10, Person2!$B$10+ROW(B89)-1, "")</f>
        <v/>
      </c>
      <c r="I91" s="1" t="str">
        <f>IF(Person2!$B$11+ROW(B89)-1&lt;=Person2!$C$11, Person2!$B$11+ROW(B89)-1, "")</f>
        <v/>
      </c>
      <c r="J91" s="1" t="str">
        <f>IF(Person2!$B$12+ROW(B89)-1&lt;=Person2!$C$12, Person2!$B$12+ROW(B89)-1, "")</f>
        <v/>
      </c>
      <c r="K91" s="1" t="str">
        <f>IF(Person2!$B$13+ROW(B89)-1&lt;=Person2!$C$13, Person2!$B$13+ROW(B89)-1, "")</f>
        <v/>
      </c>
      <c r="L91" s="1" t="str">
        <f>IF(Person2!$B$14+ROW(B89)-1&lt;=Person2!$C$14, Person2!$B$14+ROW(B89)-1, "")</f>
        <v/>
      </c>
      <c r="M91" s="1" t="str">
        <f>IF(Person2!$B$15+ROW(B89)-1&lt;=Person2!$C$15, Person2!$B$15+ROW(B89)-1, "")</f>
        <v/>
      </c>
      <c r="N91" s="1" t="str">
        <f>IF(Person2!$B$16+ROW(B89)-1&lt;=Person2!$C$16, Person2!$B$16+ROW(B89)-1, "")</f>
        <v/>
      </c>
      <c r="O91" s="1" t="str">
        <f>IF(Person2!$B$17+ROW(B89)-1&lt;=Person2!$C$17, Person2!$B$17+ROW(B89)-1, "")</f>
        <v/>
      </c>
      <c r="V91" s="1" t="str">
        <f>IF(Person2!$D$3+ROW(A89)-1&lt;=Person2!$E$3, Person2!$D$3+ROW(A89)-1, "")</f>
        <v/>
      </c>
      <c r="W91" s="1" t="str">
        <f>IF(Person2!$D$4+ROW(A89)-1&lt;=Person2!$E$4, Person2!$D$4+ROW(A89)-1, "")</f>
        <v/>
      </c>
      <c r="X91" s="1" t="str">
        <f>IF(Person2!$D$5+ROW(A89)-1&lt;=Person2!$E$5, Person2!$D$5+ROW(A89)-1, "")</f>
        <v/>
      </c>
      <c r="Y91" s="1" t="str">
        <f>IF(Person2!$D$6+ROW(A89)-1&lt;=Person2!$E$6, Person2!$D$6+ROW(A89)-1, "")</f>
        <v/>
      </c>
      <c r="Z91" s="1" t="str">
        <f>IF(Person2!$D$7+ROW(A89)-1&lt;=Person2!$E$7, Person2!$D$7+ROW(A89)-1, "")</f>
        <v/>
      </c>
      <c r="AA91" s="1" t="str">
        <f>IF(Person2!$D$8+ROW(A89)-1&lt;=Person2!$E$8, Person2!$D$8+ROW(A89)-1, "")</f>
        <v/>
      </c>
      <c r="AE91" s="1" t="str">
        <f>IF(Person2!$F$3+ROW(A89)-1&lt;=Person2!$G$3, Person2!$F$3+ROW(A89)-1, "")</f>
        <v/>
      </c>
      <c r="AF91" s="1" t="str">
        <f>IF(Person2!$F$4+ROW(A89)-1&lt;=Person2!$G$4, Person2!$F$4+ROW(A89)-1, "")</f>
        <v/>
      </c>
      <c r="AG91" s="1" t="str">
        <f>IF(Person2!$F$5+ROW(A89)-1&lt;=Person2!$G$5, Person2!$F$5+ROW(A89)-1, "")</f>
        <v/>
      </c>
      <c r="AH91" s="1" t="str">
        <f>IF(Person2!$F$6+ROW(A89)-1&lt;=Person2!$G$6, Person2!$F$6+ROW(A89)-1, "")</f>
        <v/>
      </c>
      <c r="AI91" s="1" t="str">
        <f>IF(Person2!$F$7+ROW(A89)-1&lt;=Person2!$G$7, Person2!$F$7+ROW(A89)-1, "")</f>
        <v/>
      </c>
    </row>
    <row r="92" spans="1:35" x14ac:dyDescent="0.3">
      <c r="A92" s="1" t="str">
        <f>IF(Person2!$B$3+ROW(A90)-1&lt;=Person2!$C$3, Person2!$B$3+ROW(A90)-1, "")</f>
        <v/>
      </c>
      <c r="B92" s="1" t="str">
        <f>IF(Person2!$B$4+ROW(B90)-1&lt;=Person2!$C$4, Person2!$B$4+ROW(B90)-1, "")</f>
        <v/>
      </c>
      <c r="C92" s="1" t="str">
        <f>IF(Person2!$B$5+ROW(B90)-1&lt;=Person2!$C$5, Person2!$B$5+ROW(B90)-1, "")</f>
        <v/>
      </c>
      <c r="D92" s="1" t="str">
        <f>IF(Person2!$B$6+ROW(B90)-1&lt;=Person2!$C$6, Person2!$B$6+ROW(B90)-1, "")</f>
        <v/>
      </c>
      <c r="E92" s="1" t="str">
        <f>IF(Person2!$B$7+ROW(B90)-1&lt;=Person2!$C$7, Person2!$B$7+ROW(B90)-1, "")</f>
        <v/>
      </c>
      <c r="F92" s="1" t="str">
        <f>IF(Person2!$B$8+ROW(B90)-1&lt;=Person2!$C$8, Person2!$B$8+ROW(B90)-1, "")</f>
        <v/>
      </c>
      <c r="G92" s="1" t="str">
        <f>IF(Person2!$B$9+ROW(B90)-1&lt;=Person2!$C$9, Person2!$B$9+ROW(B90)-1, "")</f>
        <v/>
      </c>
      <c r="H92" s="1" t="str">
        <f>IF(Person2!$B$10+ROW(B90)-1&lt;=Person2!$C$10, Person2!$B$10+ROW(B90)-1, "")</f>
        <v/>
      </c>
      <c r="I92" s="1" t="str">
        <f>IF(Person2!$B$11+ROW(B90)-1&lt;=Person2!$C$11, Person2!$B$11+ROW(B90)-1, "")</f>
        <v/>
      </c>
      <c r="J92" s="1" t="str">
        <f>IF(Person2!$B$12+ROW(B90)-1&lt;=Person2!$C$12, Person2!$B$12+ROW(B90)-1, "")</f>
        <v/>
      </c>
      <c r="K92" s="1" t="str">
        <f>IF(Person2!$B$13+ROW(B90)-1&lt;=Person2!$C$13, Person2!$B$13+ROW(B90)-1, "")</f>
        <v/>
      </c>
      <c r="L92" s="1" t="str">
        <f>IF(Person2!$B$14+ROW(B90)-1&lt;=Person2!$C$14, Person2!$B$14+ROW(B90)-1, "")</f>
        <v/>
      </c>
      <c r="M92" s="1" t="str">
        <f>IF(Person2!$B$15+ROW(B90)-1&lt;=Person2!$C$15, Person2!$B$15+ROW(B90)-1, "")</f>
        <v/>
      </c>
      <c r="N92" s="1" t="str">
        <f>IF(Person2!$B$16+ROW(B90)-1&lt;=Person2!$C$16, Person2!$B$16+ROW(B90)-1, "")</f>
        <v/>
      </c>
      <c r="O92" s="1" t="str">
        <f>IF(Person2!$B$17+ROW(B90)-1&lt;=Person2!$C$17, Person2!$B$17+ROW(B90)-1, "")</f>
        <v/>
      </c>
      <c r="V92" s="1" t="str">
        <f>IF(Person2!$D$3+ROW(A90)-1&lt;=Person2!$E$3, Person2!$D$3+ROW(A90)-1, "")</f>
        <v/>
      </c>
      <c r="W92" s="1" t="str">
        <f>IF(Person2!$D$4+ROW(A90)-1&lt;=Person2!$E$4, Person2!$D$4+ROW(A90)-1, "")</f>
        <v/>
      </c>
      <c r="X92" s="1" t="str">
        <f>IF(Person2!$D$5+ROW(A90)-1&lt;=Person2!$E$5, Person2!$D$5+ROW(A90)-1, "")</f>
        <v/>
      </c>
      <c r="Y92" s="1" t="str">
        <f>IF(Person2!$D$6+ROW(A90)-1&lt;=Person2!$E$6, Person2!$D$6+ROW(A90)-1, "")</f>
        <v/>
      </c>
      <c r="Z92" s="1" t="str">
        <f>IF(Person2!$D$7+ROW(A90)-1&lt;=Person2!$E$7, Person2!$D$7+ROW(A90)-1, "")</f>
        <v/>
      </c>
      <c r="AA92" s="1" t="str">
        <f>IF(Person2!$D$8+ROW(A90)-1&lt;=Person2!$E$8, Person2!$D$8+ROW(A90)-1, "")</f>
        <v/>
      </c>
      <c r="AE92" s="1" t="str">
        <f>IF(Person2!$F$3+ROW(A90)-1&lt;=Person2!$G$3, Person2!$F$3+ROW(A90)-1, "")</f>
        <v/>
      </c>
      <c r="AF92" s="1" t="str">
        <f>IF(Person2!$F$4+ROW(A90)-1&lt;=Person2!$G$4, Person2!$F$4+ROW(A90)-1, "")</f>
        <v/>
      </c>
      <c r="AG92" s="1" t="str">
        <f>IF(Person2!$F$5+ROW(A90)-1&lt;=Person2!$G$5, Person2!$F$5+ROW(A90)-1, "")</f>
        <v/>
      </c>
      <c r="AH92" s="1" t="str">
        <f>IF(Person2!$F$6+ROW(A90)-1&lt;=Person2!$G$6, Person2!$F$6+ROW(A90)-1, "")</f>
        <v/>
      </c>
      <c r="AI92" s="1" t="str">
        <f>IF(Person2!$F$7+ROW(A90)-1&lt;=Person2!$G$7, Person2!$F$7+ROW(A90)-1, "")</f>
        <v/>
      </c>
    </row>
    <row r="93" spans="1:35" x14ac:dyDescent="0.3">
      <c r="A93" s="1" t="str">
        <f>IF(Person2!$B$3+ROW(A91)-1&lt;=Person2!$C$3, Person2!$B$3+ROW(A91)-1, "")</f>
        <v/>
      </c>
      <c r="B93" s="1" t="str">
        <f>IF(Person2!$B$4+ROW(B91)-1&lt;=Person2!$C$4, Person2!$B$4+ROW(B91)-1, "")</f>
        <v/>
      </c>
      <c r="C93" s="1" t="str">
        <f>IF(Person2!$B$5+ROW(B91)-1&lt;=Person2!$C$5, Person2!$B$5+ROW(B91)-1, "")</f>
        <v/>
      </c>
      <c r="D93" s="1" t="str">
        <f>IF(Person2!$B$6+ROW(B91)-1&lt;=Person2!$C$6, Person2!$B$6+ROW(B91)-1, "")</f>
        <v/>
      </c>
      <c r="E93" s="1" t="str">
        <f>IF(Person2!$B$7+ROW(B91)-1&lt;=Person2!$C$7, Person2!$B$7+ROW(B91)-1, "")</f>
        <v/>
      </c>
      <c r="F93" s="1" t="str">
        <f>IF(Person2!$B$8+ROW(B91)-1&lt;=Person2!$C$8, Person2!$B$8+ROW(B91)-1, "")</f>
        <v/>
      </c>
      <c r="G93" s="1" t="str">
        <f>IF(Person2!$B$9+ROW(B91)-1&lt;=Person2!$C$9, Person2!$B$9+ROW(B91)-1, "")</f>
        <v/>
      </c>
      <c r="H93" s="1" t="str">
        <f>IF(Person2!$B$10+ROW(B91)-1&lt;=Person2!$C$10, Person2!$B$10+ROW(B91)-1, "")</f>
        <v/>
      </c>
      <c r="I93" s="1" t="str">
        <f>IF(Person2!$B$11+ROW(B91)-1&lt;=Person2!$C$11, Person2!$B$11+ROW(B91)-1, "")</f>
        <v/>
      </c>
      <c r="J93" s="1" t="str">
        <f>IF(Person2!$B$12+ROW(B91)-1&lt;=Person2!$C$12, Person2!$B$12+ROW(B91)-1, "")</f>
        <v/>
      </c>
      <c r="K93" s="1" t="str">
        <f>IF(Person2!$B$13+ROW(B91)-1&lt;=Person2!$C$13, Person2!$B$13+ROW(B91)-1, "")</f>
        <v/>
      </c>
      <c r="L93" s="1" t="str">
        <f>IF(Person2!$B$14+ROW(B91)-1&lt;=Person2!$C$14, Person2!$B$14+ROW(B91)-1, "")</f>
        <v/>
      </c>
      <c r="M93" s="1" t="str">
        <f>IF(Person2!$B$15+ROW(B91)-1&lt;=Person2!$C$15, Person2!$B$15+ROW(B91)-1, "")</f>
        <v/>
      </c>
      <c r="N93" s="1" t="str">
        <f>IF(Person2!$B$16+ROW(B91)-1&lt;=Person2!$C$16, Person2!$B$16+ROW(B91)-1, "")</f>
        <v/>
      </c>
      <c r="O93" s="1" t="str">
        <f>IF(Person2!$B$17+ROW(B91)-1&lt;=Person2!$C$17, Person2!$B$17+ROW(B91)-1, "")</f>
        <v/>
      </c>
      <c r="V93" s="1" t="str">
        <f>IF(Person2!$D$3+ROW(A91)-1&lt;=Person2!$E$3, Person2!$D$3+ROW(A91)-1, "")</f>
        <v/>
      </c>
      <c r="W93" s="1" t="str">
        <f>IF(Person2!$D$4+ROW(A91)-1&lt;=Person2!$E$4, Person2!$D$4+ROW(A91)-1, "")</f>
        <v/>
      </c>
      <c r="X93" s="1" t="str">
        <f>IF(Person2!$D$5+ROW(A91)-1&lt;=Person2!$E$5, Person2!$D$5+ROW(A91)-1, "")</f>
        <v/>
      </c>
      <c r="Y93" s="1" t="str">
        <f>IF(Person2!$D$6+ROW(A91)-1&lt;=Person2!$E$6, Person2!$D$6+ROW(A91)-1, "")</f>
        <v/>
      </c>
      <c r="Z93" s="1" t="str">
        <f>IF(Person2!$D$7+ROW(A91)-1&lt;=Person2!$E$7, Person2!$D$7+ROW(A91)-1, "")</f>
        <v/>
      </c>
      <c r="AA93" s="1" t="str">
        <f>IF(Person2!$D$8+ROW(A91)-1&lt;=Person2!$E$8, Person2!$D$8+ROW(A91)-1, "")</f>
        <v/>
      </c>
      <c r="AE93" s="1" t="str">
        <f>IF(Person2!$F$3+ROW(A91)-1&lt;=Person2!$G$3, Person2!$F$3+ROW(A91)-1, "")</f>
        <v/>
      </c>
      <c r="AF93" s="1" t="str">
        <f>IF(Person2!$F$4+ROW(A91)-1&lt;=Person2!$G$4, Person2!$F$4+ROW(A91)-1, "")</f>
        <v/>
      </c>
      <c r="AG93" s="1" t="str">
        <f>IF(Person2!$F$5+ROW(A91)-1&lt;=Person2!$G$5, Person2!$F$5+ROW(A91)-1, "")</f>
        <v/>
      </c>
      <c r="AH93" s="1" t="str">
        <f>IF(Person2!$F$6+ROW(A91)-1&lt;=Person2!$G$6, Person2!$F$6+ROW(A91)-1, "")</f>
        <v/>
      </c>
      <c r="AI93" s="1" t="str">
        <f>IF(Person2!$F$7+ROW(A91)-1&lt;=Person2!$G$7, Person2!$F$7+ROW(A91)-1, "")</f>
        <v/>
      </c>
    </row>
    <row r="94" spans="1:35" x14ac:dyDescent="0.3">
      <c r="A94" s="1" t="str">
        <f>IF(Person2!$B$3+ROW(A92)-1&lt;=Person2!$C$3, Person2!$B$3+ROW(A92)-1, "")</f>
        <v/>
      </c>
      <c r="B94" s="1" t="str">
        <f>IF(Person2!$B$4+ROW(B92)-1&lt;=Person2!$C$4, Person2!$B$4+ROW(B92)-1, "")</f>
        <v/>
      </c>
      <c r="C94" s="1" t="str">
        <f>IF(Person2!$B$5+ROW(B92)-1&lt;=Person2!$C$5, Person2!$B$5+ROW(B92)-1, "")</f>
        <v/>
      </c>
      <c r="D94" s="1" t="str">
        <f>IF(Person2!$B$6+ROW(B92)-1&lt;=Person2!$C$6, Person2!$B$6+ROW(B92)-1, "")</f>
        <v/>
      </c>
      <c r="E94" s="1" t="str">
        <f>IF(Person2!$B$7+ROW(B92)-1&lt;=Person2!$C$7, Person2!$B$7+ROW(B92)-1, "")</f>
        <v/>
      </c>
      <c r="F94" s="1" t="str">
        <f>IF(Person2!$B$8+ROW(B92)-1&lt;=Person2!$C$8, Person2!$B$8+ROW(B92)-1, "")</f>
        <v/>
      </c>
      <c r="G94" s="1" t="str">
        <f>IF(Person2!$B$9+ROW(B92)-1&lt;=Person2!$C$9, Person2!$B$9+ROW(B92)-1, "")</f>
        <v/>
      </c>
      <c r="H94" s="1" t="str">
        <f>IF(Person2!$B$10+ROW(B92)-1&lt;=Person2!$C$10, Person2!$B$10+ROW(B92)-1, "")</f>
        <v/>
      </c>
      <c r="I94" s="1" t="str">
        <f>IF(Person2!$B$11+ROW(B92)-1&lt;=Person2!$C$11, Person2!$B$11+ROW(B92)-1, "")</f>
        <v/>
      </c>
      <c r="J94" s="1" t="str">
        <f>IF(Person2!$B$12+ROW(B92)-1&lt;=Person2!$C$12, Person2!$B$12+ROW(B92)-1, "")</f>
        <v/>
      </c>
      <c r="K94" s="1" t="str">
        <f>IF(Person2!$B$13+ROW(B92)-1&lt;=Person2!$C$13, Person2!$B$13+ROW(B92)-1, "")</f>
        <v/>
      </c>
      <c r="L94" s="1" t="str">
        <f>IF(Person2!$B$14+ROW(B92)-1&lt;=Person2!$C$14, Person2!$B$14+ROW(B92)-1, "")</f>
        <v/>
      </c>
      <c r="M94" s="1" t="str">
        <f>IF(Person2!$B$15+ROW(B92)-1&lt;=Person2!$C$15, Person2!$B$15+ROW(B92)-1, "")</f>
        <v/>
      </c>
      <c r="N94" s="1" t="str">
        <f>IF(Person2!$B$16+ROW(B92)-1&lt;=Person2!$C$16, Person2!$B$16+ROW(B92)-1, "")</f>
        <v/>
      </c>
      <c r="O94" s="1" t="str">
        <f>IF(Person2!$B$17+ROW(B92)-1&lt;=Person2!$C$17, Person2!$B$17+ROW(B92)-1, "")</f>
        <v/>
      </c>
      <c r="V94" s="1" t="str">
        <f>IF(Person2!$D$3+ROW(A92)-1&lt;=Person2!$E$3, Person2!$D$3+ROW(A92)-1, "")</f>
        <v/>
      </c>
      <c r="W94" s="1" t="str">
        <f>IF(Person2!$D$4+ROW(A92)-1&lt;=Person2!$E$4, Person2!$D$4+ROW(A92)-1, "")</f>
        <v/>
      </c>
      <c r="X94" s="1" t="str">
        <f>IF(Person2!$D$5+ROW(A92)-1&lt;=Person2!$E$5, Person2!$D$5+ROW(A92)-1, "")</f>
        <v/>
      </c>
      <c r="Y94" s="1" t="str">
        <f>IF(Person2!$D$6+ROW(A92)-1&lt;=Person2!$E$6, Person2!$D$6+ROW(A92)-1, "")</f>
        <v/>
      </c>
      <c r="Z94" s="1" t="str">
        <f>IF(Person2!$D$7+ROW(A92)-1&lt;=Person2!$E$7, Person2!$D$7+ROW(A92)-1, "")</f>
        <v/>
      </c>
      <c r="AA94" s="1" t="str">
        <f>IF(Person2!$D$8+ROW(A92)-1&lt;=Person2!$E$8, Person2!$D$8+ROW(A92)-1, "")</f>
        <v/>
      </c>
      <c r="AE94" s="1" t="str">
        <f>IF(Person2!$F$3+ROW(A92)-1&lt;=Person2!$G$3, Person2!$F$3+ROW(A92)-1, "")</f>
        <v/>
      </c>
      <c r="AF94" s="1" t="str">
        <f>IF(Person2!$F$4+ROW(A92)-1&lt;=Person2!$G$4, Person2!$F$4+ROW(A92)-1, "")</f>
        <v/>
      </c>
      <c r="AG94" s="1" t="str">
        <f>IF(Person2!$F$5+ROW(A92)-1&lt;=Person2!$G$5, Person2!$F$5+ROW(A92)-1, "")</f>
        <v/>
      </c>
      <c r="AH94" s="1" t="str">
        <f>IF(Person2!$F$6+ROW(A92)-1&lt;=Person2!$G$6, Person2!$F$6+ROW(A92)-1, "")</f>
        <v/>
      </c>
      <c r="AI94" s="1" t="str">
        <f>IF(Person2!$F$7+ROW(A92)-1&lt;=Person2!$G$7, Person2!$F$7+ROW(A92)-1, "")</f>
        <v/>
      </c>
    </row>
    <row r="95" spans="1:35" x14ac:dyDescent="0.3">
      <c r="A95" s="1" t="str">
        <f>IF(Person2!$B$3+ROW(A93)-1&lt;=Person2!$C$3, Person2!$B$3+ROW(A93)-1, "")</f>
        <v/>
      </c>
      <c r="B95" s="1" t="str">
        <f>IF(Person2!$B$4+ROW(B93)-1&lt;=Person2!$C$4, Person2!$B$4+ROW(B93)-1, "")</f>
        <v/>
      </c>
      <c r="C95" s="1" t="str">
        <f>IF(Person2!$B$5+ROW(B93)-1&lt;=Person2!$C$5, Person2!$B$5+ROW(B93)-1, "")</f>
        <v/>
      </c>
      <c r="D95" s="1" t="str">
        <f>IF(Person2!$B$6+ROW(B93)-1&lt;=Person2!$C$6, Person2!$B$6+ROW(B93)-1, "")</f>
        <v/>
      </c>
      <c r="E95" s="1" t="str">
        <f>IF(Person2!$B$7+ROW(B93)-1&lt;=Person2!$C$7, Person2!$B$7+ROW(B93)-1, "")</f>
        <v/>
      </c>
      <c r="F95" s="1" t="str">
        <f>IF(Person2!$B$8+ROW(B93)-1&lt;=Person2!$C$8, Person2!$B$8+ROW(B93)-1, "")</f>
        <v/>
      </c>
      <c r="G95" s="1" t="str">
        <f>IF(Person2!$B$9+ROW(B93)-1&lt;=Person2!$C$9, Person2!$B$9+ROW(B93)-1, "")</f>
        <v/>
      </c>
      <c r="H95" s="1" t="str">
        <f>IF(Person2!$B$10+ROW(B93)-1&lt;=Person2!$C$10, Person2!$B$10+ROW(B93)-1, "")</f>
        <v/>
      </c>
      <c r="I95" s="1" t="str">
        <f>IF(Person2!$B$11+ROW(B93)-1&lt;=Person2!$C$11, Person2!$B$11+ROW(B93)-1, "")</f>
        <v/>
      </c>
      <c r="J95" s="1" t="str">
        <f>IF(Person2!$B$12+ROW(B93)-1&lt;=Person2!$C$12, Person2!$B$12+ROW(B93)-1, "")</f>
        <v/>
      </c>
      <c r="K95" s="1" t="str">
        <f>IF(Person2!$B$13+ROW(B93)-1&lt;=Person2!$C$13, Person2!$B$13+ROW(B93)-1, "")</f>
        <v/>
      </c>
      <c r="L95" s="1" t="str">
        <f>IF(Person2!$B$14+ROW(B93)-1&lt;=Person2!$C$14, Person2!$B$14+ROW(B93)-1, "")</f>
        <v/>
      </c>
      <c r="M95" s="1" t="str">
        <f>IF(Person2!$B$15+ROW(B93)-1&lt;=Person2!$C$15, Person2!$B$15+ROW(B93)-1, "")</f>
        <v/>
      </c>
      <c r="N95" s="1" t="str">
        <f>IF(Person2!$B$16+ROW(B93)-1&lt;=Person2!$C$16, Person2!$B$16+ROW(B93)-1, "")</f>
        <v/>
      </c>
      <c r="O95" s="1" t="str">
        <f>IF(Person2!$B$17+ROW(B93)-1&lt;=Person2!$C$17, Person2!$B$17+ROW(B93)-1, "")</f>
        <v/>
      </c>
      <c r="V95" s="1" t="str">
        <f>IF(Person2!$D$3+ROW(A93)-1&lt;=Person2!$E$3, Person2!$D$3+ROW(A93)-1, "")</f>
        <v/>
      </c>
      <c r="W95" s="1" t="str">
        <f>IF(Person2!$D$4+ROW(A93)-1&lt;=Person2!$E$4, Person2!$D$4+ROW(A93)-1, "")</f>
        <v/>
      </c>
      <c r="X95" s="1" t="str">
        <f>IF(Person2!$D$5+ROW(A93)-1&lt;=Person2!$E$5, Person2!$D$5+ROW(A93)-1, "")</f>
        <v/>
      </c>
      <c r="Y95" s="1" t="str">
        <f>IF(Person2!$D$6+ROW(A93)-1&lt;=Person2!$E$6, Person2!$D$6+ROW(A93)-1, "")</f>
        <v/>
      </c>
      <c r="Z95" s="1" t="str">
        <f>IF(Person2!$D$7+ROW(A93)-1&lt;=Person2!$E$7, Person2!$D$7+ROW(A93)-1, "")</f>
        <v/>
      </c>
      <c r="AA95" s="1" t="str">
        <f>IF(Person2!$D$8+ROW(A93)-1&lt;=Person2!$E$8, Person2!$D$8+ROW(A93)-1, "")</f>
        <v/>
      </c>
      <c r="AE95" s="1" t="str">
        <f>IF(Person2!$F$3+ROW(A93)-1&lt;=Person2!$G$3, Person2!$F$3+ROW(A93)-1, "")</f>
        <v/>
      </c>
      <c r="AF95" s="1" t="str">
        <f>IF(Person2!$F$4+ROW(A93)-1&lt;=Person2!$G$4, Person2!$F$4+ROW(A93)-1, "")</f>
        <v/>
      </c>
      <c r="AG95" s="1" t="str">
        <f>IF(Person2!$F$5+ROW(A93)-1&lt;=Person2!$G$5, Person2!$F$5+ROW(A93)-1, "")</f>
        <v/>
      </c>
      <c r="AH95" s="1" t="str">
        <f>IF(Person2!$F$6+ROW(A93)-1&lt;=Person2!$G$6, Person2!$F$6+ROW(A93)-1, "")</f>
        <v/>
      </c>
      <c r="AI95" s="1" t="str">
        <f>IF(Person2!$F$7+ROW(A93)-1&lt;=Person2!$G$7, Person2!$F$7+ROW(A93)-1, "")</f>
        <v/>
      </c>
    </row>
    <row r="96" spans="1:35" x14ac:dyDescent="0.3">
      <c r="A96" s="1" t="str">
        <f>IF(Person2!$B$3+ROW(A94)-1&lt;=Person2!$C$3, Person2!$B$3+ROW(A94)-1, "")</f>
        <v/>
      </c>
      <c r="B96" s="1" t="str">
        <f>IF(Person2!$B$4+ROW(B94)-1&lt;=Person2!$C$4, Person2!$B$4+ROW(B94)-1, "")</f>
        <v/>
      </c>
      <c r="C96" s="1" t="str">
        <f>IF(Person2!$B$5+ROW(B94)-1&lt;=Person2!$C$5, Person2!$B$5+ROW(B94)-1, "")</f>
        <v/>
      </c>
      <c r="D96" s="1" t="str">
        <f>IF(Person2!$B$6+ROW(B94)-1&lt;=Person2!$C$6, Person2!$B$6+ROW(B94)-1, "")</f>
        <v/>
      </c>
      <c r="E96" s="1" t="str">
        <f>IF(Person2!$B$7+ROW(B94)-1&lt;=Person2!$C$7, Person2!$B$7+ROW(B94)-1, "")</f>
        <v/>
      </c>
      <c r="F96" s="1" t="str">
        <f>IF(Person2!$B$8+ROW(B94)-1&lt;=Person2!$C$8, Person2!$B$8+ROW(B94)-1, "")</f>
        <v/>
      </c>
      <c r="G96" s="1" t="str">
        <f>IF(Person2!$B$9+ROW(B94)-1&lt;=Person2!$C$9, Person2!$B$9+ROW(B94)-1, "")</f>
        <v/>
      </c>
      <c r="H96" s="1" t="str">
        <f>IF(Person2!$B$10+ROW(B94)-1&lt;=Person2!$C$10, Person2!$B$10+ROW(B94)-1, "")</f>
        <v/>
      </c>
      <c r="I96" s="1" t="str">
        <f>IF(Person2!$B$11+ROW(B94)-1&lt;=Person2!$C$11, Person2!$B$11+ROW(B94)-1, "")</f>
        <v/>
      </c>
      <c r="J96" s="1" t="str">
        <f>IF(Person2!$B$12+ROW(B94)-1&lt;=Person2!$C$12, Person2!$B$12+ROW(B94)-1, "")</f>
        <v/>
      </c>
      <c r="K96" s="1" t="str">
        <f>IF(Person2!$B$13+ROW(B94)-1&lt;=Person2!$C$13, Person2!$B$13+ROW(B94)-1, "")</f>
        <v/>
      </c>
      <c r="L96" s="1" t="str">
        <f>IF(Person2!$B$14+ROW(B94)-1&lt;=Person2!$C$14, Person2!$B$14+ROW(B94)-1, "")</f>
        <v/>
      </c>
      <c r="M96" s="1" t="str">
        <f>IF(Person2!$B$15+ROW(B94)-1&lt;=Person2!$C$15, Person2!$B$15+ROW(B94)-1, "")</f>
        <v/>
      </c>
      <c r="N96" s="1" t="str">
        <f>IF(Person2!$B$16+ROW(B94)-1&lt;=Person2!$C$16, Person2!$B$16+ROW(B94)-1, "")</f>
        <v/>
      </c>
      <c r="O96" s="1" t="str">
        <f>IF(Person2!$B$17+ROW(B94)-1&lt;=Person2!$C$17, Person2!$B$17+ROW(B94)-1, "")</f>
        <v/>
      </c>
      <c r="V96" s="1" t="str">
        <f>IF(Person2!$D$3+ROW(A94)-1&lt;=Person2!$E$3, Person2!$D$3+ROW(A94)-1, "")</f>
        <v/>
      </c>
      <c r="W96" s="1" t="str">
        <f>IF(Person2!$D$4+ROW(A94)-1&lt;=Person2!$E$4, Person2!$D$4+ROW(A94)-1, "")</f>
        <v/>
      </c>
      <c r="X96" s="1" t="str">
        <f>IF(Person2!$D$5+ROW(A94)-1&lt;=Person2!$E$5, Person2!$D$5+ROW(A94)-1, "")</f>
        <v/>
      </c>
      <c r="Y96" s="1" t="str">
        <f>IF(Person2!$D$6+ROW(A94)-1&lt;=Person2!$E$6, Person2!$D$6+ROW(A94)-1, "")</f>
        <v/>
      </c>
      <c r="Z96" s="1" t="str">
        <f>IF(Person2!$D$7+ROW(A94)-1&lt;=Person2!$E$7, Person2!$D$7+ROW(A94)-1, "")</f>
        <v/>
      </c>
      <c r="AA96" s="1" t="str">
        <f>IF(Person2!$D$8+ROW(A94)-1&lt;=Person2!$E$8, Person2!$D$8+ROW(A94)-1, "")</f>
        <v/>
      </c>
      <c r="AE96" s="1" t="str">
        <f>IF(Person2!$F$3+ROW(A94)-1&lt;=Person2!$G$3, Person2!$F$3+ROW(A94)-1, "")</f>
        <v/>
      </c>
      <c r="AF96" s="1" t="str">
        <f>IF(Person2!$F$4+ROW(A94)-1&lt;=Person2!$G$4, Person2!$F$4+ROW(A94)-1, "")</f>
        <v/>
      </c>
      <c r="AG96" s="1" t="str">
        <f>IF(Person2!$F$5+ROW(A94)-1&lt;=Person2!$G$5, Person2!$F$5+ROW(A94)-1, "")</f>
        <v/>
      </c>
      <c r="AH96" s="1" t="str">
        <f>IF(Person2!$F$6+ROW(A94)-1&lt;=Person2!$G$6, Person2!$F$6+ROW(A94)-1, "")</f>
        <v/>
      </c>
      <c r="AI96" s="1" t="str">
        <f>IF(Person2!$F$7+ROW(A94)-1&lt;=Person2!$G$7, Person2!$F$7+ROW(A94)-1, "")</f>
        <v/>
      </c>
    </row>
    <row r="97" spans="1:35" x14ac:dyDescent="0.3">
      <c r="A97" s="1" t="str">
        <f>IF(Person2!$B$3+ROW(A95)-1&lt;=Person2!$C$3, Person2!$B$3+ROW(A95)-1, "")</f>
        <v/>
      </c>
      <c r="B97" s="1" t="str">
        <f>IF(Person2!$B$4+ROW(B95)-1&lt;=Person2!$C$4, Person2!$B$4+ROW(B95)-1, "")</f>
        <v/>
      </c>
      <c r="C97" s="1" t="str">
        <f>IF(Person2!$B$5+ROW(B95)-1&lt;=Person2!$C$5, Person2!$B$5+ROW(B95)-1, "")</f>
        <v/>
      </c>
      <c r="D97" s="1" t="str">
        <f>IF(Person2!$B$6+ROW(B95)-1&lt;=Person2!$C$6, Person2!$B$6+ROW(B95)-1, "")</f>
        <v/>
      </c>
      <c r="E97" s="1" t="str">
        <f>IF(Person2!$B$7+ROW(B95)-1&lt;=Person2!$C$7, Person2!$B$7+ROW(B95)-1, "")</f>
        <v/>
      </c>
      <c r="F97" s="1" t="str">
        <f>IF(Person2!$B$8+ROW(B95)-1&lt;=Person2!$C$8, Person2!$B$8+ROW(B95)-1, "")</f>
        <v/>
      </c>
      <c r="G97" s="1" t="str">
        <f>IF(Person2!$B$9+ROW(B95)-1&lt;=Person2!$C$9, Person2!$B$9+ROW(B95)-1, "")</f>
        <v/>
      </c>
      <c r="H97" s="1" t="str">
        <f>IF(Person2!$B$10+ROW(B95)-1&lt;=Person2!$C$10, Person2!$B$10+ROW(B95)-1, "")</f>
        <v/>
      </c>
      <c r="I97" s="1" t="str">
        <f>IF(Person2!$B$11+ROW(B95)-1&lt;=Person2!$C$11, Person2!$B$11+ROW(B95)-1, "")</f>
        <v/>
      </c>
      <c r="J97" s="1" t="str">
        <f>IF(Person2!$B$12+ROW(B95)-1&lt;=Person2!$C$12, Person2!$B$12+ROW(B95)-1, "")</f>
        <v/>
      </c>
      <c r="K97" s="1" t="str">
        <f>IF(Person2!$B$13+ROW(B95)-1&lt;=Person2!$C$13, Person2!$B$13+ROW(B95)-1, "")</f>
        <v/>
      </c>
      <c r="L97" s="1" t="str">
        <f>IF(Person2!$B$14+ROW(B95)-1&lt;=Person2!$C$14, Person2!$B$14+ROW(B95)-1, "")</f>
        <v/>
      </c>
      <c r="M97" s="1" t="str">
        <f>IF(Person2!$B$15+ROW(B95)-1&lt;=Person2!$C$15, Person2!$B$15+ROW(B95)-1, "")</f>
        <v/>
      </c>
      <c r="N97" s="1" t="str">
        <f>IF(Person2!$B$16+ROW(B95)-1&lt;=Person2!$C$16, Person2!$B$16+ROW(B95)-1, "")</f>
        <v/>
      </c>
      <c r="O97" s="1" t="str">
        <f>IF(Person2!$B$17+ROW(B95)-1&lt;=Person2!$C$17, Person2!$B$17+ROW(B95)-1, "")</f>
        <v/>
      </c>
      <c r="V97" s="1" t="str">
        <f>IF(Person2!$D$3+ROW(A95)-1&lt;=Person2!$E$3, Person2!$D$3+ROW(A95)-1, "")</f>
        <v/>
      </c>
      <c r="W97" s="1" t="str">
        <f>IF(Person2!$D$4+ROW(A95)-1&lt;=Person2!$E$4, Person2!$D$4+ROW(A95)-1, "")</f>
        <v/>
      </c>
      <c r="X97" s="1" t="str">
        <f>IF(Person2!$D$5+ROW(A95)-1&lt;=Person2!$E$5, Person2!$D$5+ROW(A95)-1, "")</f>
        <v/>
      </c>
      <c r="Y97" s="1" t="str">
        <f>IF(Person2!$D$6+ROW(A95)-1&lt;=Person2!$E$6, Person2!$D$6+ROW(A95)-1, "")</f>
        <v/>
      </c>
      <c r="Z97" s="1" t="str">
        <f>IF(Person2!$D$7+ROW(A95)-1&lt;=Person2!$E$7, Person2!$D$7+ROW(A95)-1, "")</f>
        <v/>
      </c>
      <c r="AA97" s="1" t="str">
        <f>IF(Person2!$D$8+ROW(A95)-1&lt;=Person2!$E$8, Person2!$D$8+ROW(A95)-1, "")</f>
        <v/>
      </c>
      <c r="AE97" s="1" t="str">
        <f>IF(Person2!$F$3+ROW(A95)-1&lt;=Person2!$G$3, Person2!$F$3+ROW(A95)-1, "")</f>
        <v/>
      </c>
      <c r="AF97" s="1" t="str">
        <f>IF(Person2!$F$4+ROW(A95)-1&lt;=Person2!$G$4, Person2!$F$4+ROW(A95)-1, "")</f>
        <v/>
      </c>
      <c r="AG97" s="1" t="str">
        <f>IF(Person2!$F$5+ROW(A95)-1&lt;=Person2!$G$5, Person2!$F$5+ROW(A95)-1, "")</f>
        <v/>
      </c>
      <c r="AH97" s="1" t="str">
        <f>IF(Person2!$F$6+ROW(A95)-1&lt;=Person2!$G$6, Person2!$F$6+ROW(A95)-1, "")</f>
        <v/>
      </c>
      <c r="AI97" s="1" t="str">
        <f>IF(Person2!$F$7+ROW(A95)-1&lt;=Person2!$G$7, Person2!$F$7+ROW(A95)-1, "")</f>
        <v/>
      </c>
    </row>
    <row r="98" spans="1:35" x14ac:dyDescent="0.3">
      <c r="A98" s="1" t="str">
        <f>IF(Person2!$B$3+ROW(A96)-1&lt;=Person2!$C$3, Person2!$B$3+ROW(A96)-1, "")</f>
        <v/>
      </c>
      <c r="B98" s="1" t="str">
        <f>IF(Person2!$B$4+ROW(B96)-1&lt;=Person2!$C$4, Person2!$B$4+ROW(B96)-1, "")</f>
        <v/>
      </c>
      <c r="C98" s="1" t="str">
        <f>IF(Person2!$B$5+ROW(B96)-1&lt;=Person2!$C$5, Person2!$B$5+ROW(B96)-1, "")</f>
        <v/>
      </c>
      <c r="D98" s="1" t="str">
        <f>IF(Person2!$B$6+ROW(B96)-1&lt;=Person2!$C$6, Person2!$B$6+ROW(B96)-1, "")</f>
        <v/>
      </c>
      <c r="E98" s="1" t="str">
        <f>IF(Person2!$B$7+ROW(B96)-1&lt;=Person2!$C$7, Person2!$B$7+ROW(B96)-1, "")</f>
        <v/>
      </c>
      <c r="F98" s="1" t="str">
        <f>IF(Person2!$B$8+ROW(B96)-1&lt;=Person2!$C$8, Person2!$B$8+ROW(B96)-1, "")</f>
        <v/>
      </c>
      <c r="G98" s="1" t="str">
        <f>IF(Person2!$B$9+ROW(B96)-1&lt;=Person2!$C$9, Person2!$B$9+ROW(B96)-1, "")</f>
        <v/>
      </c>
      <c r="H98" s="1" t="str">
        <f>IF(Person2!$B$10+ROW(B96)-1&lt;=Person2!$C$10, Person2!$B$10+ROW(B96)-1, "")</f>
        <v/>
      </c>
      <c r="I98" s="1" t="str">
        <f>IF(Person2!$B$11+ROW(B96)-1&lt;=Person2!$C$11, Person2!$B$11+ROW(B96)-1, "")</f>
        <v/>
      </c>
      <c r="J98" s="1" t="str">
        <f>IF(Person2!$B$12+ROW(B96)-1&lt;=Person2!$C$12, Person2!$B$12+ROW(B96)-1, "")</f>
        <v/>
      </c>
      <c r="K98" s="1" t="str">
        <f>IF(Person2!$B$13+ROW(B96)-1&lt;=Person2!$C$13, Person2!$B$13+ROW(B96)-1, "")</f>
        <v/>
      </c>
      <c r="L98" s="1" t="str">
        <f>IF(Person2!$B$14+ROW(B96)-1&lt;=Person2!$C$14, Person2!$B$14+ROW(B96)-1, "")</f>
        <v/>
      </c>
      <c r="M98" s="1" t="str">
        <f>IF(Person2!$B$15+ROW(B96)-1&lt;=Person2!$C$15, Person2!$B$15+ROW(B96)-1, "")</f>
        <v/>
      </c>
      <c r="N98" s="1" t="str">
        <f>IF(Person2!$B$16+ROW(B96)-1&lt;=Person2!$C$16, Person2!$B$16+ROW(B96)-1, "")</f>
        <v/>
      </c>
      <c r="O98" s="1" t="str">
        <f>IF(Person2!$B$17+ROW(B96)-1&lt;=Person2!$C$17, Person2!$B$17+ROW(B96)-1, "")</f>
        <v/>
      </c>
      <c r="V98" s="1" t="str">
        <f>IF(Person2!$D$3+ROW(A96)-1&lt;=Person2!$E$3, Person2!$D$3+ROW(A96)-1, "")</f>
        <v/>
      </c>
      <c r="W98" s="1" t="str">
        <f>IF(Person2!$D$4+ROW(A96)-1&lt;=Person2!$E$4, Person2!$D$4+ROW(A96)-1, "")</f>
        <v/>
      </c>
      <c r="X98" s="1" t="str">
        <f>IF(Person2!$D$5+ROW(A96)-1&lt;=Person2!$E$5, Person2!$D$5+ROW(A96)-1, "")</f>
        <v/>
      </c>
      <c r="Y98" s="1" t="str">
        <f>IF(Person2!$D$6+ROW(A96)-1&lt;=Person2!$E$6, Person2!$D$6+ROW(A96)-1, "")</f>
        <v/>
      </c>
      <c r="Z98" s="1" t="str">
        <f>IF(Person2!$D$7+ROW(A96)-1&lt;=Person2!$E$7, Person2!$D$7+ROW(A96)-1, "")</f>
        <v/>
      </c>
      <c r="AA98" s="1" t="str">
        <f>IF(Person2!$D$8+ROW(A96)-1&lt;=Person2!$E$8, Person2!$D$8+ROW(A96)-1, "")</f>
        <v/>
      </c>
      <c r="AE98" s="1" t="str">
        <f>IF(Person2!$F$3+ROW(A96)-1&lt;=Person2!$G$3, Person2!$F$3+ROW(A96)-1, "")</f>
        <v/>
      </c>
      <c r="AF98" s="1" t="str">
        <f>IF(Person2!$F$4+ROW(A96)-1&lt;=Person2!$G$4, Person2!$F$4+ROW(A96)-1, "")</f>
        <v/>
      </c>
      <c r="AG98" s="1" t="str">
        <f>IF(Person2!$F$5+ROW(A96)-1&lt;=Person2!$G$5, Person2!$F$5+ROW(A96)-1, "")</f>
        <v/>
      </c>
      <c r="AH98" s="1" t="str">
        <f>IF(Person2!$F$6+ROW(A96)-1&lt;=Person2!$G$6, Person2!$F$6+ROW(A96)-1, "")</f>
        <v/>
      </c>
      <c r="AI98" s="1" t="str">
        <f>IF(Person2!$F$7+ROW(A96)-1&lt;=Person2!$G$7, Person2!$F$7+ROW(A96)-1, "")</f>
        <v/>
      </c>
    </row>
    <row r="99" spans="1:35" x14ac:dyDescent="0.3">
      <c r="A99" s="1" t="str">
        <f>IF(Person2!$B$3+ROW(A97)-1&lt;=Person2!$C$3, Person2!$B$3+ROW(A97)-1, "")</f>
        <v/>
      </c>
      <c r="B99" s="1" t="str">
        <f>IF(Person2!$B$4+ROW(B97)-1&lt;=Person2!$C$4, Person2!$B$4+ROW(B97)-1, "")</f>
        <v/>
      </c>
      <c r="C99" s="1" t="str">
        <f>IF(Person2!$B$5+ROW(B97)-1&lt;=Person2!$C$5, Person2!$B$5+ROW(B97)-1, "")</f>
        <v/>
      </c>
      <c r="D99" s="1" t="str">
        <f>IF(Person2!$B$6+ROW(B97)-1&lt;=Person2!$C$6, Person2!$B$6+ROW(B97)-1, "")</f>
        <v/>
      </c>
      <c r="E99" s="1" t="str">
        <f>IF(Person2!$B$7+ROW(B97)-1&lt;=Person2!$C$7, Person2!$B$7+ROW(B97)-1, "")</f>
        <v/>
      </c>
      <c r="F99" s="1" t="str">
        <f>IF(Person2!$B$8+ROW(B97)-1&lt;=Person2!$C$8, Person2!$B$8+ROW(B97)-1, "")</f>
        <v/>
      </c>
      <c r="G99" s="1" t="str">
        <f>IF(Person2!$B$9+ROW(B97)-1&lt;=Person2!$C$9, Person2!$B$9+ROW(B97)-1, "")</f>
        <v/>
      </c>
      <c r="H99" s="1" t="str">
        <f>IF(Person2!$B$10+ROW(B97)-1&lt;=Person2!$C$10, Person2!$B$10+ROW(B97)-1, "")</f>
        <v/>
      </c>
      <c r="I99" s="1" t="str">
        <f>IF(Person2!$B$11+ROW(B97)-1&lt;=Person2!$C$11, Person2!$B$11+ROW(B97)-1, "")</f>
        <v/>
      </c>
      <c r="J99" s="1" t="str">
        <f>IF(Person2!$B$12+ROW(B97)-1&lt;=Person2!$C$12, Person2!$B$12+ROW(B97)-1, "")</f>
        <v/>
      </c>
      <c r="K99" s="1" t="str">
        <f>IF(Person2!$B$13+ROW(B97)-1&lt;=Person2!$C$13, Person2!$B$13+ROW(B97)-1, "")</f>
        <v/>
      </c>
      <c r="L99" s="1" t="str">
        <f>IF(Person2!$B$14+ROW(B97)-1&lt;=Person2!$C$14, Person2!$B$14+ROW(B97)-1, "")</f>
        <v/>
      </c>
      <c r="M99" s="1" t="str">
        <f>IF(Person2!$B$15+ROW(B97)-1&lt;=Person2!$C$15, Person2!$B$15+ROW(B97)-1, "")</f>
        <v/>
      </c>
      <c r="N99" s="1" t="str">
        <f>IF(Person2!$B$16+ROW(B97)-1&lt;=Person2!$C$16, Person2!$B$16+ROW(B97)-1, "")</f>
        <v/>
      </c>
      <c r="O99" s="1" t="str">
        <f>IF(Person2!$B$17+ROW(B97)-1&lt;=Person2!$C$17, Person2!$B$17+ROW(B97)-1, "")</f>
        <v/>
      </c>
      <c r="V99" s="1" t="str">
        <f>IF(Person2!$D$3+ROW(A97)-1&lt;=Person2!$E$3, Person2!$D$3+ROW(A97)-1, "")</f>
        <v/>
      </c>
      <c r="W99" s="1" t="str">
        <f>IF(Person2!$D$4+ROW(A97)-1&lt;=Person2!$E$4, Person2!$D$4+ROW(A97)-1, "")</f>
        <v/>
      </c>
      <c r="X99" s="1" t="str">
        <f>IF(Person2!$D$5+ROW(A97)-1&lt;=Person2!$E$5, Person2!$D$5+ROW(A97)-1, "")</f>
        <v/>
      </c>
      <c r="Y99" s="1" t="str">
        <f>IF(Person2!$D$6+ROW(A97)-1&lt;=Person2!$E$6, Person2!$D$6+ROW(A97)-1, "")</f>
        <v/>
      </c>
      <c r="Z99" s="1" t="str">
        <f>IF(Person2!$D$7+ROW(A97)-1&lt;=Person2!$E$7, Person2!$D$7+ROW(A97)-1, "")</f>
        <v/>
      </c>
      <c r="AA99" s="1" t="str">
        <f>IF(Person2!$D$8+ROW(A97)-1&lt;=Person2!$E$8, Person2!$D$8+ROW(A97)-1, "")</f>
        <v/>
      </c>
      <c r="AE99" s="1" t="str">
        <f>IF(Person2!$F$3+ROW(A97)-1&lt;=Person2!$G$3, Person2!$F$3+ROW(A97)-1, "")</f>
        <v/>
      </c>
      <c r="AF99" s="1" t="str">
        <f>IF(Person2!$F$4+ROW(A97)-1&lt;=Person2!$G$4, Person2!$F$4+ROW(A97)-1, "")</f>
        <v/>
      </c>
      <c r="AG99" s="1" t="str">
        <f>IF(Person2!$F$5+ROW(A97)-1&lt;=Person2!$G$5, Person2!$F$5+ROW(A97)-1, "")</f>
        <v/>
      </c>
      <c r="AH99" s="1" t="str">
        <f>IF(Person2!$F$6+ROW(A97)-1&lt;=Person2!$G$6, Person2!$F$6+ROW(A97)-1, "")</f>
        <v/>
      </c>
      <c r="AI99" s="1" t="str">
        <f>IF(Person2!$F$7+ROW(A97)-1&lt;=Person2!$G$7, Person2!$F$7+ROW(A97)-1, "")</f>
        <v/>
      </c>
    </row>
    <row r="100" spans="1:35" x14ac:dyDescent="0.3">
      <c r="A100" s="1" t="str">
        <f>IF(Person2!$B$3+ROW(A98)-1&lt;=Person2!$C$3, Person2!$B$3+ROW(A98)-1, "")</f>
        <v/>
      </c>
      <c r="B100" s="1" t="str">
        <f>IF(Person2!$B$4+ROW(B98)-1&lt;=Person2!$C$4, Person2!$B$4+ROW(B98)-1, "")</f>
        <v/>
      </c>
      <c r="C100" s="1" t="str">
        <f>IF(Person2!$B$5+ROW(B98)-1&lt;=Person2!$C$5, Person2!$B$5+ROW(B98)-1, "")</f>
        <v/>
      </c>
      <c r="D100" s="1" t="str">
        <f>IF(Person2!$B$6+ROW(B98)-1&lt;=Person2!$C$6, Person2!$B$6+ROW(B98)-1, "")</f>
        <v/>
      </c>
      <c r="E100" s="1" t="str">
        <f>IF(Person2!$B$7+ROW(B98)-1&lt;=Person2!$C$7, Person2!$B$7+ROW(B98)-1, "")</f>
        <v/>
      </c>
      <c r="F100" s="1" t="str">
        <f>IF(Person2!$B$8+ROW(B98)-1&lt;=Person2!$C$8, Person2!$B$8+ROW(B98)-1, "")</f>
        <v/>
      </c>
      <c r="G100" s="1" t="str">
        <f>IF(Person2!$B$9+ROW(B98)-1&lt;=Person2!$C$9, Person2!$B$9+ROW(B98)-1, "")</f>
        <v/>
      </c>
      <c r="H100" s="1" t="str">
        <f>IF(Person2!$B$10+ROW(B98)-1&lt;=Person2!$C$10, Person2!$B$10+ROW(B98)-1, "")</f>
        <v/>
      </c>
      <c r="I100" s="1" t="str">
        <f>IF(Person2!$B$11+ROW(B98)-1&lt;=Person2!$C$11, Person2!$B$11+ROW(B98)-1, "")</f>
        <v/>
      </c>
      <c r="J100" s="1" t="str">
        <f>IF(Person2!$B$12+ROW(B98)-1&lt;=Person2!$C$12, Person2!$B$12+ROW(B98)-1, "")</f>
        <v/>
      </c>
      <c r="K100" s="1" t="str">
        <f>IF(Person2!$B$13+ROW(B98)-1&lt;=Person2!$C$13, Person2!$B$13+ROW(B98)-1, "")</f>
        <v/>
      </c>
      <c r="L100" s="1" t="str">
        <f>IF(Person2!$B$14+ROW(B98)-1&lt;=Person2!$C$14, Person2!$B$14+ROW(B98)-1, "")</f>
        <v/>
      </c>
      <c r="M100" s="1" t="str">
        <f>IF(Person2!$B$15+ROW(B98)-1&lt;=Person2!$C$15, Person2!$B$15+ROW(B98)-1, "")</f>
        <v/>
      </c>
      <c r="N100" s="1" t="str">
        <f>IF(Person2!$B$16+ROW(B98)-1&lt;=Person2!$C$16, Person2!$B$16+ROW(B98)-1, "")</f>
        <v/>
      </c>
      <c r="O100" s="1" t="str">
        <f>IF(Person2!$B$17+ROW(B98)-1&lt;=Person2!$C$17, Person2!$B$17+ROW(B98)-1, "")</f>
        <v/>
      </c>
      <c r="V100" s="1" t="str">
        <f>IF(Person2!$D$3+ROW(A98)-1&lt;=Person2!$E$3, Person2!$D$3+ROW(A98)-1, "")</f>
        <v/>
      </c>
      <c r="W100" s="1" t="str">
        <f>IF(Person2!$D$4+ROW(A98)-1&lt;=Person2!$E$4, Person2!$D$4+ROW(A98)-1, "")</f>
        <v/>
      </c>
      <c r="X100" s="1" t="str">
        <f>IF(Person2!$D$5+ROW(A98)-1&lt;=Person2!$E$5, Person2!$D$5+ROW(A98)-1, "")</f>
        <v/>
      </c>
      <c r="Y100" s="1" t="str">
        <f>IF(Person2!$D$6+ROW(A98)-1&lt;=Person2!$E$6, Person2!$D$6+ROW(A98)-1, "")</f>
        <v/>
      </c>
      <c r="Z100" s="1" t="str">
        <f>IF(Person2!$D$7+ROW(A98)-1&lt;=Person2!$E$7, Person2!$D$7+ROW(A98)-1, "")</f>
        <v/>
      </c>
      <c r="AA100" s="1" t="str">
        <f>IF(Person2!$D$8+ROW(A98)-1&lt;=Person2!$E$8, Person2!$D$8+ROW(A98)-1, "")</f>
        <v/>
      </c>
      <c r="AE100" s="1" t="str">
        <f>IF(Person2!$F$3+ROW(A98)-1&lt;=Person2!$G$3, Person2!$F$3+ROW(A98)-1, "")</f>
        <v/>
      </c>
      <c r="AF100" s="1" t="str">
        <f>IF(Person2!$F$4+ROW(A98)-1&lt;=Person2!$G$4, Person2!$F$4+ROW(A98)-1, "")</f>
        <v/>
      </c>
      <c r="AG100" s="1" t="str">
        <f>IF(Person2!$F$5+ROW(A98)-1&lt;=Person2!$G$5, Person2!$F$5+ROW(A98)-1, "")</f>
        <v/>
      </c>
      <c r="AH100" s="1" t="str">
        <f>IF(Person2!$F$6+ROW(A98)-1&lt;=Person2!$G$6, Person2!$F$6+ROW(A98)-1, "")</f>
        <v/>
      </c>
      <c r="AI100" s="1" t="str">
        <f>IF(Person2!$F$7+ROW(A98)-1&lt;=Person2!$G$7, Person2!$F$7+ROW(A98)-1, "")</f>
        <v/>
      </c>
    </row>
    <row r="101" spans="1:35" x14ac:dyDescent="0.3">
      <c r="A101" s="1" t="str">
        <f>IF(Person2!$B$3+ROW(A99)-1&lt;=Person2!$C$3, Person2!$B$3+ROW(A99)-1, "")</f>
        <v/>
      </c>
      <c r="B101" s="1" t="str">
        <f>IF(Person2!$B$4+ROW(B99)-1&lt;=Person2!$C$4, Person2!$B$4+ROW(B99)-1, "")</f>
        <v/>
      </c>
      <c r="C101" s="1" t="str">
        <f>IF(Person2!$B$5+ROW(B99)-1&lt;=Person2!$C$5, Person2!$B$5+ROW(B99)-1, "")</f>
        <v/>
      </c>
      <c r="D101" s="1" t="str">
        <f>IF(Person2!$B$6+ROW(B99)-1&lt;=Person2!$C$6, Person2!$B$6+ROW(B99)-1, "")</f>
        <v/>
      </c>
      <c r="E101" s="1" t="str">
        <f>IF(Person2!$B$7+ROW(B99)-1&lt;=Person2!$C$7, Person2!$B$7+ROW(B99)-1, "")</f>
        <v/>
      </c>
      <c r="F101" s="1" t="str">
        <f>IF(Person2!$B$8+ROW(B99)-1&lt;=Person2!$C$8, Person2!$B$8+ROW(B99)-1, "")</f>
        <v/>
      </c>
      <c r="G101" s="1" t="str">
        <f>IF(Person2!$B$9+ROW(B99)-1&lt;=Person2!$C$9, Person2!$B$9+ROW(B99)-1, "")</f>
        <v/>
      </c>
      <c r="H101" s="1" t="str">
        <f>IF(Person2!$B$10+ROW(B99)-1&lt;=Person2!$C$10, Person2!$B$10+ROW(B99)-1, "")</f>
        <v/>
      </c>
      <c r="I101" s="1" t="str">
        <f>IF(Person2!$B$11+ROW(B99)-1&lt;=Person2!$C$11, Person2!$B$11+ROW(B99)-1, "")</f>
        <v/>
      </c>
      <c r="J101" s="1" t="str">
        <f>IF(Person2!$B$12+ROW(B99)-1&lt;=Person2!$C$12, Person2!$B$12+ROW(B99)-1, "")</f>
        <v/>
      </c>
      <c r="K101" s="1" t="str">
        <f>IF(Person2!$B$13+ROW(B99)-1&lt;=Person2!$C$13, Person2!$B$13+ROW(B99)-1, "")</f>
        <v/>
      </c>
      <c r="L101" s="1" t="str">
        <f>IF(Person2!$B$14+ROW(B99)-1&lt;=Person2!$C$14, Person2!$B$14+ROW(B99)-1, "")</f>
        <v/>
      </c>
      <c r="M101" s="1" t="str">
        <f>IF(Person2!$B$15+ROW(B99)-1&lt;=Person2!$C$15, Person2!$B$15+ROW(B99)-1, "")</f>
        <v/>
      </c>
      <c r="N101" s="1" t="str">
        <f>IF(Person2!$B$16+ROW(B99)-1&lt;=Person2!$C$16, Person2!$B$16+ROW(B99)-1, "")</f>
        <v/>
      </c>
      <c r="O101" s="1" t="str">
        <f>IF(Person2!$B$17+ROW(B99)-1&lt;=Person2!$C$17, Person2!$B$17+ROW(B99)-1, "")</f>
        <v/>
      </c>
      <c r="V101" s="1" t="str">
        <f>IF(Person2!$D$3+ROW(A99)-1&lt;=Person2!$E$3, Person2!$D$3+ROW(A99)-1, "")</f>
        <v/>
      </c>
      <c r="W101" s="1" t="str">
        <f>IF(Person2!$D$4+ROW(A99)-1&lt;=Person2!$E$4, Person2!$D$4+ROW(A99)-1, "")</f>
        <v/>
      </c>
      <c r="X101" s="1" t="str">
        <f>IF(Person2!$D$5+ROW(A99)-1&lt;=Person2!$E$5, Person2!$D$5+ROW(A99)-1, "")</f>
        <v/>
      </c>
      <c r="Y101" s="1" t="str">
        <f>IF(Person2!$D$6+ROW(A99)-1&lt;=Person2!$E$6, Person2!$D$6+ROW(A99)-1, "")</f>
        <v/>
      </c>
      <c r="Z101" s="1" t="str">
        <f>IF(Person2!$D$7+ROW(A99)-1&lt;=Person2!$E$7, Person2!$D$7+ROW(A99)-1, "")</f>
        <v/>
      </c>
      <c r="AA101" s="1" t="str">
        <f>IF(Person2!$D$8+ROW(A99)-1&lt;=Person2!$E$8, Person2!$D$8+ROW(A99)-1, "")</f>
        <v/>
      </c>
      <c r="AE101" s="1" t="str">
        <f>IF(Person2!$F$3+ROW(A99)-1&lt;=Person2!$G$3, Person2!$F$3+ROW(A99)-1, "")</f>
        <v/>
      </c>
      <c r="AF101" s="1" t="str">
        <f>IF(Person2!$F$4+ROW(A99)-1&lt;=Person2!$G$4, Person2!$F$4+ROW(A99)-1, "")</f>
        <v/>
      </c>
      <c r="AG101" s="1" t="str">
        <f>IF(Person2!$F$5+ROW(A99)-1&lt;=Person2!$G$5, Person2!$F$5+ROW(A99)-1, "")</f>
        <v/>
      </c>
      <c r="AH101" s="1" t="str">
        <f>IF(Person2!$F$6+ROW(A99)-1&lt;=Person2!$G$6, Person2!$F$6+ROW(A99)-1, "")</f>
        <v/>
      </c>
      <c r="AI101" s="1" t="str">
        <f>IF(Person2!$F$7+ROW(A99)-1&lt;=Person2!$G$7, Person2!$F$7+ROW(A99)-1, "")</f>
        <v/>
      </c>
    </row>
    <row r="102" spans="1:35" x14ac:dyDescent="0.3">
      <c r="A102" s="1" t="str">
        <f>IF(Person2!$B$3+ROW(A100)-1&lt;=Person2!$C$3, Person2!$B$3+ROW(A100)-1, "")</f>
        <v/>
      </c>
      <c r="B102" s="1" t="str">
        <f>IF(Person2!$B$4+ROW(B100)-1&lt;=Person2!$C$4, Person2!$B$4+ROW(B100)-1, "")</f>
        <v/>
      </c>
      <c r="C102" s="1" t="str">
        <f>IF(Person2!$B$5+ROW(B100)-1&lt;=Person2!$C$5, Person2!$B$5+ROW(B100)-1, "")</f>
        <v/>
      </c>
      <c r="D102" s="1" t="str">
        <f>IF(Person2!$B$6+ROW(B100)-1&lt;=Person2!$C$6, Person2!$B$6+ROW(B100)-1, "")</f>
        <v/>
      </c>
      <c r="E102" s="1" t="str">
        <f>IF(Person2!$B$7+ROW(B100)-1&lt;=Person2!$C$7, Person2!$B$7+ROW(B100)-1, "")</f>
        <v/>
      </c>
      <c r="F102" s="1" t="str">
        <f>IF(Person2!$B$8+ROW(B100)-1&lt;=Person2!$C$8, Person2!$B$8+ROW(B100)-1, "")</f>
        <v/>
      </c>
      <c r="G102" s="1" t="str">
        <f>IF(Person2!$B$9+ROW(B100)-1&lt;=Person2!$C$9, Person2!$B$9+ROW(B100)-1, "")</f>
        <v/>
      </c>
      <c r="H102" s="1" t="str">
        <f>IF(Person2!$B$10+ROW(B100)-1&lt;=Person2!$C$10, Person2!$B$10+ROW(B100)-1, "")</f>
        <v/>
      </c>
      <c r="I102" s="1" t="str">
        <f>IF(Person2!$B$11+ROW(B100)-1&lt;=Person2!$C$11, Person2!$B$11+ROW(B100)-1, "")</f>
        <v/>
      </c>
      <c r="J102" s="1" t="str">
        <f>IF(Person2!$B$12+ROW(B100)-1&lt;=Person2!$C$12, Person2!$B$12+ROW(B100)-1, "")</f>
        <v/>
      </c>
      <c r="K102" s="1" t="str">
        <f>IF(Person2!$B$13+ROW(B100)-1&lt;=Person2!$C$13, Person2!$B$13+ROW(B100)-1, "")</f>
        <v/>
      </c>
      <c r="L102" s="1" t="str">
        <f>IF(Person2!$B$14+ROW(B100)-1&lt;=Person2!$C$14, Person2!$B$14+ROW(B100)-1, "")</f>
        <v/>
      </c>
      <c r="M102" s="1" t="str">
        <f>IF(Person2!$B$15+ROW(B100)-1&lt;=Person2!$C$15, Person2!$B$15+ROW(B100)-1, "")</f>
        <v/>
      </c>
      <c r="N102" s="1" t="str">
        <f>IF(Person2!$B$16+ROW(B100)-1&lt;=Person2!$C$16, Person2!$B$16+ROW(B100)-1, "")</f>
        <v/>
      </c>
      <c r="O102" s="1" t="str">
        <f>IF(Person2!$B$17+ROW(B100)-1&lt;=Person2!$C$17, Person2!$B$17+ROW(B100)-1, "")</f>
        <v/>
      </c>
      <c r="V102" s="1" t="str">
        <f>IF(Person2!$D$3+ROW(A100)-1&lt;=Person2!$E$3, Person2!$D$3+ROW(A100)-1, "")</f>
        <v/>
      </c>
      <c r="W102" s="1" t="str">
        <f>IF(Person2!$D$4+ROW(A100)-1&lt;=Person2!$E$4, Person2!$D$4+ROW(A100)-1, "")</f>
        <v/>
      </c>
      <c r="X102" s="1" t="str">
        <f>IF(Person2!$D$5+ROW(A100)-1&lt;=Person2!$E$5, Person2!$D$5+ROW(A100)-1, "")</f>
        <v/>
      </c>
      <c r="Y102" s="1" t="str">
        <f>IF(Person2!$D$6+ROW(A100)-1&lt;=Person2!$E$6, Person2!$D$6+ROW(A100)-1, "")</f>
        <v/>
      </c>
      <c r="Z102" s="1" t="str">
        <f>IF(Person2!$D$7+ROW(A100)-1&lt;=Person2!$E$7, Person2!$D$7+ROW(A100)-1, "")</f>
        <v/>
      </c>
      <c r="AE102" s="1" t="str">
        <f>IF(Person2!$F$3+ROW(A100)-1&lt;=Person2!$G$3, Person2!$F$3+ROW(A100)-1, "")</f>
        <v/>
      </c>
      <c r="AF102" s="1" t="str">
        <f>IF(Person2!$F$4+ROW(A100)-1&lt;=Person2!$G$4, Person2!$F$4+ROW(A100)-1, "")</f>
        <v/>
      </c>
      <c r="AG102" s="1" t="str">
        <f>IF(Person2!$F$5+ROW(A100)-1&lt;=Person2!$G$5, Person2!$F$5+ROW(A100)-1, "")</f>
        <v/>
      </c>
      <c r="AH102" s="1" t="str">
        <f>IF(Person2!$F$6+ROW(A100)-1&lt;=Person2!$G$6, Person2!$F$6+ROW(A100)-1, "")</f>
        <v/>
      </c>
      <c r="AI102" s="1" t="str">
        <f>IF(Person1!$F$7+ROW(A100)-1&lt;=Person1!$G$7, Person1!$F$7+ROW(A100)-1, "")</f>
        <v/>
      </c>
    </row>
    <row r="103" spans="1:35" x14ac:dyDescent="0.3">
      <c r="A103" s="1" t="str">
        <f>IF(Person2!$B$3+ROW(A101)-1&lt;=Person2!$C$3, Person2!$B$3+ROW(A101)-1, "")</f>
        <v/>
      </c>
      <c r="B103" s="1" t="str">
        <f>IF(Person2!$B$4+ROW(B101)-1&lt;=Person2!$C$4, Person2!$B$4+ROW(B101)-1, "")</f>
        <v/>
      </c>
      <c r="C103" s="1" t="str">
        <f>IF(Person2!$B$5+ROW(B101)-1&lt;=Person2!$C$5, Person2!$B$5+ROW(B101)-1, "")</f>
        <v/>
      </c>
      <c r="D103" s="1" t="str">
        <f>IF(Person2!$B$6+ROW(B101)-1&lt;=Person2!$C$6, Person2!$B$6+ROW(B101)-1, "")</f>
        <v/>
      </c>
      <c r="E103" s="1" t="str">
        <f>IF(Person2!$B$7+ROW(B101)-1&lt;=Person2!$C$7, Person2!$B$7+ROW(B101)-1, "")</f>
        <v/>
      </c>
      <c r="F103" s="1" t="str">
        <f>IF(Person2!$B$8+ROW(B101)-1&lt;=Person2!$C$8, Person2!$B$8+ROW(B101)-1, "")</f>
        <v/>
      </c>
      <c r="G103" s="1" t="str">
        <f>IF(Person2!$B$9+ROW(B101)-1&lt;=Person2!$C$9, Person2!$B$9+ROW(B101)-1, "")</f>
        <v/>
      </c>
      <c r="H103" s="1" t="str">
        <f>IF(Person2!$B$10+ROW(B101)-1&lt;=Person2!$C$10, Person2!$B$10+ROW(B101)-1, "")</f>
        <v/>
      </c>
      <c r="I103" s="1" t="str">
        <f>IF(Person2!$B$11+ROW(B101)-1&lt;=Person2!$C$11, Person2!$B$11+ROW(B101)-1, "")</f>
        <v/>
      </c>
      <c r="J103" s="1" t="str">
        <f>IF(Person2!$B$12+ROW(B101)-1&lt;=Person2!$C$12, Person2!$B$12+ROW(B101)-1, "")</f>
        <v/>
      </c>
      <c r="L103" s="1" t="str">
        <f>IF(Person2!$B$14+ROW(B101)-1&lt;=Person2!$C$14, Person2!$B$14+ROW(B101)-1, "")</f>
        <v/>
      </c>
      <c r="M103" s="1" t="str">
        <f>IF(Person2!$B$15+ROW(B101)-1&lt;=Person2!$C$15, Person2!$B$15+ROW(B101)-1, "")</f>
        <v/>
      </c>
      <c r="N103" s="1" t="str">
        <f>IF(Person2!$B$16+ROW(B101)-1&lt;=Person2!$C$16, Person2!$B$16+ROW(B101)-1, "")</f>
        <v/>
      </c>
      <c r="O103" s="1" t="str">
        <f>IF(Person2!$B$17+ROW(B101)-1&lt;=Person2!$C$17, Person2!$B$17+ROW(B101)-1, "")</f>
        <v/>
      </c>
      <c r="V103" s="1" t="str">
        <f>IF(Person2!$D$3+ROW(A101)-1&lt;=Person2!$E$3, Person2!$D$3+ROW(A101)-1, "")</f>
        <v/>
      </c>
      <c r="W103" s="1" t="str">
        <f>IF(Person2!$D$4+ROW(A101)-1&lt;=Person2!$E$4, Person2!$D$4+ROW(A101)-1, "")</f>
        <v/>
      </c>
      <c r="X103" s="1" t="str">
        <f>IF(Person2!$D$5+ROW(A101)-1&lt;=Person2!$E$5, Person2!$D$5+ROW(A101)-1, "")</f>
        <v/>
      </c>
      <c r="Y103" s="1" t="str">
        <f>IF(Person2!$D$6+ROW(A101)-1&lt;=Person2!$E$6, Person2!$D$6+ROW(A101)-1, 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38913-0271-4487-908C-5C3028E3E179}">
  <sheetPr codeName="Tabelle5"/>
  <dimension ref="A1:I22"/>
  <sheetViews>
    <sheetView workbookViewId="0">
      <selection activeCell="I7" sqref="I7"/>
    </sheetView>
  </sheetViews>
  <sheetFormatPr baseColWidth="10" defaultRowHeight="14.4" x14ac:dyDescent="0.3"/>
  <cols>
    <col min="8" max="8" width="13.109375" bestFit="1" customWidth="1"/>
    <col min="9" max="9" width="12.33203125" bestFit="1" customWidth="1"/>
  </cols>
  <sheetData>
    <row r="1" spans="1:9" ht="15" thickBot="1" x14ac:dyDescent="0.35">
      <c r="A1" s="47" t="s">
        <v>34</v>
      </c>
      <c r="B1" s="52" t="s">
        <v>1</v>
      </c>
      <c r="C1" s="53"/>
      <c r="D1" s="52" t="s">
        <v>7</v>
      </c>
      <c r="E1" s="53"/>
      <c r="F1" s="52" t="s">
        <v>8</v>
      </c>
      <c r="G1" s="53"/>
      <c r="H1" s="46">
        <v>30</v>
      </c>
      <c r="I1" s="34" t="s">
        <v>33</v>
      </c>
    </row>
    <row r="2" spans="1:9" x14ac:dyDescent="0.3">
      <c r="B2" s="28" t="s">
        <v>3</v>
      </c>
      <c r="C2" s="29" t="s">
        <v>2</v>
      </c>
      <c r="D2" s="28" t="s">
        <v>3</v>
      </c>
      <c r="E2" s="29" t="s">
        <v>2</v>
      </c>
      <c r="F2" s="28" t="s">
        <v>3</v>
      </c>
      <c r="G2" s="29" t="s">
        <v>2</v>
      </c>
    </row>
    <row r="3" spans="1:9" x14ac:dyDescent="0.3">
      <c r="A3" s="1"/>
      <c r="B3" s="38"/>
      <c r="C3" s="42"/>
      <c r="D3" s="38"/>
      <c r="E3" s="42"/>
      <c r="F3" s="38"/>
      <c r="G3" s="42"/>
    </row>
    <row r="4" spans="1:9" x14ac:dyDescent="0.3">
      <c r="B4" s="38"/>
      <c r="C4" s="42"/>
      <c r="D4" s="40"/>
      <c r="E4" s="35"/>
      <c r="F4" s="40"/>
      <c r="G4" s="35"/>
    </row>
    <row r="5" spans="1:9" x14ac:dyDescent="0.3">
      <c r="B5" s="38"/>
      <c r="C5" s="42"/>
      <c r="D5" s="40"/>
      <c r="E5" s="35"/>
      <c r="F5" s="40"/>
      <c r="G5" s="35"/>
    </row>
    <row r="6" spans="1:9" x14ac:dyDescent="0.3">
      <c r="B6" s="38"/>
      <c r="C6" s="42"/>
      <c r="D6" s="40"/>
      <c r="E6" s="35"/>
      <c r="F6" s="40"/>
      <c r="G6" s="35"/>
    </row>
    <row r="7" spans="1:9" ht="15" thickBot="1" x14ac:dyDescent="0.35">
      <c r="B7" s="38"/>
      <c r="C7" s="42"/>
      <c r="D7" s="40"/>
      <c r="E7" s="35"/>
      <c r="F7" s="43"/>
      <c r="G7" s="44"/>
    </row>
    <row r="8" spans="1:9" ht="15" thickBot="1" x14ac:dyDescent="0.35">
      <c r="B8" s="40"/>
      <c r="C8" s="35"/>
      <c r="D8" s="43"/>
      <c r="E8" s="44"/>
      <c r="F8" s="32"/>
      <c r="G8" s="32"/>
    </row>
    <row r="9" spans="1:9" x14ac:dyDescent="0.3">
      <c r="B9" s="38"/>
      <c r="C9" s="42"/>
      <c r="D9" s="32"/>
      <c r="E9" s="32"/>
      <c r="F9" s="32"/>
      <c r="G9" s="32"/>
    </row>
    <row r="10" spans="1:9" x14ac:dyDescent="0.3">
      <c r="B10" s="40"/>
      <c r="C10" s="35"/>
      <c r="D10" s="32"/>
      <c r="E10" s="32"/>
      <c r="F10" s="32"/>
      <c r="G10" s="32"/>
    </row>
    <row r="11" spans="1:9" x14ac:dyDescent="0.3">
      <c r="B11" s="40"/>
      <c r="C11" s="35"/>
      <c r="D11" s="32"/>
      <c r="E11" s="32"/>
      <c r="F11" s="32"/>
      <c r="G11" s="32"/>
    </row>
    <row r="12" spans="1:9" x14ac:dyDescent="0.3">
      <c r="B12" s="40"/>
      <c r="C12" s="35"/>
      <c r="D12" s="32"/>
      <c r="E12" s="32"/>
      <c r="F12" s="32"/>
      <c r="G12" s="32"/>
    </row>
    <row r="13" spans="1:9" x14ac:dyDescent="0.3">
      <c r="B13" s="40"/>
      <c r="C13" s="35"/>
      <c r="D13" s="32"/>
      <c r="E13" s="32"/>
      <c r="F13" s="32"/>
      <c r="G13" s="32"/>
    </row>
    <row r="14" spans="1:9" x14ac:dyDescent="0.3">
      <c r="B14" s="40"/>
      <c r="C14" s="35"/>
      <c r="D14" s="32"/>
      <c r="E14" s="32"/>
      <c r="F14" s="32"/>
      <c r="G14" s="32"/>
    </row>
    <row r="15" spans="1:9" x14ac:dyDescent="0.3">
      <c r="B15" s="40"/>
      <c r="C15" s="35"/>
      <c r="D15" s="32"/>
      <c r="E15" s="32"/>
      <c r="F15" s="32"/>
      <c r="G15" s="32"/>
    </row>
    <row r="16" spans="1:9" x14ac:dyDescent="0.3">
      <c r="B16" s="40"/>
      <c r="C16" s="35"/>
      <c r="D16" s="32"/>
      <c r="E16" s="32"/>
      <c r="F16" s="32"/>
      <c r="G16" s="32"/>
    </row>
    <row r="17" spans="2:7" ht="15" thickBot="1" x14ac:dyDescent="0.35">
      <c r="B17" s="43"/>
      <c r="C17" s="44"/>
      <c r="D17" s="32"/>
      <c r="E17" s="32"/>
      <c r="F17" s="32"/>
      <c r="G17" s="32"/>
    </row>
    <row r="18" spans="2:7" x14ac:dyDescent="0.3">
      <c r="B18" s="32"/>
      <c r="C18" s="32"/>
      <c r="D18" s="32"/>
      <c r="E18" s="32"/>
      <c r="F18" s="32"/>
      <c r="G18" s="32"/>
    </row>
    <row r="19" spans="2:7" x14ac:dyDescent="0.3">
      <c r="B19" s="32"/>
      <c r="C19" s="32"/>
      <c r="D19" s="32"/>
      <c r="E19" s="32"/>
      <c r="F19" s="32"/>
      <c r="G19" s="32"/>
    </row>
    <row r="20" spans="2:7" x14ac:dyDescent="0.3">
      <c r="B20" s="32"/>
      <c r="C20" s="32"/>
      <c r="D20" s="32"/>
      <c r="E20" s="32"/>
      <c r="F20" s="32"/>
      <c r="G20" s="32"/>
    </row>
    <row r="21" spans="2:7" x14ac:dyDescent="0.3">
      <c r="B21" s="32"/>
      <c r="C21" s="32"/>
      <c r="D21" s="32"/>
      <c r="E21" s="32"/>
      <c r="F21" s="32"/>
      <c r="G21" s="32"/>
    </row>
    <row r="22" spans="2:7" x14ac:dyDescent="0.3">
      <c r="B22" s="32"/>
      <c r="C22" s="32"/>
      <c r="D22" s="32"/>
      <c r="E22" s="32"/>
      <c r="F22" s="32"/>
      <c r="G22" s="32"/>
    </row>
  </sheetData>
  <sheetProtection password="CFF0" sheet="1" objects="1" scenarios="1"/>
  <mergeCells count="3">
    <mergeCell ref="B1:C1"/>
    <mergeCell ref="D1:E1"/>
    <mergeCell ref="F1:G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4DE0F-2C60-46F4-8790-B4E54A050E88}">
  <sheetPr codeName="Tabelle6"/>
  <dimension ref="A1:I17"/>
  <sheetViews>
    <sheetView workbookViewId="0">
      <selection activeCell="I6" sqref="I6"/>
    </sheetView>
  </sheetViews>
  <sheetFormatPr baseColWidth="10" defaultRowHeight="14.4" x14ac:dyDescent="0.3"/>
  <cols>
    <col min="8" max="8" width="13.109375" bestFit="1" customWidth="1"/>
    <col min="9" max="9" width="12.33203125" bestFit="1" customWidth="1"/>
  </cols>
  <sheetData>
    <row r="1" spans="1:9" ht="15" thickBot="1" x14ac:dyDescent="0.35">
      <c r="A1" s="47" t="s">
        <v>32</v>
      </c>
      <c r="B1" s="52" t="s">
        <v>1</v>
      </c>
      <c r="C1" s="53"/>
      <c r="D1" s="52" t="s">
        <v>7</v>
      </c>
      <c r="E1" s="53"/>
      <c r="F1" s="52" t="s">
        <v>8</v>
      </c>
      <c r="G1" s="53"/>
      <c r="H1" s="46">
        <v>30</v>
      </c>
      <c r="I1" s="34" t="s">
        <v>33</v>
      </c>
    </row>
    <row r="2" spans="1:9" x14ac:dyDescent="0.3">
      <c r="B2" s="28" t="s">
        <v>3</v>
      </c>
      <c r="C2" s="29" t="s">
        <v>2</v>
      </c>
      <c r="D2" s="28" t="s">
        <v>3</v>
      </c>
      <c r="E2" s="29" t="s">
        <v>2</v>
      </c>
      <c r="F2" s="28" t="s">
        <v>3</v>
      </c>
      <c r="G2" s="29" t="s">
        <v>2</v>
      </c>
    </row>
    <row r="3" spans="1:9" x14ac:dyDescent="0.3">
      <c r="A3" s="1"/>
      <c r="B3" s="38"/>
      <c r="C3" s="42"/>
      <c r="D3" s="38"/>
      <c r="E3" s="42"/>
      <c r="F3" s="38"/>
      <c r="G3" s="42"/>
    </row>
    <row r="4" spans="1:9" x14ac:dyDescent="0.3">
      <c r="B4" s="38"/>
      <c r="C4" s="42"/>
      <c r="D4" s="40"/>
      <c r="E4" s="35"/>
      <c r="F4" s="40"/>
      <c r="G4" s="35"/>
    </row>
    <row r="5" spans="1:9" x14ac:dyDescent="0.3">
      <c r="B5" s="38"/>
      <c r="C5" s="42"/>
      <c r="D5" s="40"/>
      <c r="E5" s="35"/>
      <c r="F5" s="40"/>
      <c r="G5" s="35"/>
    </row>
    <row r="6" spans="1:9" x14ac:dyDescent="0.3">
      <c r="B6" s="38"/>
      <c r="C6" s="42"/>
      <c r="D6" s="40"/>
      <c r="E6" s="35"/>
      <c r="F6" s="40"/>
      <c r="G6" s="35"/>
    </row>
    <row r="7" spans="1:9" ht="15" thickBot="1" x14ac:dyDescent="0.35">
      <c r="B7" s="38"/>
      <c r="C7" s="42"/>
      <c r="D7" s="40"/>
      <c r="E7" s="35"/>
      <c r="F7" s="43"/>
      <c r="G7" s="44"/>
    </row>
    <row r="8" spans="1:9" ht="15" thickBot="1" x14ac:dyDescent="0.35">
      <c r="B8" s="40"/>
      <c r="C8" s="35"/>
      <c r="D8" s="43"/>
      <c r="E8" s="44"/>
      <c r="F8" s="32"/>
      <c r="G8" s="32"/>
    </row>
    <row r="9" spans="1:9" x14ac:dyDescent="0.3">
      <c r="B9" s="38"/>
      <c r="C9" s="42"/>
      <c r="D9" s="32"/>
      <c r="E9" s="32"/>
      <c r="F9" s="32"/>
      <c r="G9" s="32"/>
    </row>
    <row r="10" spans="1:9" x14ac:dyDescent="0.3">
      <c r="B10" s="40"/>
      <c r="C10" s="35"/>
      <c r="D10" s="32"/>
      <c r="E10" s="32"/>
      <c r="F10" s="32"/>
      <c r="G10" s="32"/>
    </row>
    <row r="11" spans="1:9" x14ac:dyDescent="0.3">
      <c r="B11" s="40"/>
      <c r="C11" s="35"/>
      <c r="D11" s="32"/>
      <c r="E11" s="32"/>
      <c r="F11" s="32"/>
      <c r="G11" s="32"/>
    </row>
    <row r="12" spans="1:9" x14ac:dyDescent="0.3">
      <c r="B12" s="40"/>
      <c r="C12" s="35"/>
      <c r="D12" s="32"/>
      <c r="E12" s="32"/>
      <c r="F12" s="32"/>
      <c r="G12" s="32"/>
    </row>
    <row r="13" spans="1:9" x14ac:dyDescent="0.3">
      <c r="B13" s="40"/>
      <c r="C13" s="35"/>
      <c r="D13" s="32"/>
      <c r="E13" s="32"/>
      <c r="F13" s="32"/>
      <c r="G13" s="32"/>
    </row>
    <row r="14" spans="1:9" x14ac:dyDescent="0.3">
      <c r="B14" s="40"/>
      <c r="C14" s="35"/>
      <c r="D14" s="32"/>
      <c r="E14" s="32"/>
      <c r="F14" s="32"/>
      <c r="G14" s="32"/>
    </row>
    <row r="15" spans="1:9" x14ac:dyDescent="0.3">
      <c r="B15" s="40"/>
      <c r="C15" s="35"/>
      <c r="D15" s="32"/>
      <c r="E15" s="32"/>
      <c r="F15" s="32"/>
      <c r="G15" s="32"/>
    </row>
    <row r="16" spans="1:9" x14ac:dyDescent="0.3">
      <c r="B16" s="40"/>
      <c r="C16" s="35"/>
      <c r="D16" s="32"/>
      <c r="E16" s="32"/>
      <c r="F16" s="32"/>
      <c r="G16" s="32"/>
    </row>
    <row r="17" spans="2:7" ht="15" thickBot="1" x14ac:dyDescent="0.35">
      <c r="B17" s="43"/>
      <c r="C17" s="44"/>
      <c r="D17" s="32"/>
      <c r="E17" s="32"/>
      <c r="F17" s="32"/>
      <c r="G17" s="32"/>
    </row>
  </sheetData>
  <sheetProtection password="CFF0" sheet="1" objects="1" scenarios="1"/>
  <mergeCells count="3">
    <mergeCell ref="B1:C1"/>
    <mergeCell ref="D1:E1"/>
    <mergeCell ref="F1:G1"/>
  </mergeCells>
  <pageMargins left="0.7" right="0.7" top="0.78740157499999996" bottom="0.78740157499999996" header="0.3" footer="0.3"/>
  <pageSetup paperSize="271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9093-E6C0-45BB-BE9E-DBD0E52F02FB}">
  <sheetPr codeName="Tabelle7"/>
  <dimension ref="A1:AI126"/>
  <sheetViews>
    <sheetView topLeftCell="S1" workbookViewId="0">
      <selection activeCell="W26" sqref="W26"/>
    </sheetView>
  </sheetViews>
  <sheetFormatPr baseColWidth="10" defaultRowHeight="14.4" x14ac:dyDescent="0.3"/>
  <cols>
    <col min="1" max="1" width="11.5546875" customWidth="1"/>
  </cols>
  <sheetData>
    <row r="1" spans="1:35" x14ac:dyDescent="0.3">
      <c r="A1" t="s">
        <v>4</v>
      </c>
      <c r="B1" t="str">
        <f>Person4!B1</f>
        <v>Urlaub</v>
      </c>
      <c r="V1" t="s">
        <v>7</v>
      </c>
      <c r="AE1" t="s">
        <v>8</v>
      </c>
    </row>
    <row r="2" spans="1:35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V2">
        <v>1</v>
      </c>
      <c r="W2">
        <v>2</v>
      </c>
      <c r="X2">
        <v>3</v>
      </c>
      <c r="Y2">
        <v>4</v>
      </c>
      <c r="Z2">
        <v>5</v>
      </c>
      <c r="AA2">
        <v>6</v>
      </c>
      <c r="AE2">
        <v>1</v>
      </c>
      <c r="AF2">
        <v>2</v>
      </c>
      <c r="AG2">
        <v>3</v>
      </c>
      <c r="AH2">
        <v>4</v>
      </c>
      <c r="AI2">
        <v>5</v>
      </c>
    </row>
    <row r="3" spans="1:35" x14ac:dyDescent="0.3">
      <c r="A3" s="1">
        <f>IF(Person4!$B$3+ROW(A1)-1&lt;=Person4!$C$3, Person4!$B$3+ROW(A1)-1, "")</f>
        <v>0</v>
      </c>
      <c r="B3" s="1">
        <f>IF(Person4!$B$4+ROW(B1)-1&lt;=Person4!$C$4, Person4!$B$4+ROW(B1)-1, "")</f>
        <v>0</v>
      </c>
      <c r="C3" s="1">
        <f>IF(Person4!$B$5+ROW(B1)-1&lt;=Person4!$C$5, Person4!$B$5+ROW(B1)-1, "")</f>
        <v>0</v>
      </c>
      <c r="D3" s="1">
        <f>IF(Person4!$B$6+ROW(B1)-1&lt;=Person4!$C$6, Person4!$B$6+ROW(B1)-1, "")</f>
        <v>0</v>
      </c>
      <c r="E3" s="1">
        <f>IF(Person4!$B$7+ROW(B1)-1&lt;=Person4!$C$7, Person4!$B$7+ROW(B1)-1, "")</f>
        <v>0</v>
      </c>
      <c r="F3" s="1">
        <f>IF(Person4!$B$8+ROW(B1)-1&lt;=Person4!$C$8, Person4!$B$8+ROW(B1)-1, "")</f>
        <v>0</v>
      </c>
      <c r="G3" s="1">
        <f>IF(Person4!$B$9+ROW(B1)-1&lt;=Person4!$C$9, Person4!$B$9+ROW(B1)-1, "")</f>
        <v>0</v>
      </c>
      <c r="H3" s="1">
        <f>IF(Person4!$B$10+ROW(B1)-1&lt;=Person4!$C$10, Person4!$B$10+ROW(B1)-1, "")</f>
        <v>0</v>
      </c>
      <c r="I3" s="1">
        <f>IF(Person4!$B$11+ROW(B1)-1&lt;=Person4!$C$11, Person4!$B$11+ROW(B1)-1, "")</f>
        <v>0</v>
      </c>
      <c r="J3" s="1">
        <f>IF(Person4!$B$12+ROW(B1)-1&lt;=Person4!$C$12, Person4!$B$12+ROW(B1)-1, "")</f>
        <v>0</v>
      </c>
      <c r="K3" s="1">
        <f>IF(Person4!$B$13+ROW(B1)-1&lt;=Person4!$C$13, Person4!$B$13+ROW(B1)-1, "")</f>
        <v>0</v>
      </c>
      <c r="L3" s="1">
        <f>IF(Person4!$B$14+ROW(B1)-1&lt;=Person4!$C$14, Person4!$B$14+ROW(B1)-1, "")</f>
        <v>0</v>
      </c>
      <c r="M3" s="1">
        <f>IF(Person4!$B$15+ROW(B1)-1&lt;=Person4!$C$15, Person4!$B$15+ROW(B1)-1, "")</f>
        <v>0</v>
      </c>
      <c r="N3" s="1">
        <f>IF(Person4!$B$16+ROW(B1)-1&lt;=Person4!$C$16, Person4!$B$16+ROW(B1)-1, "")</f>
        <v>0</v>
      </c>
      <c r="O3" s="1">
        <f>IF(Person4!$B$17+ROW(B1)-1&lt;=Person4!$C$17, Person4!$B$17+ROW(B1)-1, "")</f>
        <v>0</v>
      </c>
      <c r="V3" s="1">
        <f>IF(Person4!$D$3+ROW(A1)-1&lt;=Person4!$E$3, Person4!$D$3+ROW(A1)-1, "")</f>
        <v>0</v>
      </c>
      <c r="W3" s="1">
        <f>IF(Person4!$D$4+ROW(A1)-1&lt;=Person4!$E$4, Person4!$D$4+ROW(A1)-1, "")</f>
        <v>0</v>
      </c>
      <c r="X3" s="1">
        <f>IF(Person4!$D$5+ROW(A1)-1&lt;=Person4!$E$5, Person4!$D$5+ROW(A1)-1, "")</f>
        <v>0</v>
      </c>
      <c r="Y3" s="1">
        <f>IF(Person4!$D$6+ROW(A1)-1&lt;=Person4!$E$6, Person4!$D$6+ROW(A1)-1, "")</f>
        <v>0</v>
      </c>
      <c r="Z3" s="1">
        <f>IF(Person4!$D$7+ROW(A1)-1&lt;=Person4!$E$7, Person4!$D$7+ROW(A1)-1, "")</f>
        <v>0</v>
      </c>
      <c r="AA3" s="1">
        <f>IF(Person4!$D$8+ROW(A1)-1&lt;=Person4!$E$8, Person4!$D$8+ROW(A1)-1, "")</f>
        <v>0</v>
      </c>
      <c r="AE3" s="1">
        <f>IF(Person4!$F$3+ROW(A1)-1&lt;=Person4!$G$3, Person4!$F$3+ROW(A1)-1, "")</f>
        <v>0</v>
      </c>
      <c r="AF3" s="1">
        <f>IF(Person4!$F$4+ROW(A1)-1&lt;=Person4!$G$4, Person4!$F$4+ROW(A1)-1, "")</f>
        <v>0</v>
      </c>
      <c r="AG3" s="1">
        <f>IF(Person4!$F$5+ROW(A1)-1&lt;=Person4!$G$5, Person4!$F$5+ROW(A1)-1, "")</f>
        <v>0</v>
      </c>
      <c r="AH3" s="1">
        <f>IF(Person4!$F$6+ROW(A1)-1&lt;=Person4!$G$6, Person4!$F$6+ROW(A1)-1, "")</f>
        <v>0</v>
      </c>
      <c r="AI3" s="1">
        <f>IF(Person4!$F$7+ROW(A1)-1&lt;=Person4!$G$7, Person4!$F$7+ROW(A1)-1, "")</f>
        <v>0</v>
      </c>
    </row>
    <row r="4" spans="1:35" x14ac:dyDescent="0.3">
      <c r="A4" s="1" t="str">
        <f>IF(Person4!$B$3+ROW(A2)-1&lt;=Person4!$C$3, Person4!$B$3+ROW(A2)-1, "")</f>
        <v/>
      </c>
      <c r="B4" s="1" t="str">
        <f>IF(Person4!$B$4+ROW(B2)-1&lt;=Person4!$C$4, Person4!$B$4+ROW(B2)-1, "")</f>
        <v/>
      </c>
      <c r="C4" s="1" t="str">
        <f>IF(Person4!$B$5+ROW(B2)-1&lt;=Person4!$C$5, Person4!$B$5+ROW(B2)-1, "")</f>
        <v/>
      </c>
      <c r="D4" s="1" t="str">
        <f>IF(Person4!$B$6+ROW(B2)-1&lt;=Person4!$C$6, Person4!$B$6+ROW(B2)-1, "")</f>
        <v/>
      </c>
      <c r="E4" s="1" t="str">
        <f>IF(Person4!$B$7+ROW(B2)-1&lt;=Person4!$C$7, Person4!$B$7+ROW(B2)-1, "")</f>
        <v/>
      </c>
      <c r="F4" s="1" t="str">
        <f>IF(Person4!$B$8+ROW(B2)-1&lt;=Person4!$C$8, Person4!$B$8+ROW(B2)-1, "")</f>
        <v/>
      </c>
      <c r="G4" s="1" t="str">
        <f>IF(Person4!$B$9+ROW(B2)-1&lt;=Person4!$C$9, Person4!$B$9+ROW(B2)-1, "")</f>
        <v/>
      </c>
      <c r="H4" s="1" t="str">
        <f>IF(Person4!$B$10+ROW(B2)-1&lt;=Person4!$C$10, Person4!$B$10+ROW(B2)-1, "")</f>
        <v/>
      </c>
      <c r="I4" s="1" t="str">
        <f>IF(Person4!$B$11+ROW(B2)-1&lt;=Person4!$C$11, Person4!$B$11+ROW(B2)-1, "")</f>
        <v/>
      </c>
      <c r="J4" s="1" t="str">
        <f>IF(Person4!$B$12+ROW(B2)-1&lt;=Person4!$C$12, Person4!$B$12+ROW(B2)-1, "")</f>
        <v/>
      </c>
      <c r="K4" s="1" t="str">
        <f>IF(Person4!$B$13+ROW(B2)-1&lt;=Person4!$C$13, Person4!$B$13+ROW(B2)-1, "")</f>
        <v/>
      </c>
      <c r="L4" s="1" t="str">
        <f>IF(Person4!$B$14+ROW(B2)-1&lt;=Person4!$C$14, Person4!$B$14+ROW(B2)-1, "")</f>
        <v/>
      </c>
      <c r="M4" s="1" t="str">
        <f>IF(Person4!$B$15+ROW(B2)-1&lt;=Person4!$C$15, Person4!$B$15+ROW(B2)-1, "")</f>
        <v/>
      </c>
      <c r="N4" s="1" t="str">
        <f>IF(Person4!$B$16+ROW(B2)-1&lt;=Person4!$C$16, Person4!$B$16+ROW(B2)-1, "")</f>
        <v/>
      </c>
      <c r="O4" s="1" t="str">
        <f>IF(Person4!$B$17+ROW(B2)-1&lt;=Person4!$C$17, Person4!$B$17+ROW(B2)-1, "")</f>
        <v/>
      </c>
      <c r="V4" s="1" t="str">
        <f>IF(Person4!$D$3+ROW(A2)-1&lt;=Person4!$E$3, Person4!$D$3+ROW(A2)-1, "")</f>
        <v/>
      </c>
      <c r="W4" s="1" t="str">
        <f>IF(Person4!$D$4+ROW(A2)-1&lt;=Person4!$E$4, Person4!$D$4+ROW(A2)-1, "")</f>
        <v/>
      </c>
      <c r="X4" s="1" t="str">
        <f>IF(Person4!$D$5+ROW(A2)-1&lt;=Person4!$E$5, Person4!$D$5+ROW(A2)-1, "")</f>
        <v/>
      </c>
      <c r="Y4" s="1" t="str">
        <f>IF(Person4!$D$6+ROW(A2)-1&lt;=Person4!$E$6, Person4!$D$6+ROW(A2)-1, "")</f>
        <v/>
      </c>
      <c r="Z4" s="1" t="str">
        <f>IF(Person4!$D$7+ROW(A2)-1&lt;=Person4!$E$7, Person4!$D$7+ROW(A2)-1, "")</f>
        <v/>
      </c>
      <c r="AA4" s="1" t="str">
        <f>IF(Person4!$D$8+ROW(A2)-1&lt;=Person4!$E$8, Person4!$D$8+ROW(A2)-1, "")</f>
        <v/>
      </c>
      <c r="AE4" s="1" t="str">
        <f>IF(Person4!$F$3+ROW(A2)-1&lt;=Person4!$G$3, Person4!$F$3+ROW(A2)-1, "")</f>
        <v/>
      </c>
      <c r="AF4" s="1" t="str">
        <f>IF(Person4!$F$4+ROW(A2)-1&lt;=Person4!$G$4, Person4!$F$4+ROW(A2)-1, "")</f>
        <v/>
      </c>
      <c r="AG4" s="1" t="str">
        <f>IF(Person4!$F$5+ROW(A2)-1&lt;=Person4!$G$5, Person4!$F$5+ROW(A2)-1, "")</f>
        <v/>
      </c>
      <c r="AH4" s="1" t="str">
        <f>IF(Person4!$F$6+ROW(A2)-1&lt;=Person4!$G$6, Person4!$F$6+ROW(A2)-1, "")</f>
        <v/>
      </c>
      <c r="AI4" s="1" t="str">
        <f>IF(Person4!$F$7+ROW(A2)-1&lt;=Person4!$G$7, Person4!$F$7+ROW(A2)-1, "")</f>
        <v/>
      </c>
    </row>
    <row r="5" spans="1:35" x14ac:dyDescent="0.3">
      <c r="A5" s="1" t="str">
        <f>IF(Person4!$B$3+ROW(A3)-1&lt;=Person4!$C$3, Person4!$B$3+ROW(A3)-1, "")</f>
        <v/>
      </c>
      <c r="B5" s="1" t="str">
        <f>IF(Person4!$B$4+ROW(B3)-1&lt;=Person4!$C$4, Person4!$B$4+ROW(B3)-1, "")</f>
        <v/>
      </c>
      <c r="C5" s="1" t="str">
        <f>IF(Person4!$B$5+ROW(B3)-1&lt;=Person4!$C$5, Person4!$B$5+ROW(B3)-1, "")</f>
        <v/>
      </c>
      <c r="D5" s="1" t="str">
        <f>IF(Person4!$B$6+ROW(B3)-1&lt;=Person4!$C$6, Person4!$B$6+ROW(B3)-1, "")</f>
        <v/>
      </c>
      <c r="E5" s="1" t="str">
        <f>IF(Person4!$B$7+ROW(B3)-1&lt;=Person4!$C$7, Person4!$B$7+ROW(B3)-1, "")</f>
        <v/>
      </c>
      <c r="F5" s="1" t="str">
        <f>IF(Person4!$B$8+ROW(B3)-1&lt;=Person4!$C$8, Person4!$B$8+ROW(B3)-1, "")</f>
        <v/>
      </c>
      <c r="G5" s="1" t="str">
        <f>IF(Person4!$B$9+ROW(B3)-1&lt;=Person4!$C$9, Person4!$B$9+ROW(B3)-1, "")</f>
        <v/>
      </c>
      <c r="H5" s="1" t="str">
        <f>IF(Person4!$B$10+ROW(B3)-1&lt;=Person4!$C$10, Person4!$B$10+ROW(B3)-1, "")</f>
        <v/>
      </c>
      <c r="I5" s="1" t="str">
        <f>IF(Person4!$B$11+ROW(B3)-1&lt;=Person4!$C$11, Person4!$B$11+ROW(B3)-1, "")</f>
        <v/>
      </c>
      <c r="J5" s="1" t="str">
        <f>IF(Person4!$B$12+ROW(B3)-1&lt;=Person4!$C$12, Person4!$B$12+ROW(B3)-1, "")</f>
        <v/>
      </c>
      <c r="K5" s="1" t="str">
        <f>IF(Person4!$B$13+ROW(B3)-1&lt;=Person4!$C$13, Person4!$B$13+ROW(B3)-1, "")</f>
        <v/>
      </c>
      <c r="L5" s="1" t="str">
        <f>IF(Person4!$B$14+ROW(B3)-1&lt;=Person4!$C$14, Person4!$B$14+ROW(B3)-1, "")</f>
        <v/>
      </c>
      <c r="M5" s="1" t="str">
        <f>IF(Person4!$B$15+ROW(B3)-1&lt;=Person4!$C$15, Person4!$B$15+ROW(B3)-1, "")</f>
        <v/>
      </c>
      <c r="N5" s="1" t="str">
        <f>IF(Person4!$B$16+ROW(B3)-1&lt;=Person4!$C$16, Person4!$B$16+ROW(B3)-1, "")</f>
        <v/>
      </c>
      <c r="O5" s="1" t="str">
        <f>IF(Person4!$B$17+ROW(B3)-1&lt;=Person4!$C$17, Person4!$B$17+ROW(B3)-1, "")</f>
        <v/>
      </c>
      <c r="V5" s="1" t="str">
        <f>IF(Person4!$D$3+ROW(A3)-1&lt;=Person4!$E$3, Person4!$D$3+ROW(A3)-1, "")</f>
        <v/>
      </c>
      <c r="W5" s="1" t="str">
        <f>IF(Person4!$D$4+ROW(A3)-1&lt;=Person4!$E$4, Person4!$D$4+ROW(A3)-1, "")</f>
        <v/>
      </c>
      <c r="X5" s="1" t="str">
        <f>IF(Person4!$D$5+ROW(A3)-1&lt;=Person4!$E$5, Person4!$D$5+ROW(A3)-1, "")</f>
        <v/>
      </c>
      <c r="Y5" s="1" t="str">
        <f>IF(Person4!$D$6+ROW(A3)-1&lt;=Person4!$E$6, Person4!$D$6+ROW(A3)-1, "")</f>
        <v/>
      </c>
      <c r="Z5" s="1" t="str">
        <f>IF(Person4!$D$7+ROW(A3)-1&lt;=Person4!$E$7, Person4!$D$7+ROW(A3)-1, "")</f>
        <v/>
      </c>
      <c r="AA5" s="1" t="str">
        <f>IF(Person4!$D$8+ROW(A3)-1&lt;=Person4!$E$8, Person4!$D$8+ROW(A3)-1, "")</f>
        <v/>
      </c>
      <c r="AE5" s="1" t="str">
        <f>IF(Person4!$F$3+ROW(A3)-1&lt;=Person4!$G$3, Person4!$F$3+ROW(A3)-1, "")</f>
        <v/>
      </c>
      <c r="AF5" s="1" t="str">
        <f>IF(Person4!$F$4+ROW(A3)-1&lt;=Person4!$G$4, Person4!$F$4+ROW(A3)-1, "")</f>
        <v/>
      </c>
      <c r="AG5" s="1" t="str">
        <f>IF(Person4!$F$5+ROW(A3)-1&lt;=Person4!$G$5, Person4!$F$5+ROW(A3)-1, "")</f>
        <v/>
      </c>
      <c r="AH5" s="1" t="str">
        <f>IF(Person4!$F$6+ROW(A3)-1&lt;=Person4!$G$6, Person4!$F$6+ROW(A3)-1, "")</f>
        <v/>
      </c>
      <c r="AI5" s="1" t="str">
        <f>IF(Person4!$F$7+ROW(A3)-1&lt;=Person4!$G$7, Person4!$F$7+ROW(A3)-1, "")</f>
        <v/>
      </c>
    </row>
    <row r="6" spans="1:35" x14ac:dyDescent="0.3">
      <c r="A6" s="1" t="str">
        <f>IF(Person4!$B$3+ROW(A4)-1&lt;=Person4!$C$3, Person4!$B$3+ROW(A4)-1, "")</f>
        <v/>
      </c>
      <c r="B6" s="1" t="str">
        <f>IF(Person4!$B$4+ROW(B4)-1&lt;=Person4!$C$4, Person4!$B$4+ROW(B4)-1, "")</f>
        <v/>
      </c>
      <c r="C6" s="1" t="str">
        <f>IF(Person4!$B$5+ROW(B4)-1&lt;=Person4!$C$5, Person4!$B$5+ROW(B4)-1, "")</f>
        <v/>
      </c>
      <c r="D6" s="1" t="str">
        <f>IF(Person4!$B$6+ROW(B4)-1&lt;=Person4!$C$6, Person4!$B$6+ROW(B4)-1, "")</f>
        <v/>
      </c>
      <c r="E6" s="1" t="str">
        <f>IF(Person4!$B$7+ROW(B4)-1&lt;=Person4!$C$7, Person4!$B$7+ROW(B4)-1, "")</f>
        <v/>
      </c>
      <c r="F6" s="1" t="str">
        <f>IF(Person4!$B$8+ROW(B4)-1&lt;=Person4!$C$8, Person4!$B$8+ROW(B4)-1, "")</f>
        <v/>
      </c>
      <c r="G6" s="1" t="str">
        <f>IF(Person4!$B$9+ROW(B4)-1&lt;=Person4!$C$9, Person4!$B$9+ROW(B4)-1, "")</f>
        <v/>
      </c>
      <c r="H6" s="1" t="str">
        <f>IF(Person4!$B$10+ROW(B4)-1&lt;=Person4!$C$10, Person4!$B$10+ROW(B4)-1, "")</f>
        <v/>
      </c>
      <c r="I6" s="1" t="str">
        <f>IF(Person4!$B$11+ROW(B4)-1&lt;=Person4!$C$11, Person4!$B$11+ROW(B4)-1, "")</f>
        <v/>
      </c>
      <c r="J6" s="1" t="str">
        <f>IF(Person4!$B$12+ROW(B4)-1&lt;=Person4!$C$12, Person4!$B$12+ROW(B4)-1, "")</f>
        <v/>
      </c>
      <c r="K6" s="1" t="str">
        <f>IF(Person4!$B$13+ROW(B4)-1&lt;=Person4!$C$13, Person4!$B$13+ROW(B4)-1, "")</f>
        <v/>
      </c>
      <c r="L6" s="1" t="str">
        <f>IF(Person4!$B$14+ROW(B4)-1&lt;=Person4!$C$14, Person4!$B$14+ROW(B4)-1, "")</f>
        <v/>
      </c>
      <c r="M6" s="1" t="str">
        <f>IF(Person4!$B$15+ROW(B4)-1&lt;=Person4!$C$15, Person4!$B$15+ROW(B4)-1, "")</f>
        <v/>
      </c>
      <c r="N6" s="1" t="str">
        <f>IF(Person4!$B$16+ROW(B4)-1&lt;=Person4!$C$16, Person4!$B$16+ROW(B4)-1, "")</f>
        <v/>
      </c>
      <c r="O6" s="1" t="str">
        <f>IF(Person4!$B$17+ROW(B4)-1&lt;=Person4!$C$17, Person4!$B$17+ROW(B4)-1, "")</f>
        <v/>
      </c>
      <c r="V6" s="1" t="str">
        <f>IF(Person4!$D$3+ROW(A4)-1&lt;=Person4!$E$3, Person4!$D$3+ROW(A4)-1, "")</f>
        <v/>
      </c>
      <c r="W6" s="1" t="str">
        <f>IF(Person4!$D$4+ROW(A4)-1&lt;=Person4!$E$4, Person4!$D$4+ROW(A4)-1, "")</f>
        <v/>
      </c>
      <c r="X6" s="1" t="str">
        <f>IF(Person4!$D$5+ROW(A4)-1&lt;=Person4!$E$5, Person4!$D$5+ROW(A4)-1, "")</f>
        <v/>
      </c>
      <c r="Y6" s="1" t="str">
        <f>IF(Person4!$D$6+ROW(A4)-1&lt;=Person4!$E$6, Person4!$D$6+ROW(A4)-1, "")</f>
        <v/>
      </c>
      <c r="Z6" s="1" t="str">
        <f>IF(Person4!$D$7+ROW(A4)-1&lt;=Person4!$E$7, Person4!$D$7+ROW(A4)-1, "")</f>
        <v/>
      </c>
      <c r="AA6" s="1" t="str">
        <f>IF(Person4!$D$8+ROW(A4)-1&lt;=Person4!$E$8, Person4!$D$8+ROW(A4)-1, "")</f>
        <v/>
      </c>
      <c r="AE6" s="1" t="str">
        <f>IF(Person4!$F$3+ROW(A4)-1&lt;=Person4!$G$3, Person4!$F$3+ROW(A4)-1, "")</f>
        <v/>
      </c>
      <c r="AF6" s="1" t="str">
        <f>IF(Person4!$F$4+ROW(A4)-1&lt;=Person4!$G$4, Person4!$F$4+ROW(A4)-1, "")</f>
        <v/>
      </c>
      <c r="AG6" s="1" t="str">
        <f>IF(Person4!$F$5+ROW(A4)-1&lt;=Person4!$G$5, Person4!$F$5+ROW(A4)-1, "")</f>
        <v/>
      </c>
      <c r="AH6" s="1" t="str">
        <f>IF(Person4!$F$6+ROW(A4)-1&lt;=Person4!$G$6, Person4!$F$6+ROW(A4)-1, "")</f>
        <v/>
      </c>
      <c r="AI6" s="1" t="str">
        <f>IF(Person4!$F$7+ROW(A4)-1&lt;=Person4!$G$7, Person4!$F$7+ROW(A4)-1, "")</f>
        <v/>
      </c>
    </row>
    <row r="7" spans="1:35" x14ac:dyDescent="0.3">
      <c r="A7" s="1" t="str">
        <f>IF(Person4!$B$3+ROW(A5)-1&lt;=Person4!$C$3, Person4!$B$3+ROW(A5)-1, "")</f>
        <v/>
      </c>
      <c r="B7" s="1" t="str">
        <f>IF(Person4!$B$4+ROW(B5)-1&lt;=Person4!$C$4, Person4!$B$4+ROW(B5)-1, "")</f>
        <v/>
      </c>
      <c r="C7" s="1" t="str">
        <f>IF(Person4!$B$5+ROW(B5)-1&lt;=Person4!$C$5, Person4!$B$5+ROW(B5)-1, "")</f>
        <v/>
      </c>
      <c r="D7" s="1" t="str">
        <f>IF(Person4!$B$6+ROW(B5)-1&lt;=Person4!$C$6, Person4!$B$6+ROW(B5)-1, "")</f>
        <v/>
      </c>
      <c r="E7" s="1" t="str">
        <f>IF(Person4!$B$7+ROW(B5)-1&lt;=Person4!$C$7, Person4!$B$7+ROW(B5)-1, "")</f>
        <v/>
      </c>
      <c r="F7" s="1" t="str">
        <f>IF(Person4!$B$8+ROW(B5)-1&lt;=Person4!$C$8, Person4!$B$8+ROW(B5)-1, "")</f>
        <v/>
      </c>
      <c r="G7" s="1" t="str">
        <f>IF(Person4!$B$9+ROW(B5)-1&lt;=Person4!$C$9, Person4!$B$9+ROW(B5)-1, "")</f>
        <v/>
      </c>
      <c r="H7" s="1" t="str">
        <f>IF(Person4!$B$10+ROW(B5)-1&lt;=Person4!$C$10, Person4!$B$10+ROW(B5)-1, "")</f>
        <v/>
      </c>
      <c r="I7" s="1" t="str">
        <f>IF(Person4!$B$11+ROW(B5)-1&lt;=Person4!$C$11, Person4!$B$11+ROW(B5)-1, "")</f>
        <v/>
      </c>
      <c r="J7" s="1" t="str">
        <f>IF(Person4!$B$12+ROW(B5)-1&lt;=Person4!$C$12, Person4!$B$12+ROW(B5)-1, "")</f>
        <v/>
      </c>
      <c r="K7" s="1" t="str">
        <f>IF(Person4!$B$13+ROW(B5)-1&lt;=Person4!$C$13, Person4!$B$13+ROW(B5)-1, "")</f>
        <v/>
      </c>
      <c r="L7" s="1" t="str">
        <f>IF(Person4!$B$14+ROW(B5)-1&lt;=Person4!$C$14, Person4!$B$14+ROW(B5)-1, "")</f>
        <v/>
      </c>
      <c r="M7" s="1" t="str">
        <f>IF(Person4!$B$15+ROW(B5)-1&lt;=Person4!$C$15, Person4!$B$15+ROW(B5)-1, "")</f>
        <v/>
      </c>
      <c r="N7" s="1" t="str">
        <f>IF(Person4!$B$16+ROW(B5)-1&lt;=Person4!$C$16, Person4!$B$16+ROW(B5)-1, "")</f>
        <v/>
      </c>
      <c r="O7" s="1" t="str">
        <f>IF(Person4!$B$17+ROW(B5)-1&lt;=Person4!$C$17, Person4!$B$17+ROW(B5)-1, "")</f>
        <v/>
      </c>
      <c r="V7" s="1" t="str">
        <f>IF(Person4!$D$3+ROW(A5)-1&lt;=Person4!$E$3, Person4!$D$3+ROW(A5)-1, "")</f>
        <v/>
      </c>
      <c r="W7" s="1" t="str">
        <f>IF(Person4!$D$4+ROW(A5)-1&lt;=Person4!$E$4, Person4!$D$4+ROW(A5)-1, "")</f>
        <v/>
      </c>
      <c r="X7" s="1" t="str">
        <f>IF(Person4!$D$5+ROW(A5)-1&lt;=Person4!$E$5, Person4!$D$5+ROW(A5)-1, "")</f>
        <v/>
      </c>
      <c r="Y7" s="1" t="str">
        <f>IF(Person4!$D$6+ROW(A5)-1&lt;=Person4!$E$6, Person4!$D$6+ROW(A5)-1, "")</f>
        <v/>
      </c>
      <c r="Z7" s="1" t="str">
        <f>IF(Person4!$D$7+ROW(A5)-1&lt;=Person4!$E$7, Person4!$D$7+ROW(A5)-1, "")</f>
        <v/>
      </c>
      <c r="AA7" s="1" t="str">
        <f>IF(Person4!$D$8+ROW(A5)-1&lt;=Person4!$E$8, Person4!$D$8+ROW(A5)-1, "")</f>
        <v/>
      </c>
      <c r="AE7" s="1" t="str">
        <f>IF(Person4!$F$3+ROW(A5)-1&lt;=Person4!$G$3, Person4!$F$3+ROW(A5)-1, "")</f>
        <v/>
      </c>
      <c r="AF7" s="1" t="str">
        <f>IF(Person4!$F$4+ROW(A5)-1&lt;=Person4!$G$4, Person4!$F$4+ROW(A5)-1, "")</f>
        <v/>
      </c>
      <c r="AG7" s="1" t="str">
        <f>IF(Person4!$F$5+ROW(A5)-1&lt;=Person4!$G$5, Person4!$F$5+ROW(A5)-1, "")</f>
        <v/>
      </c>
      <c r="AH7" s="1" t="str">
        <f>IF(Person4!$F$6+ROW(A5)-1&lt;=Person4!$G$6, Person4!$F$6+ROW(A5)-1, "")</f>
        <v/>
      </c>
      <c r="AI7" s="1" t="str">
        <f>IF(Person4!$F$7+ROW(A5)-1&lt;=Person4!$G$7, Person4!$F$7+ROW(A5)-1, "")</f>
        <v/>
      </c>
    </row>
    <row r="8" spans="1:35" x14ac:dyDescent="0.3">
      <c r="A8" s="1" t="str">
        <f>IF(Person4!$B$3+ROW(A6)-1&lt;=Person4!$C$3, Person4!$B$3+ROW(A6)-1, "")</f>
        <v/>
      </c>
      <c r="B8" s="1" t="str">
        <f>IF(Person4!$B$4+ROW(B6)-1&lt;=Person4!$C$4, Person4!$B$4+ROW(B6)-1, "")</f>
        <v/>
      </c>
      <c r="C8" s="1" t="str">
        <f>IF(Person4!$B$5+ROW(B6)-1&lt;=Person4!$C$5, Person4!$B$5+ROW(B6)-1, "")</f>
        <v/>
      </c>
      <c r="D8" s="1" t="str">
        <f>IF(Person4!$B$6+ROW(B6)-1&lt;=Person4!$C$6, Person4!$B$6+ROW(B6)-1, "")</f>
        <v/>
      </c>
      <c r="E8" s="1" t="str">
        <f>IF(Person4!$B$7+ROW(B6)-1&lt;=Person4!$C$7, Person4!$B$7+ROW(B6)-1, "")</f>
        <v/>
      </c>
      <c r="F8" s="1" t="str">
        <f>IF(Person4!$B$8+ROW(B6)-1&lt;=Person4!$C$8, Person4!$B$8+ROW(B6)-1, "")</f>
        <v/>
      </c>
      <c r="G8" s="1" t="str">
        <f>IF(Person4!$B$9+ROW(B6)-1&lt;=Person4!$C$9, Person4!$B$9+ROW(B6)-1, "")</f>
        <v/>
      </c>
      <c r="H8" s="1" t="str">
        <f>IF(Person4!$B$10+ROW(B6)-1&lt;=Person4!$C$10, Person4!$B$10+ROW(B6)-1, "")</f>
        <v/>
      </c>
      <c r="I8" s="1" t="str">
        <f>IF(Person4!$B$11+ROW(B6)-1&lt;=Person4!$C$11, Person4!$B$11+ROW(B6)-1, "")</f>
        <v/>
      </c>
      <c r="J8" s="1" t="str">
        <f>IF(Person4!$B$12+ROW(B6)-1&lt;=Person4!$C$12, Person4!$B$12+ROW(B6)-1, "")</f>
        <v/>
      </c>
      <c r="K8" s="1" t="str">
        <f>IF(Person4!$B$13+ROW(B6)-1&lt;=Person4!$C$13, Person4!$B$13+ROW(B6)-1, "")</f>
        <v/>
      </c>
      <c r="L8" s="1" t="str">
        <f>IF(Person4!$B$14+ROW(B6)-1&lt;=Person4!$C$14, Person4!$B$14+ROW(B6)-1, "")</f>
        <v/>
      </c>
      <c r="M8" s="1" t="str">
        <f>IF(Person4!$B$15+ROW(B6)-1&lt;=Person4!$C$15, Person4!$B$15+ROW(B6)-1, "")</f>
        <v/>
      </c>
      <c r="N8" s="1" t="str">
        <f>IF(Person4!$B$16+ROW(B6)-1&lt;=Person4!$C$16, Person4!$B$16+ROW(B6)-1, "")</f>
        <v/>
      </c>
      <c r="O8" s="1" t="str">
        <f>IF(Person4!$B$17+ROW(B6)-1&lt;=Person4!$C$17, Person4!$B$17+ROW(B6)-1, "")</f>
        <v/>
      </c>
      <c r="V8" s="1" t="str">
        <f>IF(Person4!$D$3+ROW(A6)-1&lt;=Person4!$E$3, Person4!$D$3+ROW(A6)-1, "")</f>
        <v/>
      </c>
      <c r="W8" s="1" t="str">
        <f>IF(Person4!$D$4+ROW(A6)-1&lt;=Person4!$E$4, Person4!$D$4+ROW(A6)-1, "")</f>
        <v/>
      </c>
      <c r="X8" s="1" t="str">
        <f>IF(Person4!$D$5+ROW(A6)-1&lt;=Person4!$E$5, Person4!$D$5+ROW(A6)-1, "")</f>
        <v/>
      </c>
      <c r="Y8" s="1" t="str">
        <f>IF(Person4!$D$6+ROW(A6)-1&lt;=Person4!$E$6, Person4!$D$6+ROW(A6)-1, "")</f>
        <v/>
      </c>
      <c r="Z8" s="1" t="str">
        <f>IF(Person4!$D$7+ROW(A6)-1&lt;=Person4!$E$7, Person4!$D$7+ROW(A6)-1, "")</f>
        <v/>
      </c>
      <c r="AA8" s="1" t="str">
        <f>IF(Person4!$D$8+ROW(A6)-1&lt;=Person4!$E$8, Person4!$D$8+ROW(A6)-1, "")</f>
        <v/>
      </c>
      <c r="AE8" s="1" t="str">
        <f>IF(Person4!$F$3+ROW(A6)-1&lt;=Person4!$G$3, Person4!$F$3+ROW(A6)-1, "")</f>
        <v/>
      </c>
      <c r="AF8" s="1" t="str">
        <f>IF(Person4!$F$4+ROW(A6)-1&lt;=Person4!$G$4, Person4!$F$4+ROW(A6)-1, "")</f>
        <v/>
      </c>
      <c r="AG8" s="1" t="str">
        <f>IF(Person4!$F$5+ROW(A6)-1&lt;=Person4!$G$5, Person4!$F$5+ROW(A6)-1, "")</f>
        <v/>
      </c>
      <c r="AH8" s="1" t="str">
        <f>IF(Person4!$F$6+ROW(A6)-1&lt;=Person4!$G$6, Person4!$F$6+ROW(A6)-1, "")</f>
        <v/>
      </c>
      <c r="AI8" s="1" t="str">
        <f>IF(Person4!$F$7+ROW(A6)-1&lt;=Person4!$G$7, Person4!$F$7+ROW(A6)-1, "")</f>
        <v/>
      </c>
    </row>
    <row r="9" spans="1:35" x14ac:dyDescent="0.3">
      <c r="A9" s="1" t="str">
        <f>IF(Person4!$B$3+ROW(A7)-1&lt;=Person4!$C$3, Person4!$B$3+ROW(A7)-1, "")</f>
        <v/>
      </c>
      <c r="B9" s="1" t="str">
        <f>IF(Person4!$B$4+ROW(B7)-1&lt;=Person4!$C$4, Person4!$B$4+ROW(B7)-1, "")</f>
        <v/>
      </c>
      <c r="C9" s="1" t="str">
        <f>IF(Person4!$B$5+ROW(B7)-1&lt;=Person4!$C$5, Person4!$B$5+ROW(B7)-1, "")</f>
        <v/>
      </c>
      <c r="D9" s="1" t="str">
        <f>IF(Person4!$B$6+ROW(B7)-1&lt;=Person4!$C$6, Person4!$B$6+ROW(B7)-1, "")</f>
        <v/>
      </c>
      <c r="E9" s="1" t="str">
        <f>IF(Person4!$B$7+ROW(B7)-1&lt;=Person4!$C$7, Person4!$B$7+ROW(B7)-1, "")</f>
        <v/>
      </c>
      <c r="F9" s="1" t="str">
        <f>IF(Person4!$B$8+ROW(B7)-1&lt;=Person4!$C$8, Person4!$B$8+ROW(B7)-1, "")</f>
        <v/>
      </c>
      <c r="G9" s="1" t="str">
        <f>IF(Person4!$B$9+ROW(B7)-1&lt;=Person4!$C$9, Person4!$B$9+ROW(B7)-1, "")</f>
        <v/>
      </c>
      <c r="H9" s="1" t="str">
        <f>IF(Person4!$B$10+ROW(B7)-1&lt;=Person4!$C$10, Person4!$B$10+ROW(B7)-1, "")</f>
        <v/>
      </c>
      <c r="I9" s="1" t="str">
        <f>IF(Person4!$B$11+ROW(B7)-1&lt;=Person4!$C$11, Person4!$B$11+ROW(B7)-1, "")</f>
        <v/>
      </c>
      <c r="J9" s="1" t="str">
        <f>IF(Person4!$B$12+ROW(B7)-1&lt;=Person4!$C$12, Person4!$B$12+ROW(B7)-1, "")</f>
        <v/>
      </c>
      <c r="K9" s="1" t="str">
        <f>IF(Person4!$B$13+ROW(B7)-1&lt;=Person4!$C$13, Person4!$B$13+ROW(B7)-1, "")</f>
        <v/>
      </c>
      <c r="L9" s="1" t="str">
        <f>IF(Person4!$B$14+ROW(B7)-1&lt;=Person4!$C$14, Person4!$B$14+ROW(B7)-1, "")</f>
        <v/>
      </c>
      <c r="M9" s="1" t="str">
        <f>IF(Person4!$B$15+ROW(B7)-1&lt;=Person4!$C$15, Person4!$B$15+ROW(B7)-1, "")</f>
        <v/>
      </c>
      <c r="N9" s="1" t="str">
        <f>IF(Person4!$B$16+ROW(B7)-1&lt;=Person4!$C$16, Person4!$B$16+ROW(B7)-1, "")</f>
        <v/>
      </c>
      <c r="O9" s="1" t="str">
        <f>IF(Person4!$B$17+ROW(B7)-1&lt;=Person4!$C$17, Person4!$B$17+ROW(B7)-1, "")</f>
        <v/>
      </c>
      <c r="V9" s="1" t="str">
        <f>IF(Person4!$D$3+ROW(A7)-1&lt;=Person4!$E$3, Person4!$D$3+ROW(A7)-1, "")</f>
        <v/>
      </c>
      <c r="W9" s="1" t="str">
        <f>IF(Person4!$D$4+ROW(A7)-1&lt;=Person4!$E$4, Person4!$D$4+ROW(A7)-1, "")</f>
        <v/>
      </c>
      <c r="X9" s="1" t="str">
        <f>IF(Person4!$D$5+ROW(A7)-1&lt;=Person4!$E$5, Person4!$D$5+ROW(A7)-1, "")</f>
        <v/>
      </c>
      <c r="Y9" s="1" t="str">
        <f>IF(Person4!$D$6+ROW(A7)-1&lt;=Person4!$E$6, Person4!$D$6+ROW(A7)-1, "")</f>
        <v/>
      </c>
      <c r="Z9" s="1" t="str">
        <f>IF(Person4!$D$7+ROW(A7)-1&lt;=Person4!$E$7, Person4!$D$7+ROW(A7)-1, "")</f>
        <v/>
      </c>
      <c r="AA9" s="1" t="str">
        <f>IF(Person4!$D$8+ROW(A7)-1&lt;=Person4!$E$8, Person4!$D$8+ROW(A7)-1, "")</f>
        <v/>
      </c>
      <c r="AE9" s="1" t="str">
        <f>IF(Person4!$F$3+ROW(A7)-1&lt;=Person4!$G$3, Person4!$F$3+ROW(A7)-1, "")</f>
        <v/>
      </c>
      <c r="AF9" s="1" t="str">
        <f>IF(Person4!$F$4+ROW(A7)-1&lt;=Person4!$G$4, Person4!$F$4+ROW(A7)-1, "")</f>
        <v/>
      </c>
      <c r="AG9" s="1" t="str">
        <f>IF(Person4!$F$5+ROW(A7)-1&lt;=Person4!$G$5, Person4!$F$5+ROW(A7)-1, "")</f>
        <v/>
      </c>
      <c r="AH9" s="1" t="str">
        <f>IF(Person4!$F$6+ROW(A7)-1&lt;=Person4!$G$6, Person4!$F$6+ROW(A7)-1, "")</f>
        <v/>
      </c>
      <c r="AI9" s="1" t="str">
        <f>IF(Person4!$F$7+ROW(A7)-1&lt;=Person4!$G$7, Person4!$F$7+ROW(A7)-1, "")</f>
        <v/>
      </c>
    </row>
    <row r="10" spans="1:35" x14ac:dyDescent="0.3">
      <c r="A10" s="1" t="str">
        <f>IF(Person4!$B$3+ROW(A8)-1&lt;=Person4!$C$3, Person4!$B$3+ROW(A8)-1, "")</f>
        <v/>
      </c>
      <c r="B10" s="1" t="str">
        <f>IF(Person4!$B$4+ROW(B8)-1&lt;=Person4!$C$4, Person4!$B$4+ROW(B8)-1, "")</f>
        <v/>
      </c>
      <c r="C10" s="1" t="str">
        <f>IF(Person4!$B$5+ROW(B8)-1&lt;=Person4!$C$5, Person4!$B$5+ROW(B8)-1, "")</f>
        <v/>
      </c>
      <c r="D10" s="1" t="str">
        <f>IF(Person4!$B$6+ROW(B8)-1&lt;=Person4!$C$6, Person4!$B$6+ROW(B8)-1, "")</f>
        <v/>
      </c>
      <c r="E10" s="1" t="str">
        <f>IF(Person4!$B$7+ROW(B8)-1&lt;=Person4!$C$7, Person4!$B$7+ROW(B8)-1, "")</f>
        <v/>
      </c>
      <c r="F10" s="1" t="str">
        <f>IF(Person4!$B$8+ROW(B8)-1&lt;=Person4!$C$8, Person4!$B$8+ROW(B8)-1, "")</f>
        <v/>
      </c>
      <c r="G10" s="1" t="str">
        <f>IF(Person4!$B$9+ROW(B8)-1&lt;=Person4!$C$9, Person4!$B$9+ROW(B8)-1, "")</f>
        <v/>
      </c>
      <c r="H10" s="1" t="str">
        <f>IF(Person4!$B$10+ROW(B8)-1&lt;=Person4!$C$10, Person4!$B$10+ROW(B8)-1, "")</f>
        <v/>
      </c>
      <c r="I10" s="1" t="str">
        <f>IF(Person4!$B$11+ROW(B8)-1&lt;=Person4!$C$11, Person4!$B$11+ROW(B8)-1, "")</f>
        <v/>
      </c>
      <c r="J10" s="1" t="str">
        <f>IF(Person4!$B$12+ROW(B8)-1&lt;=Person4!$C$12, Person4!$B$12+ROW(B8)-1, "")</f>
        <v/>
      </c>
      <c r="K10" s="1" t="str">
        <f>IF(Person4!$B$13+ROW(B8)-1&lt;=Person4!$C$13, Person4!$B$13+ROW(B8)-1, "")</f>
        <v/>
      </c>
      <c r="L10" s="1" t="str">
        <f>IF(Person4!$B$14+ROW(B8)-1&lt;=Person4!$C$14, Person4!$B$14+ROW(B8)-1, "")</f>
        <v/>
      </c>
      <c r="M10" s="1" t="str">
        <f>IF(Person4!$B$15+ROW(B8)-1&lt;=Person4!$C$15, Person4!$B$15+ROW(B8)-1, "")</f>
        <v/>
      </c>
      <c r="N10" s="1" t="str">
        <f>IF(Person4!$B$16+ROW(B8)-1&lt;=Person4!$C$16, Person4!$B$16+ROW(B8)-1, "")</f>
        <v/>
      </c>
      <c r="O10" s="1" t="str">
        <f>IF(Person4!$B$17+ROW(B8)-1&lt;=Person4!$C$17, Person4!$B$17+ROW(B8)-1, "")</f>
        <v/>
      </c>
      <c r="V10" s="1" t="str">
        <f>IF(Person4!$D$3+ROW(A8)-1&lt;=Person4!$E$3, Person4!$D$3+ROW(A8)-1, "")</f>
        <v/>
      </c>
      <c r="W10" s="1" t="str">
        <f>IF(Person4!$D$4+ROW(A8)-1&lt;=Person4!$E$4, Person4!$D$4+ROW(A8)-1, "")</f>
        <v/>
      </c>
      <c r="X10" s="1" t="str">
        <f>IF(Person4!$D$5+ROW(A8)-1&lt;=Person4!$E$5, Person4!$D$5+ROW(A8)-1, "")</f>
        <v/>
      </c>
      <c r="Y10" s="1" t="str">
        <f>IF(Person4!$D$6+ROW(A8)-1&lt;=Person4!$E$6, Person4!$D$6+ROW(A8)-1, "")</f>
        <v/>
      </c>
      <c r="Z10" s="1" t="str">
        <f>IF(Person4!$D$7+ROW(A8)-1&lt;=Person4!$E$7, Person4!$D$7+ROW(A8)-1, "")</f>
        <v/>
      </c>
      <c r="AA10" s="1" t="str">
        <f>IF(Person4!$D$8+ROW(A8)-1&lt;=Person4!$E$8, Person4!$D$8+ROW(A8)-1, "")</f>
        <v/>
      </c>
      <c r="AE10" s="1" t="str">
        <f>IF(Person4!$F$3+ROW(A8)-1&lt;=Person4!$G$3, Person4!$F$3+ROW(A8)-1, "")</f>
        <v/>
      </c>
      <c r="AF10" s="1" t="str">
        <f>IF(Person4!$F$4+ROW(A8)-1&lt;=Person4!$G$4, Person4!$F$4+ROW(A8)-1, "")</f>
        <v/>
      </c>
      <c r="AG10" s="1" t="str">
        <f>IF(Person4!$F$5+ROW(A8)-1&lt;=Person4!$G$5, Person4!$F$5+ROW(A8)-1, "")</f>
        <v/>
      </c>
      <c r="AH10" s="1" t="str">
        <f>IF(Person4!$F$6+ROW(A8)-1&lt;=Person4!$G$6, Person4!$F$6+ROW(A8)-1, "")</f>
        <v/>
      </c>
      <c r="AI10" s="1" t="str">
        <f>IF(Person4!$F$7+ROW(A8)-1&lt;=Person4!$G$7, Person4!$F$7+ROW(A8)-1, "")</f>
        <v/>
      </c>
    </row>
    <row r="11" spans="1:35" x14ac:dyDescent="0.3">
      <c r="A11" s="1" t="str">
        <f>IF(Person4!$B$3+ROW(A9)-1&lt;=Person4!$C$3, Person4!$B$3+ROW(A9)-1, "")</f>
        <v/>
      </c>
      <c r="B11" s="1" t="str">
        <f>IF(Person4!$B$4+ROW(B9)-1&lt;=Person4!$C$4, Person4!$B$4+ROW(B9)-1, "")</f>
        <v/>
      </c>
      <c r="C11" s="1" t="str">
        <f>IF(Person4!$B$5+ROW(B9)-1&lt;=Person4!$C$5, Person4!$B$5+ROW(B9)-1, "")</f>
        <v/>
      </c>
      <c r="D11" s="1" t="str">
        <f>IF(Person4!$B$6+ROW(B9)-1&lt;=Person4!$C$6, Person4!$B$6+ROW(B9)-1, "")</f>
        <v/>
      </c>
      <c r="E11" s="1" t="str">
        <f>IF(Person4!$B$7+ROW(B9)-1&lt;=Person4!$C$7, Person4!$B$7+ROW(B9)-1, "")</f>
        <v/>
      </c>
      <c r="F11" s="1" t="str">
        <f>IF(Person4!$B$8+ROW(B9)-1&lt;=Person4!$C$8, Person4!$B$8+ROW(B9)-1, "")</f>
        <v/>
      </c>
      <c r="G11" s="1" t="str">
        <f>IF(Person4!$B$9+ROW(B9)-1&lt;=Person4!$C$9, Person4!$B$9+ROW(B9)-1, "")</f>
        <v/>
      </c>
      <c r="H11" s="1" t="str">
        <f>IF(Person4!$B$10+ROW(B9)-1&lt;=Person4!$C$10, Person4!$B$10+ROW(B9)-1, "")</f>
        <v/>
      </c>
      <c r="I11" s="1" t="str">
        <f>IF(Person4!$B$11+ROW(B9)-1&lt;=Person4!$C$11, Person4!$B$11+ROW(B9)-1, "")</f>
        <v/>
      </c>
      <c r="J11" s="1" t="str">
        <f>IF(Person4!$B$12+ROW(B9)-1&lt;=Person4!$C$12, Person4!$B$12+ROW(B9)-1, "")</f>
        <v/>
      </c>
      <c r="K11" s="1" t="str">
        <f>IF(Person4!$B$13+ROW(B9)-1&lt;=Person4!$C$13, Person4!$B$13+ROW(B9)-1, "")</f>
        <v/>
      </c>
      <c r="L11" s="1" t="str">
        <f>IF(Person4!$B$14+ROW(B9)-1&lt;=Person4!$C$14, Person4!$B$14+ROW(B9)-1, "")</f>
        <v/>
      </c>
      <c r="M11" s="1" t="str">
        <f>IF(Person4!$B$15+ROW(B9)-1&lt;=Person4!$C$15, Person4!$B$15+ROW(B9)-1, "")</f>
        <v/>
      </c>
      <c r="N11" s="1" t="str">
        <f>IF(Person4!$B$16+ROW(B9)-1&lt;=Person4!$C$16, Person4!$B$16+ROW(B9)-1, "")</f>
        <v/>
      </c>
      <c r="O11" s="1" t="str">
        <f>IF(Person4!$B$17+ROW(B9)-1&lt;=Person4!$C$17, Person4!$B$17+ROW(B9)-1, "")</f>
        <v/>
      </c>
      <c r="V11" s="1" t="str">
        <f>IF(Person4!$D$3+ROW(A9)-1&lt;=Person4!$E$3, Person4!$D$3+ROW(A9)-1, "")</f>
        <v/>
      </c>
      <c r="W11" s="1" t="str">
        <f>IF(Person4!$D$4+ROW(A9)-1&lt;=Person4!$E$4, Person4!$D$4+ROW(A9)-1, "")</f>
        <v/>
      </c>
      <c r="X11" s="1" t="str">
        <f>IF(Person4!$D$5+ROW(A9)-1&lt;=Person4!$E$5, Person4!$D$5+ROW(A9)-1, "")</f>
        <v/>
      </c>
      <c r="Y11" s="1" t="str">
        <f>IF(Person4!$D$6+ROW(A9)-1&lt;=Person4!$E$6, Person4!$D$6+ROW(A9)-1, "")</f>
        <v/>
      </c>
      <c r="Z11" s="1" t="str">
        <f>IF(Person4!$D$7+ROW(A9)-1&lt;=Person4!$E$7, Person4!$D$7+ROW(A9)-1, "")</f>
        <v/>
      </c>
      <c r="AA11" s="1" t="str">
        <f>IF(Person4!$D$8+ROW(A9)-1&lt;=Person4!$E$8, Person4!$D$8+ROW(A9)-1, "")</f>
        <v/>
      </c>
      <c r="AE11" s="1" t="str">
        <f>IF(Person4!$F$3+ROW(A9)-1&lt;=Person4!$G$3, Person4!$F$3+ROW(A9)-1, "")</f>
        <v/>
      </c>
      <c r="AF11" s="1" t="str">
        <f>IF(Person4!$F$4+ROW(A9)-1&lt;=Person4!$G$4, Person4!$F$4+ROW(A9)-1, "")</f>
        <v/>
      </c>
      <c r="AG11" s="1" t="str">
        <f>IF(Person4!$F$5+ROW(A9)-1&lt;=Person4!$G$5, Person4!$F$5+ROW(A9)-1, "")</f>
        <v/>
      </c>
      <c r="AH11" s="1" t="str">
        <f>IF(Person4!$F$6+ROW(A9)-1&lt;=Person4!$G$6, Person4!$F$6+ROW(A9)-1, "")</f>
        <v/>
      </c>
      <c r="AI11" s="1" t="str">
        <f>IF(Person4!$F$7+ROW(A9)-1&lt;=Person4!$G$7, Person4!$F$7+ROW(A9)-1, "")</f>
        <v/>
      </c>
    </row>
    <row r="12" spans="1:35" x14ac:dyDescent="0.3">
      <c r="A12" s="1" t="str">
        <f>IF(Person4!$B$3+ROW(A10)-1&lt;=Person4!$C$3, Person4!$B$3+ROW(A10)-1, "")</f>
        <v/>
      </c>
      <c r="B12" s="1" t="str">
        <f>IF(Person4!$B$4+ROW(B10)-1&lt;=Person4!$C$4, Person4!$B$4+ROW(B10)-1, "")</f>
        <v/>
      </c>
      <c r="C12" s="1" t="str">
        <f>IF(Person4!$B$5+ROW(B10)-1&lt;=Person4!$C$5, Person4!$B$5+ROW(B10)-1, "")</f>
        <v/>
      </c>
      <c r="D12" s="1" t="str">
        <f>IF(Person4!$B$6+ROW(B10)-1&lt;=Person4!$C$6, Person4!$B$6+ROW(B10)-1, "")</f>
        <v/>
      </c>
      <c r="E12" s="1" t="str">
        <f>IF(Person4!$B$7+ROW(B10)-1&lt;=Person4!$C$7, Person4!$B$7+ROW(B10)-1, "")</f>
        <v/>
      </c>
      <c r="F12" s="1" t="str">
        <f>IF(Person4!$B$8+ROW(B10)-1&lt;=Person4!$C$8, Person4!$B$8+ROW(B10)-1, "")</f>
        <v/>
      </c>
      <c r="G12" s="1" t="str">
        <f>IF(Person4!$B$9+ROW(B10)-1&lt;=Person4!$C$9, Person4!$B$9+ROW(B10)-1, "")</f>
        <v/>
      </c>
      <c r="H12" s="1" t="str">
        <f>IF(Person4!$B$10+ROW(B10)-1&lt;=Person4!$C$10, Person4!$B$10+ROW(B10)-1, "")</f>
        <v/>
      </c>
      <c r="I12" s="1" t="str">
        <f>IF(Person4!$B$11+ROW(B10)-1&lt;=Person4!$C$11, Person4!$B$11+ROW(B10)-1, "")</f>
        <v/>
      </c>
      <c r="J12" s="1" t="str">
        <f>IF(Person4!$B$12+ROW(B10)-1&lt;=Person4!$C$12, Person4!$B$12+ROW(B10)-1, "")</f>
        <v/>
      </c>
      <c r="K12" s="1" t="str">
        <f>IF(Person4!$B$13+ROW(B10)-1&lt;=Person4!$C$13, Person4!$B$13+ROW(B10)-1, "")</f>
        <v/>
      </c>
      <c r="L12" s="1" t="str">
        <f>IF(Person4!$B$14+ROW(B10)-1&lt;=Person4!$C$14, Person4!$B$14+ROW(B10)-1, "")</f>
        <v/>
      </c>
      <c r="M12" s="1" t="str">
        <f>IF(Person4!$B$15+ROW(B10)-1&lt;=Person4!$C$15, Person4!$B$15+ROW(B10)-1, "")</f>
        <v/>
      </c>
      <c r="N12" s="1" t="str">
        <f>IF(Person4!$B$16+ROW(B10)-1&lt;=Person4!$C$16, Person4!$B$16+ROW(B10)-1, "")</f>
        <v/>
      </c>
      <c r="O12" s="1" t="str">
        <f>IF(Person4!$B$17+ROW(B10)-1&lt;=Person4!$C$17, Person4!$B$17+ROW(B10)-1, "")</f>
        <v/>
      </c>
      <c r="V12" s="1" t="str">
        <f>IF(Person4!$D$3+ROW(A10)-1&lt;=Person4!$E$3, Person4!$D$3+ROW(A10)-1, "")</f>
        <v/>
      </c>
      <c r="W12" s="1" t="str">
        <f>IF(Person4!$D$4+ROW(A10)-1&lt;=Person4!$E$4, Person4!$D$4+ROW(A10)-1, "")</f>
        <v/>
      </c>
      <c r="X12" s="1" t="str">
        <f>IF(Person4!$D$5+ROW(A10)-1&lt;=Person4!$E$5, Person4!$D$5+ROW(A10)-1, "")</f>
        <v/>
      </c>
      <c r="Y12" s="1" t="str">
        <f>IF(Person4!$D$6+ROW(A10)-1&lt;=Person4!$E$6, Person4!$D$6+ROW(A10)-1, "")</f>
        <v/>
      </c>
      <c r="Z12" s="1" t="str">
        <f>IF(Person4!$D$7+ROW(A10)-1&lt;=Person4!$E$7, Person4!$D$7+ROW(A10)-1, "")</f>
        <v/>
      </c>
      <c r="AA12" s="1" t="str">
        <f>IF(Person4!$D$8+ROW(A10)-1&lt;=Person4!$E$8, Person4!$D$8+ROW(A10)-1, "")</f>
        <v/>
      </c>
      <c r="AE12" s="1" t="str">
        <f>IF(Person4!$F$3+ROW(A10)-1&lt;=Person4!$G$3, Person4!$F$3+ROW(A10)-1, "")</f>
        <v/>
      </c>
      <c r="AF12" s="1" t="str">
        <f>IF(Person4!$F$4+ROW(A10)-1&lt;=Person4!$G$4, Person4!$F$4+ROW(A10)-1, "")</f>
        <v/>
      </c>
      <c r="AG12" s="1" t="str">
        <f>IF(Person4!$F$5+ROW(A10)-1&lt;=Person4!$G$5, Person4!$F$5+ROW(A10)-1, "")</f>
        <v/>
      </c>
      <c r="AH12" s="1" t="str">
        <f>IF(Person4!$F$6+ROW(A10)-1&lt;=Person4!$G$6, Person4!$F$6+ROW(A10)-1, "")</f>
        <v/>
      </c>
      <c r="AI12" s="1" t="str">
        <f>IF(Person4!$F$7+ROW(A10)-1&lt;=Person4!$G$7, Person4!$F$7+ROW(A10)-1, "")</f>
        <v/>
      </c>
    </row>
    <row r="13" spans="1:35" x14ac:dyDescent="0.3">
      <c r="A13" s="1" t="str">
        <f>IF(Person4!$B$3+ROW(A11)-1&lt;=Person4!$C$3, Person4!$B$3+ROW(A11)-1, "")</f>
        <v/>
      </c>
      <c r="B13" s="1" t="str">
        <f>IF(Person4!$B$4+ROW(B11)-1&lt;=Person4!$C$4, Person4!$B$4+ROW(B11)-1, "")</f>
        <v/>
      </c>
      <c r="C13" s="1" t="str">
        <f>IF(Person4!$B$5+ROW(B11)-1&lt;=Person4!$C$5, Person4!$B$5+ROW(B11)-1, "")</f>
        <v/>
      </c>
      <c r="D13" s="1" t="str">
        <f>IF(Person4!$B$6+ROW(B11)-1&lt;=Person4!$C$6, Person4!$B$6+ROW(B11)-1, "")</f>
        <v/>
      </c>
      <c r="E13" s="1" t="str">
        <f>IF(Person4!$B$7+ROW(B11)-1&lt;=Person4!$C$7, Person4!$B$7+ROW(B11)-1, "")</f>
        <v/>
      </c>
      <c r="F13" s="1" t="str">
        <f>IF(Person4!$B$8+ROW(B11)-1&lt;=Person4!$C$8, Person4!$B$8+ROW(B11)-1, "")</f>
        <v/>
      </c>
      <c r="G13" s="1" t="str">
        <f>IF(Person4!$B$9+ROW(B11)-1&lt;=Person4!$C$9, Person4!$B$9+ROW(B11)-1, "")</f>
        <v/>
      </c>
      <c r="H13" s="1" t="str">
        <f>IF(Person4!$B$10+ROW(B11)-1&lt;=Person4!$C$10, Person4!$B$10+ROW(B11)-1, "")</f>
        <v/>
      </c>
      <c r="I13" s="1" t="str">
        <f>IF(Person4!$B$11+ROW(B11)-1&lt;=Person4!$C$11, Person4!$B$11+ROW(B11)-1, "")</f>
        <v/>
      </c>
      <c r="J13" s="1" t="str">
        <f>IF(Person4!$B$12+ROW(B11)-1&lt;=Person4!$C$12, Person4!$B$12+ROW(B11)-1, "")</f>
        <v/>
      </c>
      <c r="K13" s="1" t="str">
        <f>IF(Person4!$B$13+ROW(B11)-1&lt;=Person4!$C$13, Person4!$B$13+ROW(B11)-1, "")</f>
        <v/>
      </c>
      <c r="L13" s="1" t="str">
        <f>IF(Person4!$B$14+ROW(B11)-1&lt;=Person4!$C$14, Person4!$B$14+ROW(B11)-1, "")</f>
        <v/>
      </c>
      <c r="M13" s="1" t="str">
        <f>IF(Person4!$B$15+ROW(B11)-1&lt;=Person4!$C$15, Person4!$B$15+ROW(B11)-1, "")</f>
        <v/>
      </c>
      <c r="N13" s="1" t="str">
        <f>IF(Person4!$B$16+ROW(B11)-1&lt;=Person4!$C$16, Person4!$B$16+ROW(B11)-1, "")</f>
        <v/>
      </c>
      <c r="O13" s="1" t="str">
        <f>IF(Person4!$B$17+ROW(B11)-1&lt;=Person4!$C$17, Person4!$B$17+ROW(B11)-1, "")</f>
        <v/>
      </c>
      <c r="V13" s="1" t="str">
        <f>IF(Person4!$D$3+ROW(A11)-1&lt;=Person4!$E$3, Person4!$D$3+ROW(A11)-1, "")</f>
        <v/>
      </c>
      <c r="W13" s="1" t="str">
        <f>IF(Person4!$D$4+ROW(A11)-1&lt;=Person4!$E$4, Person4!$D$4+ROW(A11)-1, "")</f>
        <v/>
      </c>
      <c r="X13" s="1" t="str">
        <f>IF(Person4!$D$5+ROW(A11)-1&lt;=Person4!$E$5, Person4!$D$5+ROW(A11)-1, "")</f>
        <v/>
      </c>
      <c r="Y13" s="1" t="str">
        <f>IF(Person4!$D$6+ROW(A11)-1&lt;=Person4!$E$6, Person4!$D$6+ROW(A11)-1, "")</f>
        <v/>
      </c>
      <c r="Z13" s="1" t="str">
        <f>IF(Person4!$D$7+ROW(A11)-1&lt;=Person4!$E$7, Person4!$D$7+ROW(A11)-1, "")</f>
        <v/>
      </c>
      <c r="AA13" s="1" t="str">
        <f>IF(Person4!$D$8+ROW(A11)-1&lt;=Person4!$E$8, Person4!$D$8+ROW(A11)-1, "")</f>
        <v/>
      </c>
      <c r="AE13" s="1" t="str">
        <f>IF(Person4!$F$3+ROW(A11)-1&lt;=Person4!$G$3, Person4!$F$3+ROW(A11)-1, "")</f>
        <v/>
      </c>
      <c r="AF13" s="1" t="str">
        <f>IF(Person4!$F$4+ROW(A11)-1&lt;=Person4!$G$4, Person4!$F$4+ROW(A11)-1, "")</f>
        <v/>
      </c>
      <c r="AG13" s="1" t="str">
        <f>IF(Person4!$F$5+ROW(A11)-1&lt;=Person4!$G$5, Person4!$F$5+ROW(A11)-1, "")</f>
        <v/>
      </c>
      <c r="AH13" s="1" t="str">
        <f>IF(Person4!$F$6+ROW(A11)-1&lt;=Person4!$G$6, Person4!$F$6+ROW(A11)-1, "")</f>
        <v/>
      </c>
      <c r="AI13" s="1" t="str">
        <f>IF(Person4!$F$7+ROW(A11)-1&lt;=Person4!$G$7, Person4!$F$7+ROW(A11)-1, "")</f>
        <v/>
      </c>
    </row>
    <row r="14" spans="1:35" x14ac:dyDescent="0.3">
      <c r="A14" s="1" t="str">
        <f>IF(Person4!$B$3+ROW(A12)-1&lt;=Person4!$C$3, Person4!$B$3+ROW(A12)-1, "")</f>
        <v/>
      </c>
      <c r="B14" s="1" t="str">
        <f>IF(Person4!$B$4+ROW(B12)-1&lt;=Person4!$C$4, Person4!$B$4+ROW(B12)-1, "")</f>
        <v/>
      </c>
      <c r="C14" s="1" t="str">
        <f>IF(Person4!$B$5+ROW(B12)-1&lt;=Person4!$C$5, Person4!$B$5+ROW(B12)-1, "")</f>
        <v/>
      </c>
      <c r="D14" s="1" t="str">
        <f>IF(Person4!$B$6+ROW(B12)-1&lt;=Person4!$C$6, Person4!$B$6+ROW(B12)-1, "")</f>
        <v/>
      </c>
      <c r="E14" s="1" t="str">
        <f>IF(Person4!$B$7+ROW(B12)-1&lt;=Person4!$C$7, Person4!$B$7+ROW(B12)-1, "")</f>
        <v/>
      </c>
      <c r="F14" s="1" t="str">
        <f>IF(Person4!$B$8+ROW(B12)-1&lt;=Person4!$C$8, Person4!$B$8+ROW(B12)-1, "")</f>
        <v/>
      </c>
      <c r="G14" s="1" t="str">
        <f>IF(Person4!$B$9+ROW(B12)-1&lt;=Person4!$C$9, Person4!$B$9+ROW(B12)-1, "")</f>
        <v/>
      </c>
      <c r="H14" s="1" t="str">
        <f>IF(Person4!$B$10+ROW(B12)-1&lt;=Person4!$C$10, Person4!$B$10+ROW(B12)-1, "")</f>
        <v/>
      </c>
      <c r="I14" s="1" t="str">
        <f>IF(Person4!$B$11+ROW(B12)-1&lt;=Person4!$C$11, Person4!$B$11+ROW(B12)-1, "")</f>
        <v/>
      </c>
      <c r="J14" s="1" t="str">
        <f>IF(Person4!$B$12+ROW(B12)-1&lt;=Person4!$C$12, Person4!$B$12+ROW(B12)-1, "")</f>
        <v/>
      </c>
      <c r="K14" s="1" t="str">
        <f>IF(Person4!$B$13+ROW(B12)-1&lt;=Person4!$C$13, Person4!$B$13+ROW(B12)-1, "")</f>
        <v/>
      </c>
      <c r="L14" s="1" t="str">
        <f>IF(Person4!$B$14+ROW(B12)-1&lt;=Person4!$C$14, Person4!$B$14+ROW(B12)-1, "")</f>
        <v/>
      </c>
      <c r="M14" s="1" t="str">
        <f>IF(Person4!$B$15+ROW(B12)-1&lt;=Person4!$C$15, Person4!$B$15+ROW(B12)-1, "")</f>
        <v/>
      </c>
      <c r="N14" s="1" t="str">
        <f>IF(Person4!$B$16+ROW(B12)-1&lt;=Person4!$C$16, Person4!$B$16+ROW(B12)-1, "")</f>
        <v/>
      </c>
      <c r="O14" s="1" t="str">
        <f>IF(Person4!$B$17+ROW(B12)-1&lt;=Person4!$C$17, Person4!$B$17+ROW(B12)-1, "")</f>
        <v/>
      </c>
      <c r="V14" s="1" t="str">
        <f>IF(Person4!$D$3+ROW(A12)-1&lt;=Person4!$E$3, Person4!$D$3+ROW(A12)-1, "")</f>
        <v/>
      </c>
      <c r="W14" s="1" t="str">
        <f>IF(Person4!$D$4+ROW(A12)-1&lt;=Person4!$E$4, Person4!$D$4+ROW(A12)-1, "")</f>
        <v/>
      </c>
      <c r="X14" s="1" t="str">
        <f>IF(Person4!$D$5+ROW(A12)-1&lt;=Person4!$E$5, Person4!$D$5+ROW(A12)-1, "")</f>
        <v/>
      </c>
      <c r="Y14" s="1" t="str">
        <f>IF(Person4!$D$6+ROW(A12)-1&lt;=Person4!$E$6, Person4!$D$6+ROW(A12)-1, "")</f>
        <v/>
      </c>
      <c r="Z14" s="1" t="str">
        <f>IF(Person4!$D$7+ROW(A12)-1&lt;=Person4!$E$7, Person4!$D$7+ROW(A12)-1, "")</f>
        <v/>
      </c>
      <c r="AA14" s="1" t="str">
        <f>IF(Person4!$D$8+ROW(A12)-1&lt;=Person4!$E$8, Person4!$D$8+ROW(A12)-1, "")</f>
        <v/>
      </c>
      <c r="AE14" s="1" t="str">
        <f>IF(Person4!$F$3+ROW(A12)-1&lt;=Person4!$G$3, Person4!$F$3+ROW(A12)-1, "")</f>
        <v/>
      </c>
      <c r="AF14" s="1" t="str">
        <f>IF(Person4!$F$4+ROW(A12)-1&lt;=Person4!$G$4, Person4!$F$4+ROW(A12)-1, "")</f>
        <v/>
      </c>
      <c r="AG14" s="1" t="str">
        <f>IF(Person4!$F$5+ROW(A12)-1&lt;=Person4!$G$5, Person4!$F$5+ROW(A12)-1, "")</f>
        <v/>
      </c>
      <c r="AH14" s="1" t="str">
        <f>IF(Person4!$F$6+ROW(A12)-1&lt;=Person4!$G$6, Person4!$F$6+ROW(A12)-1, "")</f>
        <v/>
      </c>
      <c r="AI14" s="1" t="str">
        <f>IF(Person4!$F$7+ROW(A12)-1&lt;=Person4!$G$7, Person4!$F$7+ROW(A12)-1, "")</f>
        <v/>
      </c>
    </row>
    <row r="15" spans="1:35" x14ac:dyDescent="0.3">
      <c r="A15" s="1" t="str">
        <f>IF(Person4!$B$3+ROW(A13)-1&lt;=Person4!$C$3, Person4!$B$3+ROW(A13)-1, "")</f>
        <v/>
      </c>
      <c r="B15" s="1" t="str">
        <f>IF(Person4!$B$4+ROW(B13)-1&lt;=Person4!$C$4, Person4!$B$4+ROW(B13)-1, "")</f>
        <v/>
      </c>
      <c r="C15" s="1" t="str">
        <f>IF(Person4!$B$5+ROW(B13)-1&lt;=Person4!$C$5, Person4!$B$5+ROW(B13)-1, "")</f>
        <v/>
      </c>
      <c r="D15" s="1" t="str">
        <f>IF(Person4!$B$6+ROW(B13)-1&lt;=Person4!$C$6, Person4!$B$6+ROW(B13)-1, "")</f>
        <v/>
      </c>
      <c r="E15" s="1" t="str">
        <f>IF(Person4!$B$7+ROW(B13)-1&lt;=Person4!$C$7, Person4!$B$7+ROW(B13)-1, "")</f>
        <v/>
      </c>
      <c r="F15" s="1" t="str">
        <f>IF(Person4!$B$8+ROW(B13)-1&lt;=Person4!$C$8, Person4!$B$8+ROW(B13)-1, "")</f>
        <v/>
      </c>
      <c r="G15" s="1" t="str">
        <f>IF(Person4!$B$9+ROW(B13)-1&lt;=Person4!$C$9, Person4!$B$9+ROW(B13)-1, "")</f>
        <v/>
      </c>
      <c r="H15" s="1" t="str">
        <f>IF(Person4!$B$10+ROW(B13)-1&lt;=Person4!$C$10, Person4!$B$10+ROW(B13)-1, "")</f>
        <v/>
      </c>
      <c r="I15" s="1" t="str">
        <f>IF(Person4!$B$11+ROW(B13)-1&lt;=Person4!$C$11, Person4!$B$11+ROW(B13)-1, "")</f>
        <v/>
      </c>
      <c r="J15" s="1" t="str">
        <f>IF(Person4!$B$12+ROW(B13)-1&lt;=Person4!$C$12, Person4!$B$12+ROW(B13)-1, "")</f>
        <v/>
      </c>
      <c r="K15" s="1" t="str">
        <f>IF(Person4!$B$13+ROW(B13)-1&lt;=Person4!$C$13, Person4!$B$13+ROW(B13)-1, "")</f>
        <v/>
      </c>
      <c r="L15" s="1" t="str">
        <f>IF(Person4!$B$14+ROW(B13)-1&lt;=Person4!$C$14, Person4!$B$14+ROW(B13)-1, "")</f>
        <v/>
      </c>
      <c r="M15" s="1" t="str">
        <f>IF(Person4!$B$15+ROW(B13)-1&lt;=Person4!$C$15, Person4!$B$15+ROW(B13)-1, "")</f>
        <v/>
      </c>
      <c r="N15" s="1" t="str">
        <f>IF(Person4!$B$16+ROW(B13)-1&lt;=Person4!$C$16, Person4!$B$16+ROW(B13)-1, "")</f>
        <v/>
      </c>
      <c r="O15" s="1" t="str">
        <f>IF(Person4!$B$17+ROW(B13)-1&lt;=Person4!$C$17, Person4!$B$17+ROW(B13)-1, "")</f>
        <v/>
      </c>
      <c r="V15" s="1" t="str">
        <f>IF(Person4!$D$3+ROW(A13)-1&lt;=Person4!$E$3, Person4!$D$3+ROW(A13)-1, "")</f>
        <v/>
      </c>
      <c r="W15" s="1" t="str">
        <f>IF(Person4!$D$4+ROW(A13)-1&lt;=Person4!$E$4, Person4!$D$4+ROW(A13)-1, "")</f>
        <v/>
      </c>
      <c r="X15" s="1" t="str">
        <f>IF(Person4!$D$5+ROW(A13)-1&lt;=Person4!$E$5, Person4!$D$5+ROW(A13)-1, "")</f>
        <v/>
      </c>
      <c r="Y15" s="1" t="str">
        <f>IF(Person4!$D$6+ROW(A13)-1&lt;=Person4!$E$6, Person4!$D$6+ROW(A13)-1, "")</f>
        <v/>
      </c>
      <c r="Z15" s="1" t="str">
        <f>IF(Person4!$D$7+ROW(A13)-1&lt;=Person4!$E$7, Person4!$D$7+ROW(A13)-1, "")</f>
        <v/>
      </c>
      <c r="AA15" s="1" t="str">
        <f>IF(Person4!$D$8+ROW(A13)-1&lt;=Person4!$E$8, Person4!$D$8+ROW(A13)-1, "")</f>
        <v/>
      </c>
      <c r="AE15" s="1" t="str">
        <f>IF(Person4!$F$3+ROW(A13)-1&lt;=Person4!$G$3, Person4!$F$3+ROW(A13)-1, "")</f>
        <v/>
      </c>
      <c r="AF15" s="1" t="str">
        <f>IF(Person4!$F$4+ROW(A13)-1&lt;=Person4!$G$4, Person4!$F$4+ROW(A13)-1, "")</f>
        <v/>
      </c>
      <c r="AG15" s="1" t="str">
        <f>IF(Person4!$F$5+ROW(A13)-1&lt;=Person4!$G$5, Person4!$F$5+ROW(A13)-1, "")</f>
        <v/>
      </c>
      <c r="AH15" s="1" t="str">
        <f>IF(Person4!$F$6+ROW(A13)-1&lt;=Person4!$G$6, Person4!$F$6+ROW(A13)-1, "")</f>
        <v/>
      </c>
      <c r="AI15" s="1" t="str">
        <f>IF(Person4!$F$7+ROW(A13)-1&lt;=Person4!$G$7, Person4!$F$7+ROW(A13)-1, "")</f>
        <v/>
      </c>
    </row>
    <row r="16" spans="1:35" x14ac:dyDescent="0.3">
      <c r="A16" s="1" t="str">
        <f>IF(Person4!$B$3+ROW(A14)-1&lt;=Person4!$C$3, Person4!$B$3+ROW(A14)-1, "")</f>
        <v/>
      </c>
      <c r="B16" s="1" t="str">
        <f>IF(Person4!$B$4+ROW(B14)-1&lt;=Person4!$C$4, Person4!$B$4+ROW(B14)-1, "")</f>
        <v/>
      </c>
      <c r="C16" s="1" t="str">
        <f>IF(Person4!$B$5+ROW(B14)-1&lt;=Person4!$C$5, Person4!$B$5+ROW(B14)-1, "")</f>
        <v/>
      </c>
      <c r="D16" s="1" t="str">
        <f>IF(Person4!$B$6+ROW(B14)-1&lt;=Person4!$C$6, Person4!$B$6+ROW(B14)-1, "")</f>
        <v/>
      </c>
      <c r="E16" s="1" t="str">
        <f>IF(Person4!$B$7+ROW(B14)-1&lt;=Person4!$C$7, Person4!$B$7+ROW(B14)-1, "")</f>
        <v/>
      </c>
      <c r="F16" s="1" t="str">
        <f>IF(Person4!$B$8+ROW(B14)-1&lt;=Person4!$C$8, Person4!$B$8+ROW(B14)-1, "")</f>
        <v/>
      </c>
      <c r="G16" s="1" t="str">
        <f>IF(Person4!$B$9+ROW(B14)-1&lt;=Person4!$C$9, Person4!$B$9+ROW(B14)-1, "")</f>
        <v/>
      </c>
      <c r="H16" s="1" t="str">
        <f>IF(Person4!$B$10+ROW(B14)-1&lt;=Person4!$C$10, Person4!$B$10+ROW(B14)-1, "")</f>
        <v/>
      </c>
      <c r="I16" s="1" t="str">
        <f>IF(Person4!$B$11+ROW(B14)-1&lt;=Person4!$C$11, Person4!$B$11+ROW(B14)-1, "")</f>
        <v/>
      </c>
      <c r="J16" s="1" t="str">
        <f>IF(Person4!$B$12+ROW(B14)-1&lt;=Person4!$C$12, Person4!$B$12+ROW(B14)-1, "")</f>
        <v/>
      </c>
      <c r="K16" s="1" t="str">
        <f>IF(Person4!$B$13+ROW(B14)-1&lt;=Person4!$C$13, Person4!$B$13+ROW(B14)-1, "")</f>
        <v/>
      </c>
      <c r="L16" s="1" t="str">
        <f>IF(Person4!$B$14+ROW(B14)-1&lt;=Person4!$C$14, Person4!$B$14+ROW(B14)-1, "")</f>
        <v/>
      </c>
      <c r="M16" s="1" t="str">
        <f>IF(Person4!$B$15+ROW(B14)-1&lt;=Person4!$C$15, Person4!$B$15+ROW(B14)-1, "")</f>
        <v/>
      </c>
      <c r="N16" s="1" t="str">
        <f>IF(Person4!$B$16+ROW(B14)-1&lt;=Person4!$C$16, Person4!$B$16+ROW(B14)-1, "")</f>
        <v/>
      </c>
      <c r="O16" s="1" t="str">
        <f>IF(Person4!$B$17+ROW(B14)-1&lt;=Person4!$C$17, Person4!$B$17+ROW(B14)-1, "")</f>
        <v/>
      </c>
      <c r="V16" s="1" t="str">
        <f>IF(Person4!$D$3+ROW(A14)-1&lt;=Person4!$E$3, Person4!$D$3+ROW(A14)-1, "")</f>
        <v/>
      </c>
      <c r="W16" s="1" t="str">
        <f>IF(Person4!$D$4+ROW(A14)-1&lt;=Person4!$E$4, Person4!$D$4+ROW(A14)-1, "")</f>
        <v/>
      </c>
      <c r="X16" s="1" t="str">
        <f>IF(Person4!$D$5+ROW(A14)-1&lt;=Person4!$E$5, Person4!$D$5+ROW(A14)-1, "")</f>
        <v/>
      </c>
      <c r="Y16" s="1" t="str">
        <f>IF(Person4!$D$6+ROW(A14)-1&lt;=Person4!$E$6, Person4!$D$6+ROW(A14)-1, "")</f>
        <v/>
      </c>
      <c r="Z16" s="1" t="str">
        <f>IF(Person4!$D$7+ROW(A14)-1&lt;=Person4!$E$7, Person4!$D$7+ROW(A14)-1, "")</f>
        <v/>
      </c>
      <c r="AA16" s="1" t="str">
        <f>IF(Person4!$D$8+ROW(A14)-1&lt;=Person4!$E$8, Person4!$D$8+ROW(A14)-1, "")</f>
        <v/>
      </c>
      <c r="AE16" s="1" t="str">
        <f>IF(Person4!$F$3+ROW(A14)-1&lt;=Person4!$G$3, Person4!$F$3+ROW(A14)-1, "")</f>
        <v/>
      </c>
      <c r="AF16" s="1" t="str">
        <f>IF(Person4!$F$4+ROW(A14)-1&lt;=Person4!$G$4, Person4!$F$4+ROW(A14)-1, "")</f>
        <v/>
      </c>
      <c r="AG16" s="1" t="str">
        <f>IF(Person4!$F$5+ROW(A14)-1&lt;=Person4!$G$5, Person4!$F$5+ROW(A14)-1, "")</f>
        <v/>
      </c>
      <c r="AH16" s="1" t="str">
        <f>IF(Person4!$F$6+ROW(A14)-1&lt;=Person4!$G$6, Person4!$F$6+ROW(A14)-1, "")</f>
        <v/>
      </c>
      <c r="AI16" s="1" t="str">
        <f>IF(Person4!$F$7+ROW(A14)-1&lt;=Person4!$G$7, Person4!$F$7+ROW(A14)-1, "")</f>
        <v/>
      </c>
    </row>
    <row r="17" spans="1:35" x14ac:dyDescent="0.3">
      <c r="A17" s="1" t="str">
        <f>IF(Person4!$B$3+ROW(A15)-1&lt;=Person4!$C$3, Person4!$B$3+ROW(A15)-1, "")</f>
        <v/>
      </c>
      <c r="B17" s="1" t="str">
        <f>IF(Person4!$B$4+ROW(B15)-1&lt;=Person4!$C$4, Person4!$B$4+ROW(B15)-1, "")</f>
        <v/>
      </c>
      <c r="C17" s="1" t="str">
        <f>IF(Person4!$B$5+ROW(B15)-1&lt;=Person4!$C$5, Person4!$B$5+ROW(B15)-1, "")</f>
        <v/>
      </c>
      <c r="D17" s="1" t="str">
        <f>IF(Person4!$B$6+ROW(B15)-1&lt;=Person4!$C$6, Person4!$B$6+ROW(B15)-1, "")</f>
        <v/>
      </c>
      <c r="E17" s="1" t="str">
        <f>IF(Person4!$B$7+ROW(B15)-1&lt;=Person4!$C$7, Person4!$B$7+ROW(B15)-1, "")</f>
        <v/>
      </c>
      <c r="F17" s="1" t="str">
        <f>IF(Person4!$B$8+ROW(B15)-1&lt;=Person4!$C$8, Person4!$B$8+ROW(B15)-1, "")</f>
        <v/>
      </c>
      <c r="G17" s="1" t="str">
        <f>IF(Person4!$B$9+ROW(B15)-1&lt;=Person4!$C$9, Person4!$B$9+ROW(B15)-1, "")</f>
        <v/>
      </c>
      <c r="H17" s="1" t="str">
        <f>IF(Person4!$B$10+ROW(B15)-1&lt;=Person4!$C$10, Person4!$B$10+ROW(B15)-1, "")</f>
        <v/>
      </c>
      <c r="I17" s="1" t="str">
        <f>IF(Person4!$B$11+ROW(B15)-1&lt;=Person4!$C$11, Person4!$B$11+ROW(B15)-1, "")</f>
        <v/>
      </c>
      <c r="J17" s="1" t="str">
        <f>IF(Person4!$B$12+ROW(B15)-1&lt;=Person4!$C$12, Person4!$B$12+ROW(B15)-1, "")</f>
        <v/>
      </c>
      <c r="K17" s="1" t="str">
        <f>IF(Person4!$B$13+ROW(B15)-1&lt;=Person4!$C$13, Person4!$B$13+ROW(B15)-1, "")</f>
        <v/>
      </c>
      <c r="L17" s="1" t="str">
        <f>IF(Person4!$B$14+ROW(B15)-1&lt;=Person4!$C$14, Person4!$B$14+ROW(B15)-1, "")</f>
        <v/>
      </c>
      <c r="M17" s="1" t="str">
        <f>IF(Person4!$B$15+ROW(B15)-1&lt;=Person4!$C$15, Person4!$B$15+ROW(B15)-1, "")</f>
        <v/>
      </c>
      <c r="N17" s="1" t="str">
        <f>IF(Person4!$B$16+ROW(B15)-1&lt;=Person4!$C$16, Person4!$B$16+ROW(B15)-1, "")</f>
        <v/>
      </c>
      <c r="O17" s="1" t="str">
        <f>IF(Person4!$B$17+ROW(B15)-1&lt;=Person4!$C$17, Person4!$B$17+ROW(B15)-1, "")</f>
        <v/>
      </c>
      <c r="V17" s="1" t="str">
        <f>IF(Person4!$D$3+ROW(A15)-1&lt;=Person4!$E$3, Person4!$D$3+ROW(A15)-1, "")</f>
        <v/>
      </c>
      <c r="W17" s="1" t="str">
        <f>IF(Person4!$D$4+ROW(A15)-1&lt;=Person4!$E$4, Person4!$D$4+ROW(A15)-1, "")</f>
        <v/>
      </c>
      <c r="X17" s="1" t="str">
        <f>IF(Person4!$D$5+ROW(A15)-1&lt;=Person4!$E$5, Person4!$D$5+ROW(A15)-1, "")</f>
        <v/>
      </c>
      <c r="Y17" s="1" t="str">
        <f>IF(Person4!$D$6+ROW(A15)-1&lt;=Person4!$E$6, Person4!$D$6+ROW(A15)-1, "")</f>
        <v/>
      </c>
      <c r="Z17" s="1" t="str">
        <f>IF(Person4!$D$7+ROW(A15)-1&lt;=Person4!$E$7, Person4!$D$7+ROW(A15)-1, "")</f>
        <v/>
      </c>
      <c r="AA17" s="1" t="str">
        <f>IF(Person4!$D$8+ROW(A15)-1&lt;=Person4!$E$8, Person4!$D$8+ROW(A15)-1, "")</f>
        <v/>
      </c>
      <c r="AE17" s="1" t="str">
        <f>IF(Person4!$F$3+ROW(A15)-1&lt;=Person4!$G$3, Person4!$F$3+ROW(A15)-1, "")</f>
        <v/>
      </c>
      <c r="AF17" s="1" t="str">
        <f>IF(Person4!$F$4+ROW(A15)-1&lt;=Person4!$G$4, Person4!$F$4+ROW(A15)-1, "")</f>
        <v/>
      </c>
      <c r="AG17" s="1" t="str">
        <f>IF(Person4!$F$5+ROW(A15)-1&lt;=Person4!$G$5, Person4!$F$5+ROW(A15)-1, "")</f>
        <v/>
      </c>
      <c r="AH17" s="1" t="str">
        <f>IF(Person4!$F$6+ROW(A15)-1&lt;=Person4!$G$6, Person4!$F$6+ROW(A15)-1, "")</f>
        <v/>
      </c>
      <c r="AI17" s="1" t="str">
        <f>IF(Person4!$F$7+ROW(A15)-1&lt;=Person4!$G$7, Person4!$F$7+ROW(A15)-1, "")</f>
        <v/>
      </c>
    </row>
    <row r="18" spans="1:35" x14ac:dyDescent="0.3">
      <c r="A18" s="1" t="str">
        <f>IF(Person4!$B$3+ROW(A16)-1&lt;=Person4!$C$3, Person4!$B$3+ROW(A16)-1, "")</f>
        <v/>
      </c>
      <c r="B18" s="1" t="str">
        <f>IF(Person4!$B$4+ROW(B16)-1&lt;=Person4!$C$4, Person4!$B$4+ROW(B16)-1, "")</f>
        <v/>
      </c>
      <c r="C18" s="1" t="str">
        <f>IF(Person4!$B$5+ROW(B16)-1&lt;=Person4!$C$5, Person4!$B$5+ROW(B16)-1, "")</f>
        <v/>
      </c>
      <c r="D18" s="1" t="str">
        <f>IF(Person4!$B$6+ROW(B16)-1&lt;=Person4!$C$6, Person4!$B$6+ROW(B16)-1, "")</f>
        <v/>
      </c>
      <c r="E18" s="1" t="str">
        <f>IF(Person4!$B$7+ROW(B16)-1&lt;=Person4!$C$7, Person4!$B$7+ROW(B16)-1, "")</f>
        <v/>
      </c>
      <c r="F18" s="1" t="str">
        <f>IF(Person4!$B$8+ROW(B16)-1&lt;=Person4!$C$8, Person4!$B$8+ROW(B16)-1, "")</f>
        <v/>
      </c>
      <c r="G18" s="1" t="str">
        <f>IF(Person4!$B$9+ROW(B16)-1&lt;=Person4!$C$9, Person4!$B$9+ROW(B16)-1, "")</f>
        <v/>
      </c>
      <c r="H18" s="1" t="str">
        <f>IF(Person4!$B$10+ROW(B16)-1&lt;=Person4!$C$10, Person4!$B$10+ROW(B16)-1, "")</f>
        <v/>
      </c>
      <c r="I18" s="1" t="str">
        <f>IF(Person4!$B$11+ROW(B16)-1&lt;=Person4!$C$11, Person4!$B$11+ROW(B16)-1, "")</f>
        <v/>
      </c>
      <c r="J18" s="1" t="str">
        <f>IF(Person4!$B$12+ROW(B16)-1&lt;=Person4!$C$12, Person4!$B$12+ROW(B16)-1, "")</f>
        <v/>
      </c>
      <c r="K18" s="1" t="str">
        <f>IF(Person4!$B$13+ROW(B16)-1&lt;=Person4!$C$13, Person4!$B$13+ROW(B16)-1, "")</f>
        <v/>
      </c>
      <c r="L18" s="1" t="str">
        <f>IF(Person4!$B$14+ROW(B16)-1&lt;=Person4!$C$14, Person4!$B$14+ROW(B16)-1, "")</f>
        <v/>
      </c>
      <c r="M18" s="1" t="str">
        <f>IF(Person4!$B$15+ROW(B16)-1&lt;=Person4!$C$15, Person4!$B$15+ROW(B16)-1, "")</f>
        <v/>
      </c>
      <c r="N18" s="1" t="str">
        <f>IF(Person4!$B$16+ROW(B16)-1&lt;=Person4!$C$16, Person4!$B$16+ROW(B16)-1, "")</f>
        <v/>
      </c>
      <c r="O18" s="1" t="str">
        <f>IF(Person4!$B$17+ROW(B16)-1&lt;=Person4!$C$17, Person4!$B$17+ROW(B16)-1, "")</f>
        <v/>
      </c>
      <c r="V18" s="1" t="str">
        <f>IF(Person4!$D$3+ROW(A16)-1&lt;=Person4!$E$3, Person4!$D$3+ROW(A16)-1, "")</f>
        <v/>
      </c>
      <c r="W18" s="1" t="str">
        <f>IF(Person4!$D$4+ROW(A16)-1&lt;=Person4!$E$4, Person4!$D$4+ROW(A16)-1, "")</f>
        <v/>
      </c>
      <c r="X18" s="1" t="str">
        <f>IF(Person4!$D$5+ROW(A16)-1&lt;=Person4!$E$5, Person4!$D$5+ROW(A16)-1, "")</f>
        <v/>
      </c>
      <c r="Y18" s="1" t="str">
        <f>IF(Person4!$D$6+ROW(A16)-1&lt;=Person4!$E$6, Person4!$D$6+ROW(A16)-1, "")</f>
        <v/>
      </c>
      <c r="Z18" s="1" t="str">
        <f>IF(Person4!$D$7+ROW(A16)-1&lt;=Person4!$E$7, Person4!$D$7+ROW(A16)-1, "")</f>
        <v/>
      </c>
      <c r="AA18" s="1" t="str">
        <f>IF(Person4!$D$8+ROW(A16)-1&lt;=Person4!$E$8, Person4!$D$8+ROW(A16)-1, "")</f>
        <v/>
      </c>
      <c r="AE18" s="1" t="str">
        <f>IF(Person4!$F$3+ROW(A16)-1&lt;=Person4!$G$3, Person4!$F$3+ROW(A16)-1, "")</f>
        <v/>
      </c>
      <c r="AF18" s="1" t="str">
        <f>IF(Person4!$F$4+ROW(A16)-1&lt;=Person4!$G$4, Person4!$F$4+ROW(A16)-1, "")</f>
        <v/>
      </c>
      <c r="AG18" s="1" t="str">
        <f>IF(Person4!$F$5+ROW(A16)-1&lt;=Person4!$G$5, Person4!$F$5+ROW(A16)-1, "")</f>
        <v/>
      </c>
      <c r="AH18" s="1" t="str">
        <f>IF(Person4!$F$6+ROW(A16)-1&lt;=Person4!$G$6, Person4!$F$6+ROW(A16)-1, "")</f>
        <v/>
      </c>
      <c r="AI18" s="1" t="str">
        <f>IF(Person4!$F$7+ROW(A16)-1&lt;=Person4!$G$7, Person4!$F$7+ROW(A16)-1, "")</f>
        <v/>
      </c>
    </row>
    <row r="19" spans="1:35" x14ac:dyDescent="0.3">
      <c r="A19" s="1" t="str">
        <f>IF(Person4!$B$3+ROW(A17)-1&lt;=Person4!$C$3, Person4!$B$3+ROW(A17)-1, "")</f>
        <v/>
      </c>
      <c r="B19" s="1" t="str">
        <f>IF(Person4!$B$4+ROW(B17)-1&lt;=Person4!$C$4, Person4!$B$4+ROW(B17)-1, "")</f>
        <v/>
      </c>
      <c r="C19" s="1" t="str">
        <f>IF(Person4!$B$5+ROW(B17)-1&lt;=Person4!$C$5, Person4!$B$5+ROW(B17)-1, "")</f>
        <v/>
      </c>
      <c r="D19" s="1" t="str">
        <f>IF(Person4!$B$6+ROW(B17)-1&lt;=Person4!$C$6, Person4!$B$6+ROW(B17)-1, "")</f>
        <v/>
      </c>
      <c r="E19" s="1" t="str">
        <f>IF(Person4!$B$7+ROW(B17)-1&lt;=Person4!$C$7, Person4!$B$7+ROW(B17)-1, "")</f>
        <v/>
      </c>
      <c r="F19" s="1" t="str">
        <f>IF(Person4!$B$8+ROW(B17)-1&lt;=Person4!$C$8, Person4!$B$8+ROW(B17)-1, "")</f>
        <v/>
      </c>
      <c r="G19" s="1" t="str">
        <f>IF(Person4!$B$9+ROW(B17)-1&lt;=Person4!$C$9, Person4!$B$9+ROW(B17)-1, "")</f>
        <v/>
      </c>
      <c r="H19" s="1" t="str">
        <f>IF(Person4!$B$10+ROW(B17)-1&lt;=Person4!$C$10, Person4!$B$10+ROW(B17)-1, "")</f>
        <v/>
      </c>
      <c r="I19" s="1" t="str">
        <f>IF(Person4!$B$11+ROW(B17)-1&lt;=Person4!$C$11, Person4!$B$11+ROW(B17)-1, "")</f>
        <v/>
      </c>
      <c r="J19" s="1" t="str">
        <f>IF(Person4!$B$12+ROW(B17)-1&lt;=Person4!$C$12, Person4!$B$12+ROW(B17)-1, "")</f>
        <v/>
      </c>
      <c r="K19" s="1" t="str">
        <f>IF(Person4!$B$13+ROW(B17)-1&lt;=Person4!$C$13, Person4!$B$13+ROW(B17)-1, "")</f>
        <v/>
      </c>
      <c r="L19" s="1" t="str">
        <f>IF(Person4!$B$14+ROW(B17)-1&lt;=Person4!$C$14, Person4!$B$14+ROW(B17)-1, "")</f>
        <v/>
      </c>
      <c r="M19" s="1" t="str">
        <f>IF(Person4!$B$15+ROW(B17)-1&lt;=Person4!$C$15, Person4!$B$15+ROW(B17)-1, "")</f>
        <v/>
      </c>
      <c r="N19" s="1" t="str">
        <f>IF(Person4!$B$16+ROW(B17)-1&lt;=Person4!$C$16, Person4!$B$16+ROW(B17)-1, "")</f>
        <v/>
      </c>
      <c r="O19" s="1" t="str">
        <f>IF(Person4!$B$17+ROW(B17)-1&lt;=Person4!$C$17, Person4!$B$17+ROW(B17)-1, "")</f>
        <v/>
      </c>
      <c r="V19" s="1" t="str">
        <f>IF(Person4!$D$3+ROW(A17)-1&lt;=Person4!$E$3, Person4!$D$3+ROW(A17)-1, "")</f>
        <v/>
      </c>
      <c r="W19" s="1" t="str">
        <f>IF(Person4!$D$4+ROW(A17)-1&lt;=Person4!$E$4, Person4!$D$4+ROW(A17)-1, "")</f>
        <v/>
      </c>
      <c r="X19" s="1" t="str">
        <f>IF(Person4!$D$5+ROW(A17)-1&lt;=Person4!$E$5, Person4!$D$5+ROW(A17)-1, "")</f>
        <v/>
      </c>
      <c r="Y19" s="1" t="str">
        <f>IF(Person4!$D$6+ROW(A17)-1&lt;=Person4!$E$6, Person4!$D$6+ROW(A17)-1, "")</f>
        <v/>
      </c>
      <c r="Z19" s="1" t="str">
        <f>IF(Person4!$D$7+ROW(A17)-1&lt;=Person4!$E$7, Person4!$D$7+ROW(A17)-1, "")</f>
        <v/>
      </c>
      <c r="AA19" s="1" t="str">
        <f>IF(Person4!$D$8+ROW(A17)-1&lt;=Person4!$E$8, Person4!$D$8+ROW(A17)-1, "")</f>
        <v/>
      </c>
      <c r="AE19" s="1" t="str">
        <f>IF(Person4!$F$3+ROW(A17)-1&lt;=Person4!$G$3, Person4!$F$3+ROW(A17)-1, "")</f>
        <v/>
      </c>
      <c r="AF19" s="1" t="str">
        <f>IF(Person4!$F$4+ROW(A17)-1&lt;=Person4!$G$4, Person4!$F$4+ROW(A17)-1, "")</f>
        <v/>
      </c>
      <c r="AG19" s="1" t="str">
        <f>IF(Person4!$F$5+ROW(A17)-1&lt;=Person4!$G$5, Person4!$F$5+ROW(A17)-1, "")</f>
        <v/>
      </c>
      <c r="AH19" s="1" t="str">
        <f>IF(Person4!$F$6+ROW(A17)-1&lt;=Person4!$G$6, Person4!$F$6+ROW(A17)-1, "")</f>
        <v/>
      </c>
      <c r="AI19" s="1" t="str">
        <f>IF(Person4!$F$7+ROW(A17)-1&lt;=Person4!$G$7, Person4!$F$7+ROW(A17)-1, "")</f>
        <v/>
      </c>
    </row>
    <row r="20" spans="1:35" x14ac:dyDescent="0.3">
      <c r="A20" s="1" t="str">
        <f>IF(Person4!$B$3+ROW(A18)-1&lt;=Person4!$C$3, Person4!$B$3+ROW(A18)-1, "")</f>
        <v/>
      </c>
      <c r="B20" s="1" t="str">
        <f>IF(Person4!$B$4+ROW(B18)-1&lt;=Person4!$C$4, Person4!$B$4+ROW(B18)-1, "")</f>
        <v/>
      </c>
      <c r="C20" s="1" t="str">
        <f>IF(Person4!$B$5+ROW(B18)-1&lt;=Person4!$C$5, Person4!$B$5+ROW(B18)-1, "")</f>
        <v/>
      </c>
      <c r="D20" s="1" t="str">
        <f>IF(Person4!$B$6+ROW(B18)-1&lt;=Person4!$C$6, Person4!$B$6+ROW(B18)-1, "")</f>
        <v/>
      </c>
      <c r="E20" s="1" t="str">
        <f>IF(Person4!$B$7+ROW(B18)-1&lt;=Person4!$C$7, Person4!$B$7+ROW(B18)-1, "")</f>
        <v/>
      </c>
      <c r="F20" s="1" t="str">
        <f>IF(Person4!$B$8+ROW(B18)-1&lt;=Person4!$C$8, Person4!$B$8+ROW(B18)-1, "")</f>
        <v/>
      </c>
      <c r="G20" s="1" t="str">
        <f>IF(Person4!$B$9+ROW(B18)-1&lt;=Person4!$C$9, Person4!$B$9+ROW(B18)-1, "")</f>
        <v/>
      </c>
      <c r="H20" s="1" t="str">
        <f>IF(Person4!$B$10+ROW(B18)-1&lt;=Person4!$C$10, Person4!$B$10+ROW(B18)-1, "")</f>
        <v/>
      </c>
      <c r="I20" s="1" t="str">
        <f>IF(Person4!$B$11+ROW(B18)-1&lt;=Person4!$C$11, Person4!$B$11+ROW(B18)-1, "")</f>
        <v/>
      </c>
      <c r="J20" s="1" t="str">
        <f>IF(Person4!$B$12+ROW(B18)-1&lt;=Person4!$C$12, Person4!$B$12+ROW(B18)-1, "")</f>
        <v/>
      </c>
      <c r="K20" s="1" t="str">
        <f>IF(Person4!$B$13+ROW(B18)-1&lt;=Person4!$C$13, Person4!$B$13+ROW(B18)-1, "")</f>
        <v/>
      </c>
      <c r="L20" s="1" t="str">
        <f>IF(Person4!$B$14+ROW(B18)-1&lt;=Person4!$C$14, Person4!$B$14+ROW(B18)-1, "")</f>
        <v/>
      </c>
      <c r="M20" s="1" t="str">
        <f>IF(Person4!$B$15+ROW(B18)-1&lt;=Person4!$C$15, Person4!$B$15+ROW(B18)-1, "")</f>
        <v/>
      </c>
      <c r="N20" s="1" t="str">
        <f>IF(Person4!$B$16+ROW(B18)-1&lt;=Person4!$C$16, Person4!$B$16+ROW(B18)-1, "")</f>
        <v/>
      </c>
      <c r="O20" s="1" t="str">
        <f>IF(Person4!$B$17+ROW(B18)-1&lt;=Person4!$C$17, Person4!$B$17+ROW(B18)-1, "")</f>
        <v/>
      </c>
      <c r="V20" s="1" t="str">
        <f>IF(Person4!$D$3+ROW(A18)-1&lt;=Person4!$E$3, Person4!$D$3+ROW(A18)-1, "")</f>
        <v/>
      </c>
      <c r="W20" s="1" t="str">
        <f>IF(Person4!$D$4+ROW(A18)-1&lt;=Person4!$E$4, Person4!$D$4+ROW(A18)-1, "")</f>
        <v/>
      </c>
      <c r="X20" s="1" t="str">
        <f>IF(Person4!$D$5+ROW(A18)-1&lt;=Person4!$E$5, Person4!$D$5+ROW(A18)-1, "")</f>
        <v/>
      </c>
      <c r="Y20" s="1" t="str">
        <f>IF(Person4!$D$6+ROW(A18)-1&lt;=Person4!$E$6, Person4!$D$6+ROW(A18)-1, "")</f>
        <v/>
      </c>
      <c r="Z20" s="1" t="str">
        <f>IF(Person4!$D$7+ROW(A18)-1&lt;=Person4!$E$7, Person4!$D$7+ROW(A18)-1, "")</f>
        <v/>
      </c>
      <c r="AA20" s="1" t="str">
        <f>IF(Person4!$D$8+ROW(A18)-1&lt;=Person4!$E$8, Person4!$D$8+ROW(A18)-1, "")</f>
        <v/>
      </c>
      <c r="AE20" s="1" t="str">
        <f>IF(Person4!$F$3+ROW(A18)-1&lt;=Person4!$G$3, Person4!$F$3+ROW(A18)-1, "")</f>
        <v/>
      </c>
      <c r="AF20" s="1" t="str">
        <f>IF(Person4!$F$4+ROW(A18)-1&lt;=Person4!$G$4, Person4!$F$4+ROW(A18)-1, "")</f>
        <v/>
      </c>
      <c r="AG20" s="1" t="str">
        <f>IF(Person4!$F$5+ROW(A18)-1&lt;=Person4!$G$5, Person4!$F$5+ROW(A18)-1, "")</f>
        <v/>
      </c>
      <c r="AH20" s="1" t="str">
        <f>IF(Person4!$F$6+ROW(A18)-1&lt;=Person4!$G$6, Person4!$F$6+ROW(A18)-1, "")</f>
        <v/>
      </c>
      <c r="AI20" s="1" t="str">
        <f>IF(Person4!$F$7+ROW(A18)-1&lt;=Person4!$G$7, Person4!$F$7+ROW(A18)-1, "")</f>
        <v/>
      </c>
    </row>
    <row r="21" spans="1:35" x14ac:dyDescent="0.3">
      <c r="A21" s="1" t="str">
        <f>IF(Person4!$B$3+ROW(A19)-1&lt;=Person4!$C$3, Person4!$B$3+ROW(A19)-1, "")</f>
        <v/>
      </c>
      <c r="B21" s="1" t="str">
        <f>IF(Person4!$B$4+ROW(B19)-1&lt;=Person4!$C$4, Person4!$B$4+ROW(B19)-1, "")</f>
        <v/>
      </c>
      <c r="C21" s="1" t="str">
        <f>IF(Person4!$B$5+ROW(B19)-1&lt;=Person4!$C$5, Person4!$B$5+ROW(B19)-1, "")</f>
        <v/>
      </c>
      <c r="D21" s="1" t="str">
        <f>IF(Person4!$B$6+ROW(B19)-1&lt;=Person4!$C$6, Person4!$B$6+ROW(B19)-1, "")</f>
        <v/>
      </c>
      <c r="E21" s="1" t="str">
        <f>IF(Person4!$B$7+ROW(B19)-1&lt;=Person4!$C$7, Person4!$B$7+ROW(B19)-1, "")</f>
        <v/>
      </c>
      <c r="F21" s="1" t="str">
        <f>IF(Person4!$B$8+ROW(B19)-1&lt;=Person4!$C$8, Person4!$B$8+ROW(B19)-1, "")</f>
        <v/>
      </c>
      <c r="G21" s="1" t="str">
        <f>IF(Person4!$B$9+ROW(B19)-1&lt;=Person4!$C$9, Person4!$B$9+ROW(B19)-1, "")</f>
        <v/>
      </c>
      <c r="H21" s="1" t="str">
        <f>IF(Person4!$B$10+ROW(B19)-1&lt;=Person4!$C$10, Person4!$B$10+ROW(B19)-1, "")</f>
        <v/>
      </c>
      <c r="I21" s="1" t="str">
        <f>IF(Person4!$B$11+ROW(B19)-1&lt;=Person4!$C$11, Person4!$B$11+ROW(B19)-1, "")</f>
        <v/>
      </c>
      <c r="J21" s="1" t="str">
        <f>IF(Person4!$B$12+ROW(B19)-1&lt;=Person4!$C$12, Person4!$B$12+ROW(B19)-1, "")</f>
        <v/>
      </c>
      <c r="K21" s="1" t="str">
        <f>IF(Person4!$B$13+ROW(B19)-1&lt;=Person4!$C$13, Person4!$B$13+ROW(B19)-1, "")</f>
        <v/>
      </c>
      <c r="L21" s="1" t="str">
        <f>IF(Person4!$B$14+ROW(B19)-1&lt;=Person4!$C$14, Person4!$B$14+ROW(B19)-1, "")</f>
        <v/>
      </c>
      <c r="M21" s="1" t="str">
        <f>IF(Person4!$B$15+ROW(B19)-1&lt;=Person4!$C$15, Person4!$B$15+ROW(B19)-1, "")</f>
        <v/>
      </c>
      <c r="N21" s="1" t="str">
        <f>IF(Person4!$B$16+ROW(B19)-1&lt;=Person4!$C$16, Person4!$B$16+ROW(B19)-1, "")</f>
        <v/>
      </c>
      <c r="O21" s="1" t="str">
        <f>IF(Person4!$B$17+ROW(B19)-1&lt;=Person4!$C$17, Person4!$B$17+ROW(B19)-1, "")</f>
        <v/>
      </c>
      <c r="V21" s="1" t="str">
        <f>IF(Person4!$D$3+ROW(A19)-1&lt;=Person4!$E$3, Person4!$D$3+ROW(A19)-1, "")</f>
        <v/>
      </c>
      <c r="W21" s="1" t="str">
        <f>IF(Person4!$D$4+ROW(A19)-1&lt;=Person4!$E$4, Person4!$D$4+ROW(A19)-1, "")</f>
        <v/>
      </c>
      <c r="X21" s="1" t="str">
        <f>IF(Person4!$D$5+ROW(A19)-1&lt;=Person4!$E$5, Person4!$D$5+ROW(A19)-1, "")</f>
        <v/>
      </c>
      <c r="Y21" s="1" t="str">
        <f>IF(Person4!$D$6+ROW(A19)-1&lt;=Person4!$E$6, Person4!$D$6+ROW(A19)-1, "")</f>
        <v/>
      </c>
      <c r="Z21" s="1" t="str">
        <f>IF(Person4!$D$7+ROW(A19)-1&lt;=Person4!$E$7, Person4!$D$7+ROW(A19)-1, "")</f>
        <v/>
      </c>
      <c r="AA21" s="1" t="str">
        <f>IF(Person4!$D$8+ROW(A19)-1&lt;=Person4!$E$8, Person4!$D$8+ROW(A19)-1, "")</f>
        <v/>
      </c>
      <c r="AE21" s="1" t="str">
        <f>IF(Person4!$F$3+ROW(A19)-1&lt;=Person4!$G$3, Person4!$F$3+ROW(A19)-1, "")</f>
        <v/>
      </c>
      <c r="AF21" s="1" t="str">
        <f>IF(Person4!$F$4+ROW(A19)-1&lt;=Person4!$G$4, Person4!$F$4+ROW(A19)-1, "")</f>
        <v/>
      </c>
      <c r="AG21" s="1" t="str">
        <f>IF(Person4!$F$5+ROW(A19)-1&lt;=Person4!$G$5, Person4!$F$5+ROW(A19)-1, "")</f>
        <v/>
      </c>
      <c r="AH21" s="1" t="str">
        <f>IF(Person4!$F$6+ROW(A19)-1&lt;=Person4!$G$6, Person4!$F$6+ROW(A19)-1, "")</f>
        <v/>
      </c>
      <c r="AI21" s="1" t="str">
        <f>IF(Person4!$F$7+ROW(A19)-1&lt;=Person4!$G$7, Person4!$F$7+ROW(A19)-1, "")</f>
        <v/>
      </c>
    </row>
    <row r="22" spans="1:35" x14ac:dyDescent="0.3">
      <c r="A22" s="1" t="str">
        <f>IF(Person4!$B$3+ROW(A20)-1&lt;=Person4!$C$3, Person4!$B$3+ROW(A20)-1, "")</f>
        <v/>
      </c>
      <c r="B22" s="1" t="str">
        <f>IF(Person4!$B$4+ROW(B20)-1&lt;=Person4!$C$4, Person4!$B$4+ROW(B20)-1, "")</f>
        <v/>
      </c>
      <c r="C22" s="1" t="str">
        <f>IF(Person4!$B$5+ROW(B20)-1&lt;=Person4!$C$5, Person4!$B$5+ROW(B20)-1, "")</f>
        <v/>
      </c>
      <c r="D22" s="1" t="str">
        <f>IF(Person4!$B$6+ROW(B20)-1&lt;=Person4!$C$6, Person4!$B$6+ROW(B20)-1, "")</f>
        <v/>
      </c>
      <c r="E22" s="1" t="str">
        <f>IF(Person4!$B$7+ROW(B20)-1&lt;=Person4!$C$7, Person4!$B$7+ROW(B20)-1, "")</f>
        <v/>
      </c>
      <c r="F22" s="1" t="str">
        <f>IF(Person4!$B$8+ROW(B20)-1&lt;=Person4!$C$8, Person4!$B$8+ROW(B20)-1, "")</f>
        <v/>
      </c>
      <c r="G22" s="1" t="str">
        <f>IF(Person4!$B$9+ROW(B20)-1&lt;=Person4!$C$9, Person4!$B$9+ROW(B20)-1, "")</f>
        <v/>
      </c>
      <c r="H22" s="1" t="str">
        <f>IF(Person4!$B$10+ROW(B20)-1&lt;=Person4!$C$10, Person4!$B$10+ROW(B20)-1, "")</f>
        <v/>
      </c>
      <c r="I22" s="1" t="str">
        <f>IF(Person4!$B$11+ROW(B20)-1&lt;=Person4!$C$11, Person4!$B$11+ROW(B20)-1, "")</f>
        <v/>
      </c>
      <c r="J22" s="1" t="str">
        <f>IF(Person4!$B$12+ROW(B20)-1&lt;=Person4!$C$12, Person4!$B$12+ROW(B20)-1, "")</f>
        <v/>
      </c>
      <c r="K22" s="1" t="str">
        <f>IF(Person4!$B$13+ROW(B20)-1&lt;=Person4!$C$13, Person4!$B$13+ROW(B20)-1, "")</f>
        <v/>
      </c>
      <c r="L22" s="1" t="str">
        <f>IF(Person4!$B$14+ROW(B20)-1&lt;=Person4!$C$14, Person4!$B$14+ROW(B20)-1, "")</f>
        <v/>
      </c>
      <c r="M22" s="1" t="str">
        <f>IF(Person4!$B$15+ROW(B20)-1&lt;=Person4!$C$15, Person4!$B$15+ROW(B20)-1, "")</f>
        <v/>
      </c>
      <c r="N22" s="1" t="str">
        <f>IF(Person4!$B$16+ROW(B20)-1&lt;=Person4!$C$16, Person4!$B$16+ROW(B20)-1, "")</f>
        <v/>
      </c>
      <c r="O22" s="1" t="str">
        <f>IF(Person4!$B$17+ROW(B20)-1&lt;=Person4!$C$17, Person4!$B$17+ROW(B20)-1, "")</f>
        <v/>
      </c>
      <c r="V22" s="1" t="str">
        <f>IF(Person4!$D$3+ROW(A20)-1&lt;=Person4!$E$3, Person4!$D$3+ROW(A20)-1, "")</f>
        <v/>
      </c>
      <c r="W22" s="1" t="str">
        <f>IF(Person4!$D$4+ROW(A20)-1&lt;=Person4!$E$4, Person4!$D$4+ROW(A20)-1, "")</f>
        <v/>
      </c>
      <c r="X22" s="1" t="str">
        <f>IF(Person4!$D$5+ROW(A20)-1&lt;=Person4!$E$5, Person4!$D$5+ROW(A20)-1, "")</f>
        <v/>
      </c>
      <c r="Y22" s="1" t="str">
        <f>IF(Person4!$D$6+ROW(A20)-1&lt;=Person4!$E$6, Person4!$D$6+ROW(A20)-1, "")</f>
        <v/>
      </c>
      <c r="Z22" s="1" t="str">
        <f>IF(Person4!$D$7+ROW(A20)-1&lt;=Person4!$E$7, Person4!$D$7+ROW(A20)-1, "")</f>
        <v/>
      </c>
      <c r="AA22" s="1" t="str">
        <f>IF(Person4!$D$8+ROW(A20)-1&lt;=Person4!$E$8, Person4!$D$8+ROW(A20)-1, "")</f>
        <v/>
      </c>
      <c r="AE22" s="1" t="str">
        <f>IF(Person4!$F$3+ROW(A20)-1&lt;=Person4!$G$3, Person4!$F$3+ROW(A20)-1, "")</f>
        <v/>
      </c>
      <c r="AF22" s="1" t="str">
        <f>IF(Person4!$F$4+ROW(A20)-1&lt;=Person4!$G$4, Person4!$F$4+ROW(A20)-1, "")</f>
        <v/>
      </c>
      <c r="AG22" s="1" t="str">
        <f>IF(Person4!$F$5+ROW(A20)-1&lt;=Person4!$G$5, Person4!$F$5+ROW(A20)-1, "")</f>
        <v/>
      </c>
      <c r="AH22" s="1" t="str">
        <f>IF(Person4!$F$6+ROW(A20)-1&lt;=Person4!$G$6, Person4!$F$6+ROW(A20)-1, "")</f>
        <v/>
      </c>
      <c r="AI22" s="1" t="str">
        <f>IF(Person4!$F$7+ROW(A20)-1&lt;=Person4!$G$7, Person4!$F$7+ROW(A20)-1, "")</f>
        <v/>
      </c>
    </row>
    <row r="23" spans="1:35" x14ac:dyDescent="0.3">
      <c r="A23" s="1" t="str">
        <f>IF(Person4!$B$3+ROW(A21)-1&lt;=Person4!$C$3, Person4!$B$3+ROW(A21)-1, "")</f>
        <v/>
      </c>
      <c r="B23" s="1" t="str">
        <f>IF(Person4!$B$4+ROW(B21)-1&lt;=Person4!$C$4, Person4!$B$4+ROW(B21)-1, "")</f>
        <v/>
      </c>
      <c r="C23" s="1" t="str">
        <f>IF(Person4!$B$5+ROW(B21)-1&lt;=Person4!$C$5, Person4!$B$5+ROW(B21)-1, "")</f>
        <v/>
      </c>
      <c r="D23" s="1" t="str">
        <f>IF(Person4!$B$6+ROW(B21)-1&lt;=Person4!$C$6, Person4!$B$6+ROW(B21)-1, "")</f>
        <v/>
      </c>
      <c r="E23" s="1" t="str">
        <f>IF(Person4!$B$7+ROW(B21)-1&lt;=Person4!$C$7, Person4!$B$7+ROW(B21)-1, "")</f>
        <v/>
      </c>
      <c r="F23" s="1" t="str">
        <f>IF(Person4!$B$8+ROW(B21)-1&lt;=Person4!$C$8, Person4!$B$8+ROW(B21)-1, "")</f>
        <v/>
      </c>
      <c r="G23" s="1" t="str">
        <f>IF(Person4!$B$9+ROW(B21)-1&lt;=Person4!$C$9, Person4!$B$9+ROW(B21)-1, "")</f>
        <v/>
      </c>
      <c r="H23" s="1" t="str">
        <f>IF(Person4!$B$10+ROW(B21)-1&lt;=Person4!$C$10, Person4!$B$10+ROW(B21)-1, "")</f>
        <v/>
      </c>
      <c r="I23" s="1" t="str">
        <f>IF(Person4!$B$11+ROW(B21)-1&lt;=Person4!$C$11, Person4!$B$11+ROW(B21)-1, "")</f>
        <v/>
      </c>
      <c r="J23" s="1" t="str">
        <f>IF(Person4!$B$12+ROW(B21)-1&lt;=Person4!$C$12, Person4!$B$12+ROW(B21)-1, "")</f>
        <v/>
      </c>
      <c r="K23" s="1" t="str">
        <f>IF(Person4!$B$13+ROW(B21)-1&lt;=Person4!$C$13, Person4!$B$13+ROW(B21)-1, "")</f>
        <v/>
      </c>
      <c r="L23" s="1" t="str">
        <f>IF(Person4!$B$14+ROW(B21)-1&lt;=Person4!$C$14, Person4!$B$14+ROW(B21)-1, "")</f>
        <v/>
      </c>
      <c r="M23" s="1" t="str">
        <f>IF(Person4!$B$15+ROW(B21)-1&lt;=Person4!$C$15, Person4!$B$15+ROW(B21)-1, "")</f>
        <v/>
      </c>
      <c r="N23" s="1" t="str">
        <f>IF(Person4!$B$16+ROW(B21)-1&lt;=Person4!$C$16, Person4!$B$16+ROW(B21)-1, "")</f>
        <v/>
      </c>
      <c r="O23" s="1" t="str">
        <f>IF(Person4!$B$17+ROW(B21)-1&lt;=Person4!$C$17, Person4!$B$17+ROW(B21)-1, "")</f>
        <v/>
      </c>
      <c r="V23" s="1" t="str">
        <f>IF(Person4!$D$3+ROW(A21)-1&lt;=Person4!$E$3, Person4!$D$3+ROW(A21)-1, "")</f>
        <v/>
      </c>
      <c r="W23" s="1" t="str">
        <f>IF(Person4!$D$4+ROW(A21)-1&lt;=Person4!$E$4, Person4!$D$4+ROW(A21)-1, "")</f>
        <v/>
      </c>
      <c r="X23" s="1" t="str">
        <f>IF(Person4!$D$5+ROW(A21)-1&lt;=Person4!$E$5, Person4!$D$5+ROW(A21)-1, "")</f>
        <v/>
      </c>
      <c r="Y23" s="1" t="str">
        <f>IF(Person4!$D$6+ROW(A21)-1&lt;=Person4!$E$6, Person4!$D$6+ROW(A21)-1, "")</f>
        <v/>
      </c>
      <c r="Z23" s="1" t="str">
        <f>IF(Person4!$D$7+ROW(A21)-1&lt;=Person4!$E$7, Person4!$D$7+ROW(A21)-1, "")</f>
        <v/>
      </c>
      <c r="AA23" s="1" t="str">
        <f>IF(Person4!$D$8+ROW(A21)-1&lt;=Person4!$E$8, Person4!$D$8+ROW(A21)-1, "")</f>
        <v/>
      </c>
      <c r="AE23" s="1" t="str">
        <f>IF(Person4!$F$3+ROW(A21)-1&lt;=Person4!$G$3, Person4!$F$3+ROW(A21)-1, "")</f>
        <v/>
      </c>
      <c r="AF23" s="1" t="str">
        <f>IF(Person4!$F$4+ROW(A21)-1&lt;=Person4!$G$4, Person4!$F$4+ROW(A21)-1, "")</f>
        <v/>
      </c>
      <c r="AG23" s="1" t="str">
        <f>IF(Person4!$F$5+ROW(A21)-1&lt;=Person4!$G$5, Person4!$F$5+ROW(A21)-1, "")</f>
        <v/>
      </c>
      <c r="AH23" s="1" t="str">
        <f>IF(Person4!$F$6+ROW(A21)-1&lt;=Person4!$G$6, Person4!$F$6+ROW(A21)-1, "")</f>
        <v/>
      </c>
      <c r="AI23" s="1" t="str">
        <f>IF(Person4!$F$7+ROW(A21)-1&lt;=Person4!$G$7, Person4!$F$7+ROW(A21)-1, "")</f>
        <v/>
      </c>
    </row>
    <row r="24" spans="1:35" x14ac:dyDescent="0.3">
      <c r="A24" s="1" t="str">
        <f>IF(Person4!$B$3+ROW(A22)-1&lt;=Person4!$C$3, Person4!$B$3+ROW(A22)-1, "")</f>
        <v/>
      </c>
      <c r="B24" s="1" t="str">
        <f>IF(Person4!$B$4+ROW(B22)-1&lt;=Person4!$C$4, Person4!$B$4+ROW(B22)-1, "")</f>
        <v/>
      </c>
      <c r="C24" s="1" t="str">
        <f>IF(Person4!$B$5+ROW(B22)-1&lt;=Person4!$C$5, Person4!$B$5+ROW(B22)-1, "")</f>
        <v/>
      </c>
      <c r="D24" s="1" t="str">
        <f>IF(Person4!$B$6+ROW(B22)-1&lt;=Person4!$C$6, Person4!$B$6+ROW(B22)-1, "")</f>
        <v/>
      </c>
      <c r="E24" s="1" t="str">
        <f>IF(Person4!$B$7+ROW(B22)-1&lt;=Person4!$C$7, Person4!$B$7+ROW(B22)-1, "")</f>
        <v/>
      </c>
      <c r="F24" s="1" t="str">
        <f>IF(Person4!$B$8+ROW(B22)-1&lt;=Person4!$C$8, Person4!$B$8+ROW(B22)-1, "")</f>
        <v/>
      </c>
      <c r="G24" s="1" t="str">
        <f>IF(Person4!$B$9+ROW(B22)-1&lt;=Person4!$C$9, Person4!$B$9+ROW(B22)-1, "")</f>
        <v/>
      </c>
      <c r="H24" s="1" t="str">
        <f>IF(Person4!$B$10+ROW(B22)-1&lt;=Person4!$C$10, Person4!$B$10+ROW(B22)-1, "")</f>
        <v/>
      </c>
      <c r="I24" s="1" t="str">
        <f>IF(Person4!$B$11+ROW(B22)-1&lt;=Person4!$C$11, Person4!$B$11+ROW(B22)-1, "")</f>
        <v/>
      </c>
      <c r="J24" s="1" t="str">
        <f>IF(Person4!$B$12+ROW(B22)-1&lt;=Person4!$C$12, Person4!$B$12+ROW(B22)-1, "")</f>
        <v/>
      </c>
      <c r="K24" s="1" t="str">
        <f>IF(Person4!$B$13+ROW(B22)-1&lt;=Person4!$C$13, Person4!$B$13+ROW(B22)-1, "")</f>
        <v/>
      </c>
      <c r="L24" s="1" t="str">
        <f>IF(Person4!$B$14+ROW(B22)-1&lt;=Person4!$C$14, Person4!$B$14+ROW(B22)-1, "")</f>
        <v/>
      </c>
      <c r="M24" s="1" t="str">
        <f>IF(Person4!$B$15+ROW(B22)-1&lt;=Person4!$C$15, Person4!$B$15+ROW(B22)-1, "")</f>
        <v/>
      </c>
      <c r="N24" s="1" t="str">
        <f>IF(Person4!$B$16+ROW(B22)-1&lt;=Person4!$C$16, Person4!$B$16+ROW(B22)-1, "")</f>
        <v/>
      </c>
      <c r="O24" s="1" t="str">
        <f>IF(Person4!$B$17+ROW(B22)-1&lt;=Person4!$C$17, Person4!$B$17+ROW(B22)-1, "")</f>
        <v/>
      </c>
      <c r="V24" s="1" t="str">
        <f>IF(Person4!$D$3+ROW(A22)-1&lt;=Person4!$E$3, Person4!$D$3+ROW(A22)-1, "")</f>
        <v/>
      </c>
      <c r="W24" s="1" t="str">
        <f>IF(Person4!$D$4+ROW(A22)-1&lt;=Person4!$E$4, Person4!$D$4+ROW(A22)-1, "")</f>
        <v/>
      </c>
      <c r="X24" s="1" t="str">
        <f>IF(Person4!$D$5+ROW(A22)-1&lt;=Person4!$E$5, Person4!$D$5+ROW(A22)-1, "")</f>
        <v/>
      </c>
      <c r="Y24" s="1" t="str">
        <f>IF(Person4!$D$6+ROW(A22)-1&lt;=Person4!$E$6, Person4!$D$6+ROW(A22)-1, "")</f>
        <v/>
      </c>
      <c r="Z24" s="1" t="str">
        <f>IF(Person4!$D$7+ROW(A22)-1&lt;=Person4!$E$7, Person4!$D$7+ROW(A22)-1, "")</f>
        <v/>
      </c>
      <c r="AA24" s="1" t="str">
        <f>IF(Person4!$D$8+ROW(A22)-1&lt;=Person4!$E$8, Person4!$D$8+ROW(A22)-1, "")</f>
        <v/>
      </c>
      <c r="AE24" s="1" t="str">
        <f>IF(Person4!$F$3+ROW(A22)-1&lt;=Person4!$G$3, Person4!$F$3+ROW(A22)-1, "")</f>
        <v/>
      </c>
      <c r="AF24" s="1" t="str">
        <f>IF(Person4!$F$4+ROW(A22)-1&lt;=Person4!$G$4, Person4!$F$4+ROW(A22)-1, "")</f>
        <v/>
      </c>
      <c r="AG24" s="1" t="str">
        <f>IF(Person4!$F$5+ROW(A22)-1&lt;=Person4!$G$5, Person4!$F$5+ROW(A22)-1, "")</f>
        <v/>
      </c>
      <c r="AH24" s="1" t="str">
        <f>IF(Person4!$F$6+ROW(A22)-1&lt;=Person4!$G$6, Person4!$F$6+ROW(A22)-1, "")</f>
        <v/>
      </c>
      <c r="AI24" s="1" t="str">
        <f>IF(Person4!$F$7+ROW(A22)-1&lt;=Person4!$G$7, Person4!$F$7+ROW(A22)-1, "")</f>
        <v/>
      </c>
    </row>
    <row r="25" spans="1:35" x14ac:dyDescent="0.3">
      <c r="A25" s="1" t="str">
        <f>IF(Person4!$B$3+ROW(A23)-1&lt;=Person4!$C$3, Person4!$B$3+ROW(A23)-1, "")</f>
        <v/>
      </c>
      <c r="B25" s="1" t="str">
        <f>IF(Person4!$B$4+ROW(B23)-1&lt;=Person4!$C$4, Person4!$B$4+ROW(B23)-1, "")</f>
        <v/>
      </c>
      <c r="C25" s="1" t="str">
        <f>IF(Person4!$B$5+ROW(B23)-1&lt;=Person4!$C$5, Person4!$B$5+ROW(B23)-1, "")</f>
        <v/>
      </c>
      <c r="D25" s="1" t="str">
        <f>IF(Person4!$B$6+ROW(B23)-1&lt;=Person4!$C$6, Person4!$B$6+ROW(B23)-1, "")</f>
        <v/>
      </c>
      <c r="E25" s="1" t="str">
        <f>IF(Person4!$B$7+ROW(B23)-1&lt;=Person4!$C$7, Person4!$B$7+ROW(B23)-1, "")</f>
        <v/>
      </c>
      <c r="F25" s="1" t="str">
        <f>IF(Person4!$B$8+ROW(B23)-1&lt;=Person4!$C$8, Person4!$B$8+ROW(B23)-1, "")</f>
        <v/>
      </c>
      <c r="G25" s="1" t="str">
        <f>IF(Person4!$B$9+ROW(B23)-1&lt;=Person4!$C$9, Person4!$B$9+ROW(B23)-1, "")</f>
        <v/>
      </c>
      <c r="H25" s="1" t="str">
        <f>IF(Person4!$B$10+ROW(B23)-1&lt;=Person4!$C$10, Person4!$B$10+ROW(B23)-1, "")</f>
        <v/>
      </c>
      <c r="I25" s="1" t="str">
        <f>IF(Person4!$B$11+ROW(B23)-1&lt;=Person4!$C$11, Person4!$B$11+ROW(B23)-1, "")</f>
        <v/>
      </c>
      <c r="J25" s="1" t="str">
        <f>IF(Person4!$B$12+ROW(B23)-1&lt;=Person4!$C$12, Person4!$B$12+ROW(B23)-1, "")</f>
        <v/>
      </c>
      <c r="K25" s="1" t="str">
        <f>IF(Person4!$B$13+ROW(B23)-1&lt;=Person4!$C$13, Person4!$B$13+ROW(B23)-1, "")</f>
        <v/>
      </c>
      <c r="L25" s="1" t="str">
        <f>IF(Person4!$B$14+ROW(B23)-1&lt;=Person4!$C$14, Person4!$B$14+ROW(B23)-1, "")</f>
        <v/>
      </c>
      <c r="M25" s="1" t="str">
        <f>IF(Person4!$B$15+ROW(B23)-1&lt;=Person4!$C$15, Person4!$B$15+ROW(B23)-1, "")</f>
        <v/>
      </c>
      <c r="N25" s="1" t="str">
        <f>IF(Person4!$B$16+ROW(B23)-1&lt;=Person4!$C$16, Person4!$B$16+ROW(B23)-1, "")</f>
        <v/>
      </c>
      <c r="O25" s="1" t="str">
        <f>IF(Person4!$B$17+ROW(B23)-1&lt;=Person4!$C$17, Person4!$B$17+ROW(B23)-1, "")</f>
        <v/>
      </c>
      <c r="V25" s="1" t="str">
        <f>IF(Person4!$D$3+ROW(A23)-1&lt;=Person4!$E$3, Person4!$D$3+ROW(A23)-1, "")</f>
        <v/>
      </c>
      <c r="W25" s="1" t="str">
        <f>IF(Person4!$D$4+ROW(A23)-1&lt;=Person4!$E$4, Person4!$D$4+ROW(A23)-1, "")</f>
        <v/>
      </c>
      <c r="X25" s="1" t="str">
        <f>IF(Person4!$D$5+ROW(A23)-1&lt;=Person4!$E$5, Person4!$D$5+ROW(A23)-1, "")</f>
        <v/>
      </c>
      <c r="Y25" s="1" t="str">
        <f>IF(Person4!$D$6+ROW(A23)-1&lt;=Person4!$E$6, Person4!$D$6+ROW(A23)-1, "")</f>
        <v/>
      </c>
      <c r="Z25" s="1" t="str">
        <f>IF(Person4!$D$7+ROW(A23)-1&lt;=Person4!$E$7, Person4!$D$7+ROW(A23)-1, "")</f>
        <v/>
      </c>
      <c r="AA25" s="1" t="str">
        <f>IF(Person4!$D$8+ROW(A23)-1&lt;=Person4!$E$8, Person4!$D$8+ROW(A23)-1, "")</f>
        <v/>
      </c>
      <c r="AE25" s="1" t="str">
        <f>IF(Person4!$F$3+ROW(A23)-1&lt;=Person4!$G$3, Person4!$F$3+ROW(A23)-1, "")</f>
        <v/>
      </c>
      <c r="AF25" s="1" t="str">
        <f>IF(Person4!$F$4+ROW(A23)-1&lt;=Person4!$G$4, Person4!$F$4+ROW(A23)-1, "")</f>
        <v/>
      </c>
      <c r="AG25" s="1" t="str">
        <f>IF(Person4!$F$5+ROW(A23)-1&lt;=Person4!$G$5, Person4!$F$5+ROW(A23)-1, "")</f>
        <v/>
      </c>
      <c r="AH25" s="1" t="str">
        <f>IF(Person4!$F$6+ROW(A23)-1&lt;=Person4!$G$6, Person4!$F$6+ROW(A23)-1, "")</f>
        <v/>
      </c>
      <c r="AI25" s="1" t="str">
        <f>IF(Person4!$F$7+ROW(A23)-1&lt;=Person4!$G$7, Person4!$F$7+ROW(A23)-1, "")</f>
        <v/>
      </c>
    </row>
    <row r="26" spans="1:35" x14ac:dyDescent="0.3">
      <c r="A26" s="1" t="str">
        <f>IF(Person4!$B$3+ROW(A24)-1&lt;=Person4!$C$3, Person4!$B$3+ROW(A24)-1, "")</f>
        <v/>
      </c>
      <c r="B26" s="1" t="str">
        <f>IF(Person4!$B$4+ROW(B24)-1&lt;=Person4!$C$4, Person4!$B$4+ROW(B24)-1, "")</f>
        <v/>
      </c>
      <c r="C26" s="1" t="str">
        <f>IF(Person4!$B$5+ROW(B24)-1&lt;=Person4!$C$5, Person4!$B$5+ROW(B24)-1, "")</f>
        <v/>
      </c>
      <c r="D26" s="1" t="str">
        <f>IF(Person4!$B$6+ROW(B24)-1&lt;=Person4!$C$6, Person4!$B$6+ROW(B24)-1, "")</f>
        <v/>
      </c>
      <c r="E26" s="1" t="str">
        <f>IF(Person4!$B$7+ROW(B24)-1&lt;=Person4!$C$7, Person4!$B$7+ROW(B24)-1, "")</f>
        <v/>
      </c>
      <c r="F26" s="1" t="str">
        <f>IF(Person4!$B$8+ROW(B24)-1&lt;=Person4!$C$8, Person4!$B$8+ROW(B24)-1, "")</f>
        <v/>
      </c>
      <c r="G26" s="1" t="str">
        <f>IF(Person4!$B$9+ROW(B24)-1&lt;=Person4!$C$9, Person4!$B$9+ROW(B24)-1, "")</f>
        <v/>
      </c>
      <c r="H26" s="1" t="str">
        <f>IF(Person4!$B$10+ROW(B24)-1&lt;=Person4!$C$10, Person4!$B$10+ROW(B24)-1, "")</f>
        <v/>
      </c>
      <c r="I26" s="1" t="str">
        <f>IF(Person4!$B$11+ROW(B24)-1&lt;=Person4!$C$11, Person4!$B$11+ROW(B24)-1, "")</f>
        <v/>
      </c>
      <c r="J26" s="1" t="str">
        <f>IF(Person4!$B$12+ROW(B24)-1&lt;=Person4!$C$12, Person4!$B$12+ROW(B24)-1, "")</f>
        <v/>
      </c>
      <c r="K26" s="1" t="str">
        <f>IF(Person4!$B$13+ROW(B24)-1&lt;=Person4!$C$13, Person4!$B$13+ROW(B24)-1, "")</f>
        <v/>
      </c>
      <c r="L26" s="1" t="str">
        <f>IF(Person4!$B$14+ROW(B24)-1&lt;=Person4!$C$14, Person4!$B$14+ROW(B24)-1, "")</f>
        <v/>
      </c>
      <c r="M26" s="1" t="str">
        <f>IF(Person4!$B$15+ROW(B24)-1&lt;=Person4!$C$15, Person4!$B$15+ROW(B24)-1, "")</f>
        <v/>
      </c>
      <c r="N26" s="1" t="str">
        <f>IF(Person4!$B$16+ROW(B24)-1&lt;=Person4!$C$16, Person4!$B$16+ROW(B24)-1, "")</f>
        <v/>
      </c>
      <c r="O26" s="1" t="str">
        <f>IF(Person4!$B$17+ROW(B24)-1&lt;=Person4!$C$17, Person4!$B$17+ROW(B24)-1, "")</f>
        <v/>
      </c>
      <c r="V26" s="1" t="str">
        <f>IF(Person4!$D$3+ROW(A24)-1&lt;=Person4!$E$3, Person4!$D$3+ROW(A24)-1, "")</f>
        <v/>
      </c>
      <c r="W26" s="1" t="str">
        <f>IF(Person4!$D$4+ROW(A24)-1&lt;=Person4!$E$4, Person4!$D$4+ROW(A24)-1, "")</f>
        <v/>
      </c>
      <c r="X26" s="1" t="str">
        <f>IF(Person4!$D$5+ROW(A24)-1&lt;=Person4!$E$5, Person4!$D$5+ROW(A24)-1, "")</f>
        <v/>
      </c>
      <c r="Y26" s="1" t="str">
        <f>IF(Person4!$D$6+ROW(A24)-1&lt;=Person4!$E$6, Person4!$D$6+ROW(A24)-1, "")</f>
        <v/>
      </c>
      <c r="Z26" s="1" t="str">
        <f>IF(Person4!$D$7+ROW(A24)-1&lt;=Person4!$E$7, Person4!$D$7+ROW(A24)-1, "")</f>
        <v/>
      </c>
      <c r="AA26" s="1" t="str">
        <f>IF(Person4!$D$8+ROW(A24)-1&lt;=Person4!$E$8, Person4!$D$8+ROW(A24)-1, "")</f>
        <v/>
      </c>
      <c r="AE26" s="1" t="str">
        <f>IF(Person4!$F$3+ROW(A24)-1&lt;=Person4!$G$3, Person4!$F$3+ROW(A24)-1, "")</f>
        <v/>
      </c>
      <c r="AF26" s="1" t="str">
        <f>IF(Person4!$F$4+ROW(A24)-1&lt;=Person4!$G$4, Person4!$F$4+ROW(A24)-1, "")</f>
        <v/>
      </c>
      <c r="AG26" s="1" t="str">
        <f>IF(Person4!$F$5+ROW(A24)-1&lt;=Person4!$G$5, Person4!$F$5+ROW(A24)-1, "")</f>
        <v/>
      </c>
      <c r="AH26" s="1" t="str">
        <f>IF(Person4!$F$6+ROW(A24)-1&lt;=Person4!$G$6, Person4!$F$6+ROW(A24)-1, "")</f>
        <v/>
      </c>
      <c r="AI26" s="1" t="str">
        <f>IF(Person4!$F$7+ROW(A24)-1&lt;=Person4!$G$7, Person4!$F$7+ROW(A24)-1, "")</f>
        <v/>
      </c>
    </row>
    <row r="27" spans="1:35" x14ac:dyDescent="0.3">
      <c r="A27" s="1" t="str">
        <f>IF(Person4!$B$3+ROW(A25)-1&lt;=Person4!$C$3, Person4!$B$3+ROW(A25)-1, "")</f>
        <v/>
      </c>
      <c r="B27" s="1" t="str">
        <f>IF(Person4!$B$4+ROW(B25)-1&lt;=Person4!$C$4, Person4!$B$4+ROW(B25)-1, "")</f>
        <v/>
      </c>
      <c r="C27" s="1" t="str">
        <f>IF(Person4!$B$5+ROW(B25)-1&lt;=Person4!$C$5, Person4!$B$5+ROW(B25)-1, "")</f>
        <v/>
      </c>
      <c r="D27" s="1" t="str">
        <f>IF(Person4!$B$6+ROW(B25)-1&lt;=Person4!$C$6, Person4!$B$6+ROW(B25)-1, "")</f>
        <v/>
      </c>
      <c r="E27" s="1" t="str">
        <f>IF(Person4!$B$7+ROW(B25)-1&lt;=Person4!$C$7, Person4!$B$7+ROW(B25)-1, "")</f>
        <v/>
      </c>
      <c r="F27" s="1" t="str">
        <f>IF(Person4!$B$8+ROW(B25)-1&lt;=Person4!$C$8, Person4!$B$8+ROW(B25)-1, "")</f>
        <v/>
      </c>
      <c r="G27" s="1" t="str">
        <f>IF(Person4!$B$9+ROW(B25)-1&lt;=Person4!$C$9, Person4!$B$9+ROW(B25)-1, "")</f>
        <v/>
      </c>
      <c r="H27" s="1" t="str">
        <f>IF(Person4!$B$10+ROW(B25)-1&lt;=Person4!$C$10, Person4!$B$10+ROW(B25)-1, "")</f>
        <v/>
      </c>
      <c r="I27" s="1" t="str">
        <f>IF(Person4!$B$11+ROW(B25)-1&lt;=Person4!$C$11, Person4!$B$11+ROW(B25)-1, "")</f>
        <v/>
      </c>
      <c r="J27" s="1" t="str">
        <f>IF(Person4!$B$12+ROW(B25)-1&lt;=Person4!$C$12, Person4!$B$12+ROW(B25)-1, "")</f>
        <v/>
      </c>
      <c r="K27" s="1" t="str">
        <f>IF(Person4!$B$13+ROW(B25)-1&lt;=Person4!$C$13, Person4!$B$13+ROW(B25)-1, "")</f>
        <v/>
      </c>
      <c r="L27" s="1" t="str">
        <f>IF(Person4!$B$14+ROW(B25)-1&lt;=Person4!$C$14, Person4!$B$14+ROW(B25)-1, "")</f>
        <v/>
      </c>
      <c r="M27" s="1" t="str">
        <f>IF(Person4!$B$15+ROW(B25)-1&lt;=Person4!$C$15, Person4!$B$15+ROW(B25)-1, "")</f>
        <v/>
      </c>
      <c r="N27" s="1" t="str">
        <f>IF(Person4!$B$16+ROW(B25)-1&lt;=Person4!$C$16, Person4!$B$16+ROW(B25)-1, "")</f>
        <v/>
      </c>
      <c r="O27" s="1" t="str">
        <f>IF(Person4!$B$17+ROW(B25)-1&lt;=Person4!$C$17, Person4!$B$17+ROW(B25)-1, "")</f>
        <v/>
      </c>
      <c r="V27" s="1" t="str">
        <f>IF(Person4!$D$3+ROW(A25)-1&lt;=Person4!$E$3, Person4!$D$3+ROW(A25)-1, "")</f>
        <v/>
      </c>
      <c r="W27" s="1" t="str">
        <f>IF(Person4!$D$4+ROW(A25)-1&lt;=Person4!$E$4, Person4!$D$4+ROW(A25)-1, "")</f>
        <v/>
      </c>
      <c r="X27" s="1" t="str">
        <f>IF(Person4!$D$5+ROW(A25)-1&lt;=Person4!$E$5, Person4!$D$5+ROW(A25)-1, "")</f>
        <v/>
      </c>
      <c r="Y27" s="1" t="str">
        <f>IF(Person4!$D$6+ROW(A25)-1&lt;=Person4!$E$6, Person4!$D$6+ROW(A25)-1, "")</f>
        <v/>
      </c>
      <c r="Z27" s="1" t="str">
        <f>IF(Person4!$D$7+ROW(A25)-1&lt;=Person4!$E$7, Person4!$D$7+ROW(A25)-1, "")</f>
        <v/>
      </c>
      <c r="AA27" s="1" t="str">
        <f>IF(Person4!$D$8+ROW(A25)-1&lt;=Person4!$E$8, Person4!$D$8+ROW(A25)-1, "")</f>
        <v/>
      </c>
      <c r="AE27" s="1" t="str">
        <f>IF(Person4!$F$3+ROW(A25)-1&lt;=Person4!$G$3, Person4!$F$3+ROW(A25)-1, "")</f>
        <v/>
      </c>
      <c r="AF27" s="1" t="str">
        <f>IF(Person4!$F$4+ROW(A25)-1&lt;=Person4!$G$4, Person4!$F$4+ROW(A25)-1, "")</f>
        <v/>
      </c>
      <c r="AG27" s="1" t="str">
        <f>IF(Person4!$F$5+ROW(A25)-1&lt;=Person4!$G$5, Person4!$F$5+ROW(A25)-1, "")</f>
        <v/>
      </c>
      <c r="AH27" s="1" t="str">
        <f>IF(Person4!$F$6+ROW(A25)-1&lt;=Person4!$G$6, Person4!$F$6+ROW(A25)-1, "")</f>
        <v/>
      </c>
      <c r="AI27" s="1" t="str">
        <f>IF(Person4!$F$7+ROW(A25)-1&lt;=Person4!$G$7, Person4!$F$7+ROW(A25)-1, "")</f>
        <v/>
      </c>
    </row>
    <row r="28" spans="1:35" x14ac:dyDescent="0.3">
      <c r="A28" s="1" t="str">
        <f>IF(Person4!$B$3+ROW(A26)-1&lt;=Person4!$C$3, Person4!$B$3+ROW(A26)-1, "")</f>
        <v/>
      </c>
      <c r="B28" s="1" t="str">
        <f>IF(Person4!$B$4+ROW(B26)-1&lt;=Person4!$C$4, Person4!$B$4+ROW(B26)-1, "")</f>
        <v/>
      </c>
      <c r="C28" s="1" t="str">
        <f>IF(Person4!$B$5+ROW(B26)-1&lt;=Person4!$C$5, Person4!$B$5+ROW(B26)-1, "")</f>
        <v/>
      </c>
      <c r="D28" s="1" t="str">
        <f>IF(Person4!$B$6+ROW(B26)-1&lt;=Person4!$C$6, Person4!$B$6+ROW(B26)-1, "")</f>
        <v/>
      </c>
      <c r="E28" s="1" t="str">
        <f>IF(Person4!$B$7+ROW(B26)-1&lt;=Person4!$C$7, Person4!$B$7+ROW(B26)-1, "")</f>
        <v/>
      </c>
      <c r="F28" s="1" t="str">
        <f>IF(Person4!$B$8+ROW(B26)-1&lt;=Person4!$C$8, Person4!$B$8+ROW(B26)-1, "")</f>
        <v/>
      </c>
      <c r="G28" s="1" t="str">
        <f>IF(Person4!$B$9+ROW(B26)-1&lt;=Person4!$C$9, Person4!$B$9+ROW(B26)-1, "")</f>
        <v/>
      </c>
      <c r="H28" s="1" t="str">
        <f>IF(Person4!$B$10+ROW(B26)-1&lt;=Person4!$C$10, Person4!$B$10+ROW(B26)-1, "")</f>
        <v/>
      </c>
      <c r="I28" s="1" t="str">
        <f>IF(Person4!$B$11+ROW(B26)-1&lt;=Person4!$C$11, Person4!$B$11+ROW(B26)-1, "")</f>
        <v/>
      </c>
      <c r="J28" s="1" t="str">
        <f>IF(Person4!$B$12+ROW(B26)-1&lt;=Person4!$C$12, Person4!$B$12+ROW(B26)-1, "")</f>
        <v/>
      </c>
      <c r="K28" s="1" t="str">
        <f>IF(Person4!$B$13+ROW(B26)-1&lt;=Person4!$C$13, Person4!$B$13+ROW(B26)-1, "")</f>
        <v/>
      </c>
      <c r="L28" s="1" t="str">
        <f>IF(Person4!$B$14+ROW(B26)-1&lt;=Person4!$C$14, Person4!$B$14+ROW(B26)-1, "")</f>
        <v/>
      </c>
      <c r="M28" s="1" t="str">
        <f>IF(Person4!$B$15+ROW(B26)-1&lt;=Person4!$C$15, Person4!$B$15+ROW(B26)-1, "")</f>
        <v/>
      </c>
      <c r="N28" s="1" t="str">
        <f>IF(Person4!$B$16+ROW(B26)-1&lt;=Person4!$C$16, Person4!$B$16+ROW(B26)-1, "")</f>
        <v/>
      </c>
      <c r="O28" s="1" t="str">
        <f>IF(Person4!$B$17+ROW(B26)-1&lt;=Person4!$C$17, Person4!$B$17+ROW(B26)-1, "")</f>
        <v/>
      </c>
      <c r="V28" s="1" t="str">
        <f>IF(Person4!$D$3+ROW(A26)-1&lt;=Person4!$E$3, Person4!$D$3+ROW(A26)-1, "")</f>
        <v/>
      </c>
      <c r="W28" s="1" t="str">
        <f>IF(Person4!$D$4+ROW(A26)-1&lt;=Person4!$E$4, Person4!$D$4+ROW(A26)-1, "")</f>
        <v/>
      </c>
      <c r="X28" s="1" t="str">
        <f>IF(Person4!$D$5+ROW(A26)-1&lt;=Person4!$E$5, Person4!$D$5+ROW(A26)-1, "")</f>
        <v/>
      </c>
      <c r="Y28" s="1" t="str">
        <f>IF(Person4!$D$6+ROW(A26)-1&lt;=Person4!$E$6, Person4!$D$6+ROW(A26)-1, "")</f>
        <v/>
      </c>
      <c r="Z28" s="1" t="str">
        <f>IF(Person4!$D$7+ROW(A26)-1&lt;=Person4!$E$7, Person4!$D$7+ROW(A26)-1, "")</f>
        <v/>
      </c>
      <c r="AA28" s="1" t="str">
        <f>IF(Person4!$D$8+ROW(A26)-1&lt;=Person4!$E$8, Person4!$D$8+ROW(A26)-1, "")</f>
        <v/>
      </c>
      <c r="AE28" s="1" t="str">
        <f>IF(Person4!$F$3+ROW(A26)-1&lt;=Person4!$G$3, Person4!$F$3+ROW(A26)-1, "")</f>
        <v/>
      </c>
      <c r="AF28" s="1" t="str">
        <f>IF(Person4!$F$4+ROW(A26)-1&lt;=Person4!$G$4, Person4!$F$4+ROW(A26)-1, "")</f>
        <v/>
      </c>
      <c r="AG28" s="1" t="str">
        <f>IF(Person4!$F$5+ROW(A26)-1&lt;=Person4!$G$5, Person4!$F$5+ROW(A26)-1, "")</f>
        <v/>
      </c>
      <c r="AH28" s="1" t="str">
        <f>IF(Person4!$F$6+ROW(A26)-1&lt;=Person4!$G$6, Person4!$F$6+ROW(A26)-1, "")</f>
        <v/>
      </c>
      <c r="AI28" s="1" t="str">
        <f>IF(Person4!$F$7+ROW(A26)-1&lt;=Person4!$G$7, Person4!$F$7+ROW(A26)-1, "")</f>
        <v/>
      </c>
    </row>
    <row r="29" spans="1:35" x14ac:dyDescent="0.3">
      <c r="A29" s="1" t="str">
        <f>IF(Person4!$B$3+ROW(A27)-1&lt;=Person4!$C$3, Person4!$B$3+ROW(A27)-1, "")</f>
        <v/>
      </c>
      <c r="B29" s="1" t="str">
        <f>IF(Person4!$B$4+ROW(B27)-1&lt;=Person4!$C$4, Person4!$B$4+ROW(B27)-1, "")</f>
        <v/>
      </c>
      <c r="C29" s="1" t="str">
        <f>IF(Person4!$B$5+ROW(B27)-1&lt;=Person4!$C$5, Person4!$B$5+ROW(B27)-1, "")</f>
        <v/>
      </c>
      <c r="D29" s="1" t="str">
        <f>IF(Person4!$B$6+ROW(B27)-1&lt;=Person4!$C$6, Person4!$B$6+ROW(B27)-1, "")</f>
        <v/>
      </c>
      <c r="E29" s="1" t="str">
        <f>IF(Person4!$B$7+ROW(B27)-1&lt;=Person4!$C$7, Person4!$B$7+ROW(B27)-1, "")</f>
        <v/>
      </c>
      <c r="F29" s="1" t="str">
        <f>IF(Person4!$B$8+ROW(B27)-1&lt;=Person4!$C$8, Person4!$B$8+ROW(B27)-1, "")</f>
        <v/>
      </c>
      <c r="G29" s="1" t="str">
        <f>IF(Person4!$B$9+ROW(B27)-1&lt;=Person4!$C$9, Person4!$B$9+ROW(B27)-1, "")</f>
        <v/>
      </c>
      <c r="H29" s="1" t="str">
        <f>IF(Person4!$B$10+ROW(B27)-1&lt;=Person4!$C$10, Person4!$B$10+ROW(B27)-1, "")</f>
        <v/>
      </c>
      <c r="I29" s="1" t="str">
        <f>IF(Person4!$B$11+ROW(B27)-1&lt;=Person4!$C$11, Person4!$B$11+ROW(B27)-1, "")</f>
        <v/>
      </c>
      <c r="J29" s="1" t="str">
        <f>IF(Person4!$B$12+ROW(B27)-1&lt;=Person4!$C$12, Person4!$B$12+ROW(B27)-1, "")</f>
        <v/>
      </c>
      <c r="K29" s="1" t="str">
        <f>IF(Person4!$B$13+ROW(B27)-1&lt;=Person4!$C$13, Person4!$B$13+ROW(B27)-1, "")</f>
        <v/>
      </c>
      <c r="L29" s="1" t="str">
        <f>IF(Person4!$B$14+ROW(B27)-1&lt;=Person4!$C$14, Person4!$B$14+ROW(B27)-1, "")</f>
        <v/>
      </c>
      <c r="M29" s="1" t="str">
        <f>IF(Person4!$B$15+ROW(B27)-1&lt;=Person4!$C$15, Person4!$B$15+ROW(B27)-1, "")</f>
        <v/>
      </c>
      <c r="N29" s="1" t="str">
        <f>IF(Person4!$B$16+ROW(B27)-1&lt;=Person4!$C$16, Person4!$B$16+ROW(B27)-1, "")</f>
        <v/>
      </c>
      <c r="O29" s="1" t="str">
        <f>IF(Person4!$B$17+ROW(B27)-1&lt;=Person4!$C$17, Person4!$B$17+ROW(B27)-1, "")</f>
        <v/>
      </c>
      <c r="V29" s="1" t="str">
        <f>IF(Person4!$D$3+ROW(A27)-1&lt;=Person4!$E$3, Person4!$D$3+ROW(A27)-1, "")</f>
        <v/>
      </c>
      <c r="W29" s="1" t="str">
        <f>IF(Person4!$D$4+ROW(A27)-1&lt;=Person4!$E$4, Person4!$D$4+ROW(A27)-1, "")</f>
        <v/>
      </c>
      <c r="X29" s="1" t="str">
        <f>IF(Person4!$D$5+ROW(A27)-1&lt;=Person4!$E$5, Person4!$D$5+ROW(A27)-1, "")</f>
        <v/>
      </c>
      <c r="Y29" s="1" t="str">
        <f>IF(Person4!$D$6+ROW(A27)-1&lt;=Person4!$E$6, Person4!$D$6+ROW(A27)-1, "")</f>
        <v/>
      </c>
      <c r="Z29" s="1" t="str">
        <f>IF(Person4!$D$7+ROW(A27)-1&lt;=Person4!$E$7, Person4!$D$7+ROW(A27)-1, "")</f>
        <v/>
      </c>
      <c r="AA29" s="1" t="str">
        <f>IF(Person4!$D$8+ROW(A27)-1&lt;=Person4!$E$8, Person4!$D$8+ROW(A27)-1, "")</f>
        <v/>
      </c>
      <c r="AE29" s="1" t="str">
        <f>IF(Person4!$F$3+ROW(A27)-1&lt;=Person4!$G$3, Person4!$F$3+ROW(A27)-1, "")</f>
        <v/>
      </c>
      <c r="AF29" s="1" t="str">
        <f>IF(Person4!$F$4+ROW(A27)-1&lt;=Person4!$G$4, Person4!$F$4+ROW(A27)-1, "")</f>
        <v/>
      </c>
      <c r="AG29" s="1" t="str">
        <f>IF(Person4!$F$5+ROW(A27)-1&lt;=Person4!$G$5, Person4!$F$5+ROW(A27)-1, "")</f>
        <v/>
      </c>
      <c r="AH29" s="1" t="str">
        <f>IF(Person4!$F$6+ROW(A27)-1&lt;=Person4!$G$6, Person4!$F$6+ROW(A27)-1, "")</f>
        <v/>
      </c>
      <c r="AI29" s="1" t="str">
        <f>IF(Person4!$F$7+ROW(A27)-1&lt;=Person4!$G$7, Person4!$F$7+ROW(A27)-1, "")</f>
        <v/>
      </c>
    </row>
    <row r="30" spans="1:35" x14ac:dyDescent="0.3">
      <c r="A30" s="1" t="str">
        <f>IF(Person4!$B$3+ROW(A28)-1&lt;=Person4!$C$3, Person4!$B$3+ROW(A28)-1, "")</f>
        <v/>
      </c>
      <c r="B30" s="1" t="str">
        <f>IF(Person4!$B$4+ROW(B28)-1&lt;=Person4!$C$4, Person4!$B$4+ROW(B28)-1, "")</f>
        <v/>
      </c>
      <c r="C30" s="1" t="str">
        <f>IF(Person4!$B$5+ROW(B28)-1&lt;=Person4!$C$5, Person4!$B$5+ROW(B28)-1, "")</f>
        <v/>
      </c>
      <c r="D30" s="1" t="str">
        <f>IF(Person4!$B$6+ROW(B28)-1&lt;=Person4!$C$6, Person4!$B$6+ROW(B28)-1, "")</f>
        <v/>
      </c>
      <c r="E30" s="1" t="str">
        <f>IF(Person4!$B$7+ROW(B28)-1&lt;=Person4!$C$7, Person4!$B$7+ROW(B28)-1, "")</f>
        <v/>
      </c>
      <c r="F30" s="1" t="str">
        <f>IF(Person4!$B$8+ROW(B28)-1&lt;=Person4!$C$8, Person4!$B$8+ROW(B28)-1, "")</f>
        <v/>
      </c>
      <c r="G30" s="1" t="str">
        <f>IF(Person4!$B$9+ROW(B28)-1&lt;=Person4!$C$9, Person4!$B$9+ROW(B28)-1, "")</f>
        <v/>
      </c>
      <c r="H30" s="1" t="str">
        <f>IF(Person4!$B$10+ROW(B28)-1&lt;=Person4!$C$10, Person4!$B$10+ROW(B28)-1, "")</f>
        <v/>
      </c>
      <c r="I30" s="1" t="str">
        <f>IF(Person4!$B$11+ROW(B28)-1&lt;=Person4!$C$11, Person4!$B$11+ROW(B28)-1, "")</f>
        <v/>
      </c>
      <c r="J30" s="1" t="str">
        <f>IF(Person4!$B$12+ROW(B28)-1&lt;=Person4!$C$12, Person4!$B$12+ROW(B28)-1, "")</f>
        <v/>
      </c>
      <c r="K30" s="1" t="str">
        <f>IF(Person4!$B$13+ROW(B28)-1&lt;=Person4!$C$13, Person4!$B$13+ROW(B28)-1, "")</f>
        <v/>
      </c>
      <c r="L30" s="1" t="str">
        <f>IF(Person4!$B$14+ROW(B28)-1&lt;=Person4!$C$14, Person4!$B$14+ROW(B28)-1, "")</f>
        <v/>
      </c>
      <c r="M30" s="1" t="str">
        <f>IF(Person4!$B$15+ROW(B28)-1&lt;=Person4!$C$15, Person4!$B$15+ROW(B28)-1, "")</f>
        <v/>
      </c>
      <c r="N30" s="1" t="str">
        <f>IF(Person4!$B$16+ROW(B28)-1&lt;=Person4!$C$16, Person4!$B$16+ROW(B28)-1, "")</f>
        <v/>
      </c>
      <c r="O30" s="1" t="str">
        <f>IF(Person4!$B$17+ROW(B28)-1&lt;=Person4!$C$17, Person4!$B$17+ROW(B28)-1, "")</f>
        <v/>
      </c>
      <c r="V30" s="1" t="str">
        <f>IF(Person4!$D$3+ROW(A28)-1&lt;=Person4!$E$3, Person4!$D$3+ROW(A28)-1, "")</f>
        <v/>
      </c>
      <c r="W30" s="1" t="str">
        <f>IF(Person4!$D$4+ROW(A28)-1&lt;=Person4!$E$4, Person4!$D$4+ROW(A28)-1, "")</f>
        <v/>
      </c>
      <c r="X30" s="1" t="str">
        <f>IF(Person4!$D$5+ROW(A28)-1&lt;=Person4!$E$5, Person4!$D$5+ROW(A28)-1, "")</f>
        <v/>
      </c>
      <c r="Y30" s="1" t="str">
        <f>IF(Person4!$D$6+ROW(A28)-1&lt;=Person4!$E$6, Person4!$D$6+ROW(A28)-1, "")</f>
        <v/>
      </c>
      <c r="Z30" s="1" t="str">
        <f>IF(Person4!$D$7+ROW(A28)-1&lt;=Person4!$E$7, Person4!$D$7+ROW(A28)-1, "")</f>
        <v/>
      </c>
      <c r="AA30" s="1" t="str">
        <f>IF(Person4!$D$8+ROW(A28)-1&lt;=Person4!$E$8, Person4!$D$8+ROW(A28)-1, "")</f>
        <v/>
      </c>
      <c r="AE30" s="1" t="str">
        <f>IF(Person4!$F$3+ROW(A28)-1&lt;=Person4!$G$3, Person4!$F$3+ROW(A28)-1, "")</f>
        <v/>
      </c>
      <c r="AF30" s="1" t="str">
        <f>IF(Person4!$F$4+ROW(A28)-1&lt;=Person4!$G$4, Person4!$F$4+ROW(A28)-1, "")</f>
        <v/>
      </c>
      <c r="AG30" s="1" t="str">
        <f>IF(Person4!$F$5+ROW(A28)-1&lt;=Person4!$G$5, Person4!$F$5+ROW(A28)-1, "")</f>
        <v/>
      </c>
      <c r="AH30" s="1" t="str">
        <f>IF(Person4!$F$6+ROW(A28)-1&lt;=Person4!$G$6, Person4!$F$6+ROW(A28)-1, "")</f>
        <v/>
      </c>
      <c r="AI30" s="1" t="str">
        <f>IF(Person4!$F$7+ROW(A28)-1&lt;=Person4!$G$7, Person4!$F$7+ROW(A28)-1, "")</f>
        <v/>
      </c>
    </row>
    <row r="31" spans="1:35" x14ac:dyDescent="0.3">
      <c r="A31" s="1" t="str">
        <f>IF(Person4!$B$3+ROW(A29)-1&lt;=Person4!$C$3, Person4!$B$3+ROW(A29)-1, "")</f>
        <v/>
      </c>
      <c r="B31" s="1" t="str">
        <f>IF(Person4!$B$4+ROW(B29)-1&lt;=Person4!$C$4, Person4!$B$4+ROW(B29)-1, "")</f>
        <v/>
      </c>
      <c r="C31" s="1" t="str">
        <f>IF(Person4!$B$5+ROW(B29)-1&lt;=Person4!$C$5, Person4!$B$5+ROW(B29)-1, "")</f>
        <v/>
      </c>
      <c r="D31" s="1" t="str">
        <f>IF(Person4!$B$6+ROW(B29)-1&lt;=Person4!$C$6, Person4!$B$6+ROW(B29)-1, "")</f>
        <v/>
      </c>
      <c r="E31" s="1" t="str">
        <f>IF(Person4!$B$7+ROW(B29)-1&lt;=Person4!$C$7, Person4!$B$7+ROW(B29)-1, "")</f>
        <v/>
      </c>
      <c r="F31" s="1" t="str">
        <f>IF(Person4!$B$8+ROW(B29)-1&lt;=Person4!$C$8, Person4!$B$8+ROW(B29)-1, "")</f>
        <v/>
      </c>
      <c r="G31" s="1" t="str">
        <f>IF(Person4!$B$9+ROW(B29)-1&lt;=Person4!$C$9, Person4!$B$9+ROW(B29)-1, "")</f>
        <v/>
      </c>
      <c r="H31" s="1" t="str">
        <f>IF(Person4!$B$10+ROW(B29)-1&lt;=Person4!$C$10, Person4!$B$10+ROW(B29)-1, "")</f>
        <v/>
      </c>
      <c r="I31" s="1" t="str">
        <f>IF(Person4!$B$11+ROW(B29)-1&lt;=Person4!$C$11, Person4!$B$11+ROW(B29)-1, "")</f>
        <v/>
      </c>
      <c r="J31" s="1" t="str">
        <f>IF(Person4!$B$12+ROW(B29)-1&lt;=Person4!$C$12, Person4!$B$12+ROW(B29)-1, "")</f>
        <v/>
      </c>
      <c r="K31" s="1" t="str">
        <f>IF(Person4!$B$13+ROW(B29)-1&lt;=Person4!$C$13, Person4!$B$13+ROW(B29)-1, "")</f>
        <v/>
      </c>
      <c r="L31" s="1" t="str">
        <f>IF(Person4!$B$14+ROW(B29)-1&lt;=Person4!$C$14, Person4!$B$14+ROW(B29)-1, "")</f>
        <v/>
      </c>
      <c r="M31" s="1" t="str">
        <f>IF(Person4!$B$15+ROW(B29)-1&lt;=Person4!$C$15, Person4!$B$15+ROW(B29)-1, "")</f>
        <v/>
      </c>
      <c r="N31" s="1" t="str">
        <f>IF(Person4!$B$16+ROW(B29)-1&lt;=Person4!$C$16, Person4!$B$16+ROW(B29)-1, "")</f>
        <v/>
      </c>
      <c r="O31" s="1" t="str">
        <f>IF(Person4!$B$17+ROW(B29)-1&lt;=Person4!$C$17, Person4!$B$17+ROW(B29)-1, "")</f>
        <v/>
      </c>
      <c r="V31" s="1" t="str">
        <f>IF(Person4!$D$3+ROW(A29)-1&lt;=Person4!$E$3, Person4!$D$3+ROW(A29)-1, "")</f>
        <v/>
      </c>
      <c r="W31" s="1" t="str">
        <f>IF(Person4!$D$4+ROW(A29)-1&lt;=Person4!$E$4, Person4!$D$4+ROW(A29)-1, "")</f>
        <v/>
      </c>
      <c r="X31" s="1" t="str">
        <f>IF(Person4!$D$5+ROW(A29)-1&lt;=Person4!$E$5, Person4!$D$5+ROW(A29)-1, "")</f>
        <v/>
      </c>
      <c r="Y31" s="1" t="str">
        <f>IF(Person4!$D$6+ROW(A29)-1&lt;=Person4!$E$6, Person4!$D$6+ROW(A29)-1, "")</f>
        <v/>
      </c>
      <c r="Z31" s="1" t="str">
        <f>IF(Person4!$D$7+ROW(A29)-1&lt;=Person4!$E$7, Person4!$D$7+ROW(A29)-1, "")</f>
        <v/>
      </c>
      <c r="AA31" s="1" t="str">
        <f>IF(Person4!$D$8+ROW(A29)-1&lt;=Person4!$E$8, Person4!$D$8+ROW(A29)-1, "")</f>
        <v/>
      </c>
      <c r="AE31" s="1" t="str">
        <f>IF(Person4!$F$3+ROW(A29)-1&lt;=Person4!$G$3, Person4!$F$3+ROW(A29)-1, "")</f>
        <v/>
      </c>
      <c r="AF31" s="1" t="str">
        <f>IF(Person4!$F$4+ROW(A29)-1&lt;=Person4!$G$4, Person4!$F$4+ROW(A29)-1, "")</f>
        <v/>
      </c>
      <c r="AG31" s="1" t="str">
        <f>IF(Person4!$F$5+ROW(A29)-1&lt;=Person4!$G$5, Person4!$F$5+ROW(A29)-1, "")</f>
        <v/>
      </c>
      <c r="AH31" s="1" t="str">
        <f>IF(Person4!$F$6+ROW(A29)-1&lt;=Person4!$G$6, Person4!$F$6+ROW(A29)-1, "")</f>
        <v/>
      </c>
      <c r="AI31" s="1" t="str">
        <f>IF(Person4!$F$7+ROW(A29)-1&lt;=Person4!$G$7, Person4!$F$7+ROW(A29)-1, "")</f>
        <v/>
      </c>
    </row>
    <row r="32" spans="1:35" x14ac:dyDescent="0.3">
      <c r="A32" s="1" t="str">
        <f>IF(Person4!$B$3+ROW(A30)-1&lt;=Person4!$C$3, Person4!$B$3+ROW(A30)-1, "")</f>
        <v/>
      </c>
      <c r="B32" s="1" t="str">
        <f>IF(Person4!$B$4+ROW(B30)-1&lt;=Person4!$C$4, Person4!$B$4+ROW(B30)-1, "")</f>
        <v/>
      </c>
      <c r="C32" s="1" t="str">
        <f>IF(Person4!$B$5+ROW(B30)-1&lt;=Person4!$C$5, Person4!$B$5+ROW(B30)-1, "")</f>
        <v/>
      </c>
      <c r="D32" s="1" t="str">
        <f>IF(Person4!$B$6+ROW(B30)-1&lt;=Person4!$C$6, Person4!$B$6+ROW(B30)-1, "")</f>
        <v/>
      </c>
      <c r="E32" s="1" t="str">
        <f>IF(Person4!$B$7+ROW(B30)-1&lt;=Person4!$C$7, Person4!$B$7+ROW(B30)-1, "")</f>
        <v/>
      </c>
      <c r="F32" s="1" t="str">
        <f>IF(Person4!$B$8+ROW(B30)-1&lt;=Person4!$C$8, Person4!$B$8+ROW(B30)-1, "")</f>
        <v/>
      </c>
      <c r="G32" s="1" t="str">
        <f>IF(Person4!$B$9+ROW(B30)-1&lt;=Person4!$C$9, Person4!$B$9+ROW(B30)-1, "")</f>
        <v/>
      </c>
      <c r="H32" s="1" t="str">
        <f>IF(Person4!$B$10+ROW(B30)-1&lt;=Person4!$C$10, Person4!$B$10+ROW(B30)-1, "")</f>
        <v/>
      </c>
      <c r="I32" s="1" t="str">
        <f>IF(Person4!$B$11+ROW(B30)-1&lt;=Person4!$C$11, Person4!$B$11+ROW(B30)-1, "")</f>
        <v/>
      </c>
      <c r="J32" s="1" t="str">
        <f>IF(Person4!$B$12+ROW(B30)-1&lt;=Person4!$C$12, Person4!$B$12+ROW(B30)-1, "")</f>
        <v/>
      </c>
      <c r="K32" s="1" t="str">
        <f>IF(Person4!$B$13+ROW(B30)-1&lt;=Person4!$C$13, Person4!$B$13+ROW(B30)-1, "")</f>
        <v/>
      </c>
      <c r="L32" s="1" t="str">
        <f>IF(Person4!$B$14+ROW(B30)-1&lt;=Person4!$C$14, Person4!$B$14+ROW(B30)-1, "")</f>
        <v/>
      </c>
      <c r="M32" s="1" t="str">
        <f>IF(Person4!$B$15+ROW(B30)-1&lt;=Person4!$C$15, Person4!$B$15+ROW(B30)-1, "")</f>
        <v/>
      </c>
      <c r="N32" s="1" t="str">
        <f>IF(Person4!$B$16+ROW(B30)-1&lt;=Person4!$C$16, Person4!$B$16+ROW(B30)-1, "")</f>
        <v/>
      </c>
      <c r="O32" s="1" t="str">
        <f>IF(Person4!$B$17+ROW(B30)-1&lt;=Person4!$C$17, Person4!$B$17+ROW(B30)-1, "")</f>
        <v/>
      </c>
      <c r="V32" s="1" t="str">
        <f>IF(Person4!$D$3+ROW(A30)-1&lt;=Person4!$E$3, Person4!$D$3+ROW(A30)-1, "")</f>
        <v/>
      </c>
      <c r="W32" s="1" t="str">
        <f>IF(Person4!$D$4+ROW(A30)-1&lt;=Person4!$E$4, Person4!$D$4+ROW(A30)-1, "")</f>
        <v/>
      </c>
      <c r="X32" s="1" t="str">
        <f>IF(Person4!$D$5+ROW(A30)-1&lt;=Person4!$E$5, Person4!$D$5+ROW(A30)-1, "")</f>
        <v/>
      </c>
      <c r="Y32" s="1" t="str">
        <f>IF(Person4!$D$6+ROW(A30)-1&lt;=Person4!$E$6, Person4!$D$6+ROW(A30)-1, "")</f>
        <v/>
      </c>
      <c r="Z32" s="1" t="str">
        <f>IF(Person4!$D$7+ROW(A30)-1&lt;=Person4!$E$7, Person4!$D$7+ROW(A30)-1, "")</f>
        <v/>
      </c>
      <c r="AA32" s="1" t="str">
        <f>IF(Person4!$D$8+ROW(A30)-1&lt;=Person4!$E$8, Person4!$D$8+ROW(A30)-1, "")</f>
        <v/>
      </c>
      <c r="AE32" s="1" t="str">
        <f>IF(Person4!$F$3+ROW(A30)-1&lt;=Person4!$G$3, Person4!$F$3+ROW(A30)-1, "")</f>
        <v/>
      </c>
      <c r="AF32" s="1" t="str">
        <f>IF(Person4!$F$4+ROW(A30)-1&lt;=Person4!$G$4, Person4!$F$4+ROW(A30)-1, "")</f>
        <v/>
      </c>
      <c r="AG32" s="1" t="str">
        <f>IF(Person4!$F$5+ROW(A30)-1&lt;=Person4!$G$5, Person4!$F$5+ROW(A30)-1, "")</f>
        <v/>
      </c>
      <c r="AH32" s="1" t="str">
        <f>IF(Person4!$F$6+ROW(A30)-1&lt;=Person4!$G$6, Person4!$F$6+ROW(A30)-1, "")</f>
        <v/>
      </c>
      <c r="AI32" s="1" t="str">
        <f>IF(Person4!$F$7+ROW(A30)-1&lt;=Person4!$G$7, Person4!$F$7+ROW(A30)-1, "")</f>
        <v/>
      </c>
    </row>
    <row r="33" spans="1:35" x14ac:dyDescent="0.3">
      <c r="A33" s="1" t="str">
        <f>IF(Person4!$B$3+ROW(A31)-1&lt;=Person4!$C$3, Person4!$B$3+ROW(A31)-1, "")</f>
        <v/>
      </c>
      <c r="B33" s="1" t="str">
        <f>IF(Person4!$B$4+ROW(B31)-1&lt;=Person4!$C$4, Person4!$B$4+ROW(B31)-1, "")</f>
        <v/>
      </c>
      <c r="C33" s="1" t="str">
        <f>IF(Person4!$B$5+ROW(B31)-1&lt;=Person4!$C$5, Person4!$B$5+ROW(B31)-1, "")</f>
        <v/>
      </c>
      <c r="D33" s="1" t="str">
        <f>IF(Person4!$B$6+ROW(B31)-1&lt;=Person4!$C$6, Person4!$B$6+ROW(B31)-1, "")</f>
        <v/>
      </c>
      <c r="E33" s="1" t="str">
        <f>IF(Person4!$B$7+ROW(B31)-1&lt;=Person4!$C$7, Person4!$B$7+ROW(B31)-1, "")</f>
        <v/>
      </c>
      <c r="F33" s="1" t="str">
        <f>IF(Person4!$B$8+ROW(B31)-1&lt;=Person4!$C$8, Person4!$B$8+ROW(B31)-1, "")</f>
        <v/>
      </c>
      <c r="G33" s="1" t="str">
        <f>IF(Person4!$B$9+ROW(B31)-1&lt;=Person4!$C$9, Person4!$B$9+ROW(B31)-1, "")</f>
        <v/>
      </c>
      <c r="H33" s="1" t="str">
        <f>IF(Person4!$B$10+ROW(B31)-1&lt;=Person4!$C$10, Person4!$B$10+ROW(B31)-1, "")</f>
        <v/>
      </c>
      <c r="I33" s="1" t="str">
        <f>IF(Person4!$B$11+ROW(B31)-1&lt;=Person4!$C$11, Person4!$B$11+ROW(B31)-1, "")</f>
        <v/>
      </c>
      <c r="J33" s="1" t="str">
        <f>IF(Person4!$B$12+ROW(B31)-1&lt;=Person4!$C$12, Person4!$B$12+ROW(B31)-1, "")</f>
        <v/>
      </c>
      <c r="K33" s="1" t="str">
        <f>IF(Person4!$B$13+ROW(B31)-1&lt;=Person4!$C$13, Person4!$B$13+ROW(B31)-1, "")</f>
        <v/>
      </c>
      <c r="L33" s="1" t="str">
        <f>IF(Person4!$B$14+ROW(B31)-1&lt;=Person4!$C$14, Person4!$B$14+ROW(B31)-1, "")</f>
        <v/>
      </c>
      <c r="M33" s="1" t="str">
        <f>IF(Person4!$B$15+ROW(B31)-1&lt;=Person4!$C$15, Person4!$B$15+ROW(B31)-1, "")</f>
        <v/>
      </c>
      <c r="N33" s="1" t="str">
        <f>IF(Person4!$B$16+ROW(B31)-1&lt;=Person4!$C$16, Person4!$B$16+ROW(B31)-1, "")</f>
        <v/>
      </c>
      <c r="O33" s="1" t="str">
        <f>IF(Person4!$B$17+ROW(B31)-1&lt;=Person4!$C$17, Person4!$B$17+ROW(B31)-1, "")</f>
        <v/>
      </c>
      <c r="V33" s="1" t="str">
        <f>IF(Person4!$D$3+ROW(A31)-1&lt;=Person4!$E$3, Person4!$D$3+ROW(A31)-1, "")</f>
        <v/>
      </c>
      <c r="W33" s="1" t="str">
        <f>IF(Person4!$D$4+ROW(A31)-1&lt;=Person4!$E$4, Person4!$D$4+ROW(A31)-1, "")</f>
        <v/>
      </c>
      <c r="X33" s="1" t="str">
        <f>IF(Person4!$D$5+ROW(A31)-1&lt;=Person4!$E$5, Person4!$D$5+ROW(A31)-1, "")</f>
        <v/>
      </c>
      <c r="Y33" s="1" t="str">
        <f>IF(Person4!$D$6+ROW(A31)-1&lt;=Person4!$E$6, Person4!$D$6+ROW(A31)-1, "")</f>
        <v/>
      </c>
      <c r="Z33" s="1" t="str">
        <f>IF(Person4!$D$7+ROW(A31)-1&lt;=Person4!$E$7, Person4!$D$7+ROW(A31)-1, "")</f>
        <v/>
      </c>
      <c r="AA33" s="1" t="str">
        <f>IF(Person4!$D$8+ROW(A31)-1&lt;=Person4!$E$8, Person4!$D$8+ROW(A31)-1, "")</f>
        <v/>
      </c>
      <c r="AE33" s="1" t="str">
        <f>IF(Person4!$F$3+ROW(A31)-1&lt;=Person4!$G$3, Person4!$F$3+ROW(A31)-1, "")</f>
        <v/>
      </c>
      <c r="AF33" s="1" t="str">
        <f>IF(Person4!$F$4+ROW(A31)-1&lt;=Person4!$G$4, Person4!$F$4+ROW(A31)-1, "")</f>
        <v/>
      </c>
      <c r="AG33" s="1" t="str">
        <f>IF(Person4!$F$5+ROW(A31)-1&lt;=Person4!$G$5, Person4!$F$5+ROW(A31)-1, "")</f>
        <v/>
      </c>
      <c r="AH33" s="1" t="str">
        <f>IF(Person4!$F$6+ROW(A31)-1&lt;=Person4!$G$6, Person4!$F$6+ROW(A31)-1, "")</f>
        <v/>
      </c>
      <c r="AI33" s="1" t="str">
        <f>IF(Person4!$F$7+ROW(A31)-1&lt;=Person4!$G$7, Person4!$F$7+ROW(A31)-1, "")</f>
        <v/>
      </c>
    </row>
    <row r="34" spans="1:35" x14ac:dyDescent="0.3">
      <c r="A34" s="1" t="str">
        <f>IF(Person4!$B$3+ROW(A32)-1&lt;=Person4!$C$3, Person4!$B$3+ROW(A32)-1, "")</f>
        <v/>
      </c>
      <c r="B34" s="1" t="str">
        <f>IF(Person4!$B$4+ROW(B32)-1&lt;=Person4!$C$4, Person4!$B$4+ROW(B32)-1, "")</f>
        <v/>
      </c>
      <c r="C34" s="1" t="str">
        <f>IF(Person4!$B$5+ROW(B32)-1&lt;=Person4!$C$5, Person4!$B$5+ROW(B32)-1, "")</f>
        <v/>
      </c>
      <c r="D34" s="1" t="str">
        <f>IF(Person4!$B$6+ROW(B32)-1&lt;=Person4!$C$6, Person4!$B$6+ROW(B32)-1, "")</f>
        <v/>
      </c>
      <c r="E34" s="1" t="str">
        <f>IF(Person4!$B$7+ROW(B32)-1&lt;=Person4!$C$7, Person4!$B$7+ROW(B32)-1, "")</f>
        <v/>
      </c>
      <c r="F34" s="1" t="str">
        <f>IF(Person4!$B$8+ROW(B32)-1&lt;=Person4!$C$8, Person4!$B$8+ROW(B32)-1, "")</f>
        <v/>
      </c>
      <c r="G34" s="1" t="str">
        <f>IF(Person4!$B$9+ROW(B32)-1&lt;=Person4!$C$9, Person4!$B$9+ROW(B32)-1, "")</f>
        <v/>
      </c>
      <c r="H34" s="1" t="str">
        <f>IF(Person4!$B$10+ROW(B32)-1&lt;=Person4!$C$10, Person4!$B$10+ROW(B32)-1, "")</f>
        <v/>
      </c>
      <c r="I34" s="1" t="str">
        <f>IF(Person4!$B$11+ROW(B32)-1&lt;=Person4!$C$11, Person4!$B$11+ROW(B32)-1, "")</f>
        <v/>
      </c>
      <c r="J34" s="1" t="str">
        <f>IF(Person4!$B$12+ROW(B32)-1&lt;=Person4!$C$12, Person4!$B$12+ROW(B32)-1, "")</f>
        <v/>
      </c>
      <c r="K34" s="1" t="str">
        <f>IF(Person4!$B$13+ROW(B32)-1&lt;=Person4!$C$13, Person4!$B$13+ROW(B32)-1, "")</f>
        <v/>
      </c>
      <c r="L34" s="1" t="str">
        <f>IF(Person4!$B$14+ROW(B32)-1&lt;=Person4!$C$14, Person4!$B$14+ROW(B32)-1, "")</f>
        <v/>
      </c>
      <c r="M34" s="1" t="str">
        <f>IF(Person4!$B$15+ROW(B32)-1&lt;=Person4!$C$15, Person4!$B$15+ROW(B32)-1, "")</f>
        <v/>
      </c>
      <c r="N34" s="1" t="str">
        <f>IF(Person4!$B$16+ROW(B32)-1&lt;=Person4!$C$16, Person4!$B$16+ROW(B32)-1, "")</f>
        <v/>
      </c>
      <c r="O34" s="1" t="str">
        <f>IF(Person4!$B$17+ROW(B32)-1&lt;=Person4!$C$17, Person4!$B$17+ROW(B32)-1, "")</f>
        <v/>
      </c>
      <c r="V34" s="1" t="str">
        <f>IF(Person4!$D$3+ROW(A32)-1&lt;=Person4!$E$3, Person4!$D$3+ROW(A32)-1, "")</f>
        <v/>
      </c>
      <c r="W34" s="1" t="str">
        <f>IF(Person4!$D$4+ROW(A32)-1&lt;=Person4!$E$4, Person4!$D$4+ROW(A32)-1, "")</f>
        <v/>
      </c>
      <c r="X34" s="1" t="str">
        <f>IF(Person4!$D$5+ROW(A32)-1&lt;=Person4!$E$5, Person4!$D$5+ROW(A32)-1, "")</f>
        <v/>
      </c>
      <c r="Y34" s="1" t="str">
        <f>IF(Person4!$D$6+ROW(A32)-1&lt;=Person4!$E$6, Person4!$D$6+ROW(A32)-1, "")</f>
        <v/>
      </c>
      <c r="Z34" s="1" t="str">
        <f>IF(Person4!$D$7+ROW(A32)-1&lt;=Person4!$E$7, Person4!$D$7+ROW(A32)-1, "")</f>
        <v/>
      </c>
      <c r="AA34" s="1" t="str">
        <f>IF(Person4!$D$8+ROW(A32)-1&lt;=Person4!$E$8, Person4!$D$8+ROW(A32)-1, "")</f>
        <v/>
      </c>
      <c r="AE34" s="1" t="str">
        <f>IF(Person4!$F$3+ROW(A32)-1&lt;=Person4!$G$3, Person4!$F$3+ROW(A32)-1, "")</f>
        <v/>
      </c>
      <c r="AF34" s="1" t="str">
        <f>IF(Person4!$F$4+ROW(A32)-1&lt;=Person4!$G$4, Person4!$F$4+ROW(A32)-1, "")</f>
        <v/>
      </c>
      <c r="AG34" s="1" t="str">
        <f>IF(Person4!$F$5+ROW(A32)-1&lt;=Person4!$G$5, Person4!$F$5+ROW(A32)-1, "")</f>
        <v/>
      </c>
      <c r="AH34" s="1" t="str">
        <f>IF(Person4!$F$6+ROW(A32)-1&lt;=Person4!$G$6, Person4!$F$6+ROW(A32)-1, "")</f>
        <v/>
      </c>
      <c r="AI34" s="1" t="str">
        <f>IF(Person4!$F$7+ROW(A32)-1&lt;=Person4!$G$7, Person4!$F$7+ROW(A32)-1, "")</f>
        <v/>
      </c>
    </row>
    <row r="35" spans="1:35" x14ac:dyDescent="0.3">
      <c r="A35" s="1" t="str">
        <f>IF(Person4!$B$3+ROW(A33)-1&lt;=Person4!$C$3, Person4!$B$3+ROW(A33)-1, "")</f>
        <v/>
      </c>
      <c r="B35" s="1" t="str">
        <f>IF(Person4!$B$4+ROW(B33)-1&lt;=Person4!$C$4, Person4!$B$4+ROW(B33)-1, "")</f>
        <v/>
      </c>
      <c r="C35" s="1" t="str">
        <f>IF(Person4!$B$5+ROW(B33)-1&lt;=Person4!$C$5, Person4!$B$5+ROW(B33)-1, "")</f>
        <v/>
      </c>
      <c r="D35" s="1" t="str">
        <f>IF(Person4!$B$6+ROW(B33)-1&lt;=Person4!$C$6, Person4!$B$6+ROW(B33)-1, "")</f>
        <v/>
      </c>
      <c r="E35" s="1" t="str">
        <f>IF(Person4!$B$7+ROW(B33)-1&lt;=Person4!$C$7, Person4!$B$7+ROW(B33)-1, "")</f>
        <v/>
      </c>
      <c r="F35" s="1" t="str">
        <f>IF(Person4!$B$8+ROW(B33)-1&lt;=Person4!$C$8, Person4!$B$8+ROW(B33)-1, "")</f>
        <v/>
      </c>
      <c r="G35" s="1" t="str">
        <f>IF(Person4!$B$9+ROW(B33)-1&lt;=Person4!$C$9, Person4!$B$9+ROW(B33)-1, "")</f>
        <v/>
      </c>
      <c r="H35" s="1" t="str">
        <f>IF(Person4!$B$10+ROW(B33)-1&lt;=Person4!$C$10, Person4!$B$10+ROW(B33)-1, "")</f>
        <v/>
      </c>
      <c r="I35" s="1" t="str">
        <f>IF(Person4!$B$11+ROW(B33)-1&lt;=Person4!$C$11, Person4!$B$11+ROW(B33)-1, "")</f>
        <v/>
      </c>
      <c r="J35" s="1" t="str">
        <f>IF(Person4!$B$12+ROW(B33)-1&lt;=Person4!$C$12, Person4!$B$12+ROW(B33)-1, "")</f>
        <v/>
      </c>
      <c r="K35" s="1" t="str">
        <f>IF(Person4!$B$13+ROW(B33)-1&lt;=Person4!$C$13, Person4!$B$13+ROW(B33)-1, "")</f>
        <v/>
      </c>
      <c r="L35" s="1" t="str">
        <f>IF(Person4!$B$14+ROW(B33)-1&lt;=Person4!$C$14, Person4!$B$14+ROW(B33)-1, "")</f>
        <v/>
      </c>
      <c r="M35" s="1" t="str">
        <f>IF(Person4!$B$15+ROW(B33)-1&lt;=Person4!$C$15, Person4!$B$15+ROW(B33)-1, "")</f>
        <v/>
      </c>
      <c r="N35" s="1" t="str">
        <f>IF(Person4!$B$16+ROW(B33)-1&lt;=Person4!$C$16, Person4!$B$16+ROW(B33)-1, "")</f>
        <v/>
      </c>
      <c r="O35" s="1" t="str">
        <f>IF(Person4!$B$17+ROW(B33)-1&lt;=Person4!$C$17, Person4!$B$17+ROW(B33)-1, "")</f>
        <v/>
      </c>
      <c r="V35" s="1" t="str">
        <f>IF(Person4!$D$3+ROW(A33)-1&lt;=Person4!$E$3, Person4!$D$3+ROW(A33)-1, "")</f>
        <v/>
      </c>
      <c r="W35" s="1" t="str">
        <f>IF(Person4!$D$4+ROW(A33)-1&lt;=Person4!$E$4, Person4!$D$4+ROW(A33)-1, "")</f>
        <v/>
      </c>
      <c r="X35" s="1" t="str">
        <f>IF(Person4!$D$5+ROW(A33)-1&lt;=Person4!$E$5, Person4!$D$5+ROW(A33)-1, "")</f>
        <v/>
      </c>
      <c r="Y35" s="1" t="str">
        <f>IF(Person4!$D$6+ROW(A33)-1&lt;=Person4!$E$6, Person4!$D$6+ROW(A33)-1, "")</f>
        <v/>
      </c>
      <c r="Z35" s="1" t="str">
        <f>IF(Person4!$D$7+ROW(A33)-1&lt;=Person4!$E$7, Person4!$D$7+ROW(A33)-1, "")</f>
        <v/>
      </c>
      <c r="AA35" s="1" t="str">
        <f>IF(Person4!$D$8+ROW(A33)-1&lt;=Person4!$E$8, Person4!$D$8+ROW(A33)-1, "")</f>
        <v/>
      </c>
      <c r="AE35" s="1" t="str">
        <f>IF(Person4!$F$3+ROW(A33)-1&lt;=Person4!$G$3, Person4!$F$3+ROW(A33)-1, "")</f>
        <v/>
      </c>
      <c r="AF35" s="1" t="str">
        <f>IF(Person4!$F$4+ROW(A33)-1&lt;=Person4!$G$4, Person4!$F$4+ROW(A33)-1, "")</f>
        <v/>
      </c>
      <c r="AG35" s="1" t="str">
        <f>IF(Person4!$F$5+ROW(A33)-1&lt;=Person4!$G$5, Person4!$F$5+ROW(A33)-1, "")</f>
        <v/>
      </c>
      <c r="AH35" s="1" t="str">
        <f>IF(Person4!$F$6+ROW(A33)-1&lt;=Person4!$G$6, Person4!$F$6+ROW(A33)-1, "")</f>
        <v/>
      </c>
      <c r="AI35" s="1" t="str">
        <f>IF(Person4!$F$7+ROW(A33)-1&lt;=Person4!$G$7, Person4!$F$7+ROW(A33)-1, "")</f>
        <v/>
      </c>
    </row>
    <row r="36" spans="1:35" x14ac:dyDescent="0.3">
      <c r="A36" s="1" t="str">
        <f>IF(Person4!$B$3+ROW(A34)-1&lt;=Person4!$C$3, Person4!$B$3+ROW(A34)-1, "")</f>
        <v/>
      </c>
      <c r="B36" s="1" t="str">
        <f>IF(Person4!$B$4+ROW(B34)-1&lt;=Person4!$C$4, Person4!$B$4+ROW(B34)-1, "")</f>
        <v/>
      </c>
      <c r="C36" s="1" t="str">
        <f>IF(Person4!$B$5+ROW(B34)-1&lt;=Person4!$C$5, Person4!$B$5+ROW(B34)-1, "")</f>
        <v/>
      </c>
      <c r="D36" s="1" t="str">
        <f>IF(Person4!$B$6+ROW(B34)-1&lt;=Person4!$C$6, Person4!$B$6+ROW(B34)-1, "")</f>
        <v/>
      </c>
      <c r="E36" s="1" t="str">
        <f>IF(Person4!$B$7+ROW(B34)-1&lt;=Person4!$C$7, Person4!$B$7+ROW(B34)-1, "")</f>
        <v/>
      </c>
      <c r="F36" s="1" t="str">
        <f>IF(Person4!$B$8+ROW(B34)-1&lt;=Person4!$C$8, Person4!$B$8+ROW(B34)-1, "")</f>
        <v/>
      </c>
      <c r="G36" s="1" t="str">
        <f>IF(Person4!$B$9+ROW(B34)-1&lt;=Person4!$C$9, Person4!$B$9+ROW(B34)-1, "")</f>
        <v/>
      </c>
      <c r="H36" s="1" t="str">
        <f>IF(Person4!$B$10+ROW(B34)-1&lt;=Person4!$C$10, Person4!$B$10+ROW(B34)-1, "")</f>
        <v/>
      </c>
      <c r="I36" s="1" t="str">
        <f>IF(Person4!$B$11+ROW(B34)-1&lt;=Person4!$C$11, Person4!$B$11+ROW(B34)-1, "")</f>
        <v/>
      </c>
      <c r="J36" s="1" t="str">
        <f>IF(Person4!$B$12+ROW(B34)-1&lt;=Person4!$C$12, Person4!$B$12+ROW(B34)-1, "")</f>
        <v/>
      </c>
      <c r="K36" s="1" t="str">
        <f>IF(Person4!$B$13+ROW(B34)-1&lt;=Person4!$C$13, Person4!$B$13+ROW(B34)-1, "")</f>
        <v/>
      </c>
      <c r="L36" s="1" t="str">
        <f>IF(Person4!$B$14+ROW(B34)-1&lt;=Person4!$C$14, Person4!$B$14+ROW(B34)-1, "")</f>
        <v/>
      </c>
      <c r="M36" s="1" t="str">
        <f>IF(Person4!$B$15+ROW(B34)-1&lt;=Person4!$C$15, Person4!$B$15+ROW(B34)-1, "")</f>
        <v/>
      </c>
      <c r="N36" s="1" t="str">
        <f>IF(Person4!$B$16+ROW(B34)-1&lt;=Person4!$C$16, Person4!$B$16+ROW(B34)-1, "")</f>
        <v/>
      </c>
      <c r="O36" s="1" t="str">
        <f>IF(Person4!$B$17+ROW(B34)-1&lt;=Person4!$C$17, Person4!$B$17+ROW(B34)-1, "")</f>
        <v/>
      </c>
      <c r="V36" s="1" t="str">
        <f>IF(Person4!$D$3+ROW(A34)-1&lt;=Person4!$E$3, Person4!$D$3+ROW(A34)-1, "")</f>
        <v/>
      </c>
      <c r="W36" s="1" t="str">
        <f>IF(Person4!$D$4+ROW(A34)-1&lt;=Person4!$E$4, Person4!$D$4+ROW(A34)-1, "")</f>
        <v/>
      </c>
      <c r="X36" s="1" t="str">
        <f>IF(Person4!$D$5+ROW(A34)-1&lt;=Person4!$E$5, Person4!$D$5+ROW(A34)-1, "")</f>
        <v/>
      </c>
      <c r="Y36" s="1" t="str">
        <f>IF(Person4!$D$6+ROW(A34)-1&lt;=Person4!$E$6, Person4!$D$6+ROW(A34)-1, "")</f>
        <v/>
      </c>
      <c r="Z36" s="1" t="str">
        <f>IF(Person4!$D$7+ROW(A34)-1&lt;=Person4!$E$7, Person4!$D$7+ROW(A34)-1, "")</f>
        <v/>
      </c>
      <c r="AA36" s="1" t="str">
        <f>IF(Person4!$D$8+ROW(A34)-1&lt;=Person4!$E$8, Person4!$D$8+ROW(A34)-1, "")</f>
        <v/>
      </c>
      <c r="AE36" s="1" t="str">
        <f>IF(Person4!$F$3+ROW(A34)-1&lt;=Person4!$G$3, Person4!$F$3+ROW(A34)-1, "")</f>
        <v/>
      </c>
      <c r="AF36" s="1" t="str">
        <f>IF(Person4!$F$4+ROW(A34)-1&lt;=Person4!$G$4, Person4!$F$4+ROW(A34)-1, "")</f>
        <v/>
      </c>
      <c r="AG36" s="1" t="str">
        <f>IF(Person4!$F$5+ROW(A34)-1&lt;=Person4!$G$5, Person4!$F$5+ROW(A34)-1, "")</f>
        <v/>
      </c>
      <c r="AH36" s="1" t="str">
        <f>IF(Person4!$F$6+ROW(A34)-1&lt;=Person4!$G$6, Person4!$F$6+ROW(A34)-1, "")</f>
        <v/>
      </c>
      <c r="AI36" s="1" t="str">
        <f>IF(Person4!$F$7+ROW(A34)-1&lt;=Person4!$G$7, Person4!$F$7+ROW(A34)-1, "")</f>
        <v/>
      </c>
    </row>
    <row r="37" spans="1:35" x14ac:dyDescent="0.3">
      <c r="A37" s="1" t="str">
        <f>IF(Person4!$B$3+ROW(A35)-1&lt;=Person4!$C$3, Person4!$B$3+ROW(A35)-1, "")</f>
        <v/>
      </c>
      <c r="B37" s="1" t="str">
        <f>IF(Person4!$B$4+ROW(B35)-1&lt;=Person4!$C$4, Person4!$B$4+ROW(B35)-1, "")</f>
        <v/>
      </c>
      <c r="C37" s="1" t="str">
        <f>IF(Person4!$B$5+ROW(B35)-1&lt;=Person4!$C$5, Person4!$B$5+ROW(B35)-1, "")</f>
        <v/>
      </c>
      <c r="D37" s="1" t="str">
        <f>IF(Person4!$B$6+ROW(B35)-1&lt;=Person4!$C$6, Person4!$B$6+ROW(B35)-1, "")</f>
        <v/>
      </c>
      <c r="E37" s="1" t="str">
        <f>IF(Person4!$B$7+ROW(B35)-1&lt;=Person4!$C$7, Person4!$B$7+ROW(B35)-1, "")</f>
        <v/>
      </c>
      <c r="F37" s="1" t="str">
        <f>IF(Person4!$B$8+ROW(B35)-1&lt;=Person4!$C$8, Person4!$B$8+ROW(B35)-1, "")</f>
        <v/>
      </c>
      <c r="G37" s="1" t="str">
        <f>IF(Person4!$B$9+ROW(B35)-1&lt;=Person4!$C$9, Person4!$B$9+ROW(B35)-1, "")</f>
        <v/>
      </c>
      <c r="H37" s="1" t="str">
        <f>IF(Person4!$B$10+ROW(B35)-1&lt;=Person4!$C$10, Person4!$B$10+ROW(B35)-1, "")</f>
        <v/>
      </c>
      <c r="I37" s="1" t="str">
        <f>IF(Person4!$B$11+ROW(B35)-1&lt;=Person4!$C$11, Person4!$B$11+ROW(B35)-1, "")</f>
        <v/>
      </c>
      <c r="J37" s="1" t="str">
        <f>IF(Person4!$B$12+ROW(B35)-1&lt;=Person4!$C$12, Person4!$B$12+ROW(B35)-1, "")</f>
        <v/>
      </c>
      <c r="K37" s="1" t="str">
        <f>IF(Person4!$B$13+ROW(B35)-1&lt;=Person4!$C$13, Person4!$B$13+ROW(B35)-1, "")</f>
        <v/>
      </c>
      <c r="L37" s="1" t="str">
        <f>IF(Person4!$B$14+ROW(B35)-1&lt;=Person4!$C$14, Person4!$B$14+ROW(B35)-1, "")</f>
        <v/>
      </c>
      <c r="M37" s="1" t="str">
        <f>IF(Person4!$B$15+ROW(B35)-1&lt;=Person4!$C$15, Person4!$B$15+ROW(B35)-1, "")</f>
        <v/>
      </c>
      <c r="N37" s="1" t="str">
        <f>IF(Person4!$B$16+ROW(B35)-1&lt;=Person4!$C$16, Person4!$B$16+ROW(B35)-1, "")</f>
        <v/>
      </c>
      <c r="O37" s="1" t="str">
        <f>IF(Person4!$B$17+ROW(B35)-1&lt;=Person4!$C$17, Person4!$B$17+ROW(B35)-1, "")</f>
        <v/>
      </c>
      <c r="V37" s="1" t="str">
        <f>IF(Person4!$D$3+ROW(A35)-1&lt;=Person4!$E$3, Person4!$D$3+ROW(A35)-1, "")</f>
        <v/>
      </c>
      <c r="W37" s="1" t="str">
        <f>IF(Person4!$D$4+ROW(A35)-1&lt;=Person4!$E$4, Person4!$D$4+ROW(A35)-1, "")</f>
        <v/>
      </c>
      <c r="X37" s="1" t="str">
        <f>IF(Person4!$D$5+ROW(A35)-1&lt;=Person4!$E$5, Person4!$D$5+ROW(A35)-1, "")</f>
        <v/>
      </c>
      <c r="Y37" s="1" t="str">
        <f>IF(Person4!$D$6+ROW(A35)-1&lt;=Person4!$E$6, Person4!$D$6+ROW(A35)-1, "")</f>
        <v/>
      </c>
      <c r="Z37" s="1" t="str">
        <f>IF(Person4!$D$7+ROW(A35)-1&lt;=Person4!$E$7, Person4!$D$7+ROW(A35)-1, "")</f>
        <v/>
      </c>
      <c r="AA37" s="1" t="str">
        <f>IF(Person4!$D$8+ROW(A35)-1&lt;=Person4!$E$8, Person4!$D$8+ROW(A35)-1, "")</f>
        <v/>
      </c>
      <c r="AE37" s="1" t="str">
        <f>IF(Person4!$F$3+ROW(A35)-1&lt;=Person4!$G$3, Person4!$F$3+ROW(A35)-1, "")</f>
        <v/>
      </c>
      <c r="AF37" s="1" t="str">
        <f>IF(Person4!$F$4+ROW(A35)-1&lt;=Person4!$G$4, Person4!$F$4+ROW(A35)-1, "")</f>
        <v/>
      </c>
      <c r="AG37" s="1" t="str">
        <f>IF(Person4!$F$5+ROW(A35)-1&lt;=Person4!$G$5, Person4!$F$5+ROW(A35)-1, "")</f>
        <v/>
      </c>
      <c r="AH37" s="1" t="str">
        <f>IF(Person4!$F$6+ROW(A35)-1&lt;=Person4!$G$6, Person4!$F$6+ROW(A35)-1, "")</f>
        <v/>
      </c>
      <c r="AI37" s="1" t="str">
        <f>IF(Person4!$F$7+ROW(A35)-1&lt;=Person4!$G$7, Person4!$F$7+ROW(A35)-1, "")</f>
        <v/>
      </c>
    </row>
    <row r="38" spans="1:35" x14ac:dyDescent="0.3">
      <c r="A38" s="1" t="str">
        <f>IF(Person4!$B$3+ROW(A36)-1&lt;=Person4!$C$3, Person4!$B$3+ROW(A36)-1, "")</f>
        <v/>
      </c>
      <c r="B38" s="1" t="str">
        <f>IF(Person4!$B$4+ROW(B36)-1&lt;=Person4!$C$4, Person4!$B$4+ROW(B36)-1, "")</f>
        <v/>
      </c>
      <c r="C38" s="1" t="str">
        <f>IF(Person4!$B$5+ROW(B36)-1&lt;=Person4!$C$5, Person4!$B$5+ROW(B36)-1, "")</f>
        <v/>
      </c>
      <c r="D38" s="1" t="str">
        <f>IF(Person4!$B$6+ROW(B36)-1&lt;=Person4!$C$6, Person4!$B$6+ROW(B36)-1, "")</f>
        <v/>
      </c>
      <c r="E38" s="1" t="str">
        <f>IF(Person4!$B$7+ROW(B36)-1&lt;=Person4!$C$7, Person4!$B$7+ROW(B36)-1, "")</f>
        <v/>
      </c>
      <c r="F38" s="1" t="str">
        <f>IF(Person4!$B$8+ROW(B36)-1&lt;=Person4!$C$8, Person4!$B$8+ROW(B36)-1, "")</f>
        <v/>
      </c>
      <c r="G38" s="1" t="str">
        <f>IF(Person4!$B$9+ROW(B36)-1&lt;=Person4!$C$9, Person4!$B$9+ROW(B36)-1, "")</f>
        <v/>
      </c>
      <c r="H38" s="1" t="str">
        <f>IF(Person4!$B$10+ROW(B36)-1&lt;=Person4!$C$10, Person4!$B$10+ROW(B36)-1, "")</f>
        <v/>
      </c>
      <c r="I38" s="1" t="str">
        <f>IF(Person4!$B$11+ROW(B36)-1&lt;=Person4!$C$11, Person4!$B$11+ROW(B36)-1, "")</f>
        <v/>
      </c>
      <c r="J38" s="1" t="str">
        <f>IF(Person4!$B$12+ROW(B36)-1&lt;=Person4!$C$12, Person4!$B$12+ROW(B36)-1, "")</f>
        <v/>
      </c>
      <c r="K38" s="1" t="str">
        <f>IF(Person4!$B$13+ROW(B36)-1&lt;=Person4!$C$13, Person4!$B$13+ROW(B36)-1, "")</f>
        <v/>
      </c>
      <c r="L38" s="1" t="str">
        <f>IF(Person4!$B$14+ROW(B36)-1&lt;=Person4!$C$14, Person4!$B$14+ROW(B36)-1, "")</f>
        <v/>
      </c>
      <c r="M38" s="1" t="str">
        <f>IF(Person4!$B$15+ROW(B36)-1&lt;=Person4!$C$15, Person4!$B$15+ROW(B36)-1, "")</f>
        <v/>
      </c>
      <c r="N38" s="1" t="str">
        <f>IF(Person4!$B$16+ROW(B36)-1&lt;=Person4!$C$16, Person4!$B$16+ROW(B36)-1, "")</f>
        <v/>
      </c>
      <c r="O38" s="1" t="str">
        <f>IF(Person4!$B$17+ROW(B36)-1&lt;=Person4!$C$17, Person4!$B$17+ROW(B36)-1, "")</f>
        <v/>
      </c>
      <c r="V38" s="1" t="str">
        <f>IF(Person4!$D$3+ROW(A36)-1&lt;=Person4!$E$3, Person4!$D$3+ROW(A36)-1, "")</f>
        <v/>
      </c>
      <c r="W38" s="1" t="str">
        <f>IF(Person4!$D$4+ROW(A36)-1&lt;=Person4!$E$4, Person4!$D$4+ROW(A36)-1, "")</f>
        <v/>
      </c>
      <c r="X38" s="1" t="str">
        <f>IF(Person4!$D$5+ROW(A36)-1&lt;=Person4!$E$5, Person4!$D$5+ROW(A36)-1, "")</f>
        <v/>
      </c>
      <c r="Y38" s="1" t="str">
        <f>IF(Person4!$D$6+ROW(A36)-1&lt;=Person4!$E$6, Person4!$D$6+ROW(A36)-1, "")</f>
        <v/>
      </c>
      <c r="Z38" s="1" t="str">
        <f>IF(Person4!$D$7+ROW(A36)-1&lt;=Person4!$E$7, Person4!$D$7+ROW(A36)-1, "")</f>
        <v/>
      </c>
      <c r="AA38" s="1" t="str">
        <f>IF(Person4!$D$8+ROW(A36)-1&lt;=Person4!$E$8, Person4!$D$8+ROW(A36)-1, "")</f>
        <v/>
      </c>
      <c r="AE38" s="1" t="str">
        <f>IF(Person4!$F$3+ROW(A36)-1&lt;=Person4!$G$3, Person4!$F$3+ROW(A36)-1, "")</f>
        <v/>
      </c>
      <c r="AF38" s="1" t="str">
        <f>IF(Person4!$F$4+ROW(A36)-1&lt;=Person4!$G$4, Person4!$F$4+ROW(A36)-1, "")</f>
        <v/>
      </c>
      <c r="AG38" s="1" t="str">
        <f>IF(Person4!$F$5+ROW(A36)-1&lt;=Person4!$G$5, Person4!$F$5+ROW(A36)-1, "")</f>
        <v/>
      </c>
      <c r="AH38" s="1" t="str">
        <f>IF(Person4!$F$6+ROW(A36)-1&lt;=Person4!$G$6, Person4!$F$6+ROW(A36)-1, "")</f>
        <v/>
      </c>
      <c r="AI38" s="1" t="str">
        <f>IF(Person4!$F$7+ROW(A36)-1&lt;=Person4!$G$7, Person4!$F$7+ROW(A36)-1, "")</f>
        <v/>
      </c>
    </row>
    <row r="39" spans="1:35" x14ac:dyDescent="0.3">
      <c r="A39" s="1" t="str">
        <f>IF(Person4!$B$3+ROW(A37)-1&lt;=Person4!$C$3, Person4!$B$3+ROW(A37)-1, "")</f>
        <v/>
      </c>
      <c r="B39" s="1" t="str">
        <f>IF(Person4!$B$4+ROW(B37)-1&lt;=Person4!$C$4, Person4!$B$4+ROW(B37)-1, "")</f>
        <v/>
      </c>
      <c r="C39" s="1" t="str">
        <f>IF(Person4!$B$5+ROW(B37)-1&lt;=Person4!$C$5, Person4!$B$5+ROW(B37)-1, "")</f>
        <v/>
      </c>
      <c r="D39" s="1" t="str">
        <f>IF(Person4!$B$6+ROW(B37)-1&lt;=Person4!$C$6, Person4!$B$6+ROW(B37)-1, "")</f>
        <v/>
      </c>
      <c r="E39" s="1" t="str">
        <f>IF(Person4!$B$7+ROW(B37)-1&lt;=Person4!$C$7, Person4!$B$7+ROW(B37)-1, "")</f>
        <v/>
      </c>
      <c r="F39" s="1" t="str">
        <f>IF(Person4!$B$8+ROW(B37)-1&lt;=Person4!$C$8, Person4!$B$8+ROW(B37)-1, "")</f>
        <v/>
      </c>
      <c r="G39" s="1" t="str">
        <f>IF(Person4!$B$9+ROW(B37)-1&lt;=Person4!$C$9, Person4!$B$9+ROW(B37)-1, "")</f>
        <v/>
      </c>
      <c r="H39" s="1" t="str">
        <f>IF(Person4!$B$10+ROW(B37)-1&lt;=Person4!$C$10, Person4!$B$10+ROW(B37)-1, "")</f>
        <v/>
      </c>
      <c r="I39" s="1" t="str">
        <f>IF(Person4!$B$11+ROW(B37)-1&lt;=Person4!$C$11, Person4!$B$11+ROW(B37)-1, "")</f>
        <v/>
      </c>
      <c r="J39" s="1" t="str">
        <f>IF(Person4!$B$12+ROW(B37)-1&lt;=Person4!$C$12, Person4!$B$12+ROW(B37)-1, "")</f>
        <v/>
      </c>
      <c r="K39" s="1" t="str">
        <f>IF(Person4!$B$13+ROW(B37)-1&lt;=Person4!$C$13, Person4!$B$13+ROW(B37)-1, "")</f>
        <v/>
      </c>
      <c r="L39" s="1" t="str">
        <f>IF(Person4!$B$14+ROW(B37)-1&lt;=Person4!$C$14, Person4!$B$14+ROW(B37)-1, "")</f>
        <v/>
      </c>
      <c r="M39" s="1" t="str">
        <f>IF(Person4!$B$15+ROW(B37)-1&lt;=Person4!$C$15, Person4!$B$15+ROW(B37)-1, "")</f>
        <v/>
      </c>
      <c r="N39" s="1" t="str">
        <f>IF(Person4!$B$16+ROW(B37)-1&lt;=Person4!$C$16, Person4!$B$16+ROW(B37)-1, "")</f>
        <v/>
      </c>
      <c r="O39" s="1" t="str">
        <f>IF(Person4!$B$17+ROW(B37)-1&lt;=Person4!$C$17, Person4!$B$17+ROW(B37)-1, "")</f>
        <v/>
      </c>
      <c r="V39" s="1" t="str">
        <f>IF(Person4!$D$3+ROW(A37)-1&lt;=Person4!$E$3, Person4!$D$3+ROW(A37)-1, "")</f>
        <v/>
      </c>
      <c r="W39" s="1" t="str">
        <f>IF(Person4!$D$4+ROW(A37)-1&lt;=Person4!$E$4, Person4!$D$4+ROW(A37)-1, "")</f>
        <v/>
      </c>
      <c r="X39" s="1" t="str">
        <f>IF(Person4!$D$5+ROW(A37)-1&lt;=Person4!$E$5, Person4!$D$5+ROW(A37)-1, "")</f>
        <v/>
      </c>
      <c r="Y39" s="1" t="str">
        <f>IF(Person4!$D$6+ROW(A37)-1&lt;=Person4!$E$6, Person4!$D$6+ROW(A37)-1, "")</f>
        <v/>
      </c>
      <c r="Z39" s="1" t="str">
        <f>IF(Person4!$D$7+ROW(A37)-1&lt;=Person4!$E$7, Person4!$D$7+ROW(A37)-1, "")</f>
        <v/>
      </c>
      <c r="AA39" s="1" t="str">
        <f>IF(Person4!$D$8+ROW(A37)-1&lt;=Person4!$E$8, Person4!$D$8+ROW(A37)-1, "")</f>
        <v/>
      </c>
      <c r="AE39" s="1" t="str">
        <f>IF(Person4!$F$3+ROW(A37)-1&lt;=Person4!$G$3, Person4!$F$3+ROW(A37)-1, "")</f>
        <v/>
      </c>
      <c r="AF39" s="1" t="str">
        <f>IF(Person4!$F$4+ROW(A37)-1&lt;=Person4!$G$4, Person4!$F$4+ROW(A37)-1, "")</f>
        <v/>
      </c>
      <c r="AG39" s="1" t="str">
        <f>IF(Person4!$F$5+ROW(A37)-1&lt;=Person4!$G$5, Person4!$F$5+ROW(A37)-1, "")</f>
        <v/>
      </c>
      <c r="AH39" s="1" t="str">
        <f>IF(Person4!$F$6+ROW(A37)-1&lt;=Person4!$G$6, Person4!$F$6+ROW(A37)-1, "")</f>
        <v/>
      </c>
      <c r="AI39" s="1" t="str">
        <f>IF(Person4!$F$7+ROW(A37)-1&lt;=Person4!$G$7, Person4!$F$7+ROW(A37)-1, "")</f>
        <v/>
      </c>
    </row>
    <row r="40" spans="1:35" x14ac:dyDescent="0.3">
      <c r="A40" s="1" t="str">
        <f>IF(Person4!$B$3+ROW(A38)-1&lt;=Person4!$C$3, Person4!$B$3+ROW(A38)-1, "")</f>
        <v/>
      </c>
      <c r="B40" s="1" t="str">
        <f>IF(Person4!$B$4+ROW(B38)-1&lt;=Person4!$C$4, Person4!$B$4+ROW(B38)-1, "")</f>
        <v/>
      </c>
      <c r="C40" s="1" t="str">
        <f>IF(Person4!$B$5+ROW(B38)-1&lt;=Person4!$C$5, Person4!$B$5+ROW(B38)-1, "")</f>
        <v/>
      </c>
      <c r="D40" s="1" t="str">
        <f>IF(Person4!$B$6+ROW(B38)-1&lt;=Person4!$C$6, Person4!$B$6+ROW(B38)-1, "")</f>
        <v/>
      </c>
      <c r="E40" s="1" t="str">
        <f>IF(Person4!$B$7+ROW(B38)-1&lt;=Person4!$C$7, Person4!$B$7+ROW(B38)-1, "")</f>
        <v/>
      </c>
      <c r="F40" s="1" t="str">
        <f>IF(Person4!$B$8+ROW(B38)-1&lt;=Person4!$C$8, Person4!$B$8+ROW(B38)-1, "")</f>
        <v/>
      </c>
      <c r="G40" s="1" t="str">
        <f>IF(Person4!$B$9+ROW(B38)-1&lt;=Person4!$C$9, Person4!$B$9+ROW(B38)-1, "")</f>
        <v/>
      </c>
      <c r="H40" s="1" t="str">
        <f>IF(Person4!$B$10+ROW(B38)-1&lt;=Person4!$C$10, Person4!$B$10+ROW(B38)-1, "")</f>
        <v/>
      </c>
      <c r="I40" s="1" t="str">
        <f>IF(Person4!$B$11+ROW(B38)-1&lt;=Person4!$C$11, Person4!$B$11+ROW(B38)-1, "")</f>
        <v/>
      </c>
      <c r="J40" s="1" t="str">
        <f>IF(Person4!$B$12+ROW(B38)-1&lt;=Person4!$C$12, Person4!$B$12+ROW(B38)-1, "")</f>
        <v/>
      </c>
      <c r="K40" s="1" t="str">
        <f>IF(Person4!$B$13+ROW(B38)-1&lt;=Person4!$C$13, Person4!$B$13+ROW(B38)-1, "")</f>
        <v/>
      </c>
      <c r="L40" s="1" t="str">
        <f>IF(Person4!$B$14+ROW(B38)-1&lt;=Person4!$C$14, Person4!$B$14+ROW(B38)-1, "")</f>
        <v/>
      </c>
      <c r="M40" s="1" t="str">
        <f>IF(Person4!$B$15+ROW(B38)-1&lt;=Person4!$C$15, Person4!$B$15+ROW(B38)-1, "")</f>
        <v/>
      </c>
      <c r="N40" s="1" t="str">
        <f>IF(Person4!$B$16+ROW(B38)-1&lt;=Person4!$C$16, Person4!$B$16+ROW(B38)-1, "")</f>
        <v/>
      </c>
      <c r="O40" s="1" t="str">
        <f>IF(Person4!$B$17+ROW(B38)-1&lt;=Person4!$C$17, Person4!$B$17+ROW(B38)-1, "")</f>
        <v/>
      </c>
      <c r="V40" s="1" t="str">
        <f>IF(Person4!$D$3+ROW(A38)-1&lt;=Person4!$E$3, Person4!$D$3+ROW(A38)-1, "")</f>
        <v/>
      </c>
      <c r="W40" s="1" t="str">
        <f>IF(Person4!$D$4+ROW(A38)-1&lt;=Person4!$E$4, Person4!$D$4+ROW(A38)-1, "")</f>
        <v/>
      </c>
      <c r="X40" s="1" t="str">
        <f>IF(Person4!$D$5+ROW(A38)-1&lt;=Person4!$E$5, Person4!$D$5+ROW(A38)-1, "")</f>
        <v/>
      </c>
      <c r="Y40" s="1" t="str">
        <f>IF(Person4!$D$6+ROW(A38)-1&lt;=Person4!$E$6, Person4!$D$6+ROW(A38)-1, "")</f>
        <v/>
      </c>
      <c r="Z40" s="1" t="str">
        <f>IF(Person4!$D$7+ROW(A38)-1&lt;=Person4!$E$7, Person4!$D$7+ROW(A38)-1, "")</f>
        <v/>
      </c>
      <c r="AA40" s="1" t="str">
        <f>IF(Person4!$D$8+ROW(A38)-1&lt;=Person4!$E$8, Person4!$D$8+ROW(A38)-1, "")</f>
        <v/>
      </c>
      <c r="AE40" s="1" t="str">
        <f>IF(Person4!$F$3+ROW(A38)-1&lt;=Person4!$G$3, Person4!$F$3+ROW(A38)-1, "")</f>
        <v/>
      </c>
      <c r="AF40" s="1" t="str">
        <f>IF(Person4!$F$4+ROW(A38)-1&lt;=Person4!$G$4, Person4!$F$4+ROW(A38)-1, "")</f>
        <v/>
      </c>
      <c r="AG40" s="1" t="str">
        <f>IF(Person4!$F$5+ROW(A38)-1&lt;=Person4!$G$5, Person4!$F$5+ROW(A38)-1, "")</f>
        <v/>
      </c>
      <c r="AH40" s="1" t="str">
        <f>IF(Person4!$F$6+ROW(A38)-1&lt;=Person4!$G$6, Person4!$F$6+ROW(A38)-1, "")</f>
        <v/>
      </c>
      <c r="AI40" s="1" t="str">
        <f>IF(Person4!$F$7+ROW(A38)-1&lt;=Person4!$G$7, Person4!$F$7+ROW(A38)-1, "")</f>
        <v/>
      </c>
    </row>
    <row r="41" spans="1:35" x14ac:dyDescent="0.3">
      <c r="A41" s="1" t="str">
        <f>IF(Person4!$B$3+ROW(A39)-1&lt;=Person4!$C$3, Person4!$B$3+ROW(A39)-1, "")</f>
        <v/>
      </c>
      <c r="B41" s="1" t="str">
        <f>IF(Person4!$B$4+ROW(B39)-1&lt;=Person4!$C$4, Person4!$B$4+ROW(B39)-1, "")</f>
        <v/>
      </c>
      <c r="C41" s="1" t="str">
        <f>IF(Person4!$B$5+ROW(B39)-1&lt;=Person4!$C$5, Person4!$B$5+ROW(B39)-1, "")</f>
        <v/>
      </c>
      <c r="D41" s="1" t="str">
        <f>IF(Person4!$B$6+ROW(B39)-1&lt;=Person4!$C$6, Person4!$B$6+ROW(B39)-1, "")</f>
        <v/>
      </c>
      <c r="E41" s="1" t="str">
        <f>IF(Person4!$B$7+ROW(B39)-1&lt;=Person4!$C$7, Person4!$B$7+ROW(B39)-1, "")</f>
        <v/>
      </c>
      <c r="F41" s="1" t="str">
        <f>IF(Person4!$B$8+ROW(B39)-1&lt;=Person4!$C$8, Person4!$B$8+ROW(B39)-1, "")</f>
        <v/>
      </c>
      <c r="G41" s="1" t="str">
        <f>IF(Person4!$B$9+ROW(B39)-1&lt;=Person4!$C$9, Person4!$B$9+ROW(B39)-1, "")</f>
        <v/>
      </c>
      <c r="H41" s="1" t="str">
        <f>IF(Person4!$B$10+ROW(B39)-1&lt;=Person4!$C$10, Person4!$B$10+ROW(B39)-1, "")</f>
        <v/>
      </c>
      <c r="I41" s="1" t="str">
        <f>IF(Person4!$B$11+ROW(B39)-1&lt;=Person4!$C$11, Person4!$B$11+ROW(B39)-1, "")</f>
        <v/>
      </c>
      <c r="J41" s="1" t="str">
        <f>IF(Person4!$B$12+ROW(B39)-1&lt;=Person4!$C$12, Person4!$B$12+ROW(B39)-1, "")</f>
        <v/>
      </c>
      <c r="K41" s="1" t="str">
        <f>IF(Person4!$B$13+ROW(B39)-1&lt;=Person4!$C$13, Person4!$B$13+ROW(B39)-1, "")</f>
        <v/>
      </c>
      <c r="L41" s="1" t="str">
        <f>IF(Person4!$B$14+ROW(B39)-1&lt;=Person4!$C$14, Person4!$B$14+ROW(B39)-1, "")</f>
        <v/>
      </c>
      <c r="M41" s="1" t="str">
        <f>IF(Person4!$B$15+ROW(B39)-1&lt;=Person4!$C$15, Person4!$B$15+ROW(B39)-1, "")</f>
        <v/>
      </c>
      <c r="N41" s="1" t="str">
        <f>IF(Person4!$B$16+ROW(B39)-1&lt;=Person4!$C$16, Person4!$B$16+ROW(B39)-1, "")</f>
        <v/>
      </c>
      <c r="O41" s="1" t="str">
        <f>IF(Person4!$B$17+ROW(B39)-1&lt;=Person4!$C$17, Person4!$B$17+ROW(B39)-1, "")</f>
        <v/>
      </c>
      <c r="V41" s="1" t="str">
        <f>IF(Person4!$D$3+ROW(A39)-1&lt;=Person4!$E$3, Person4!$D$3+ROW(A39)-1, "")</f>
        <v/>
      </c>
      <c r="W41" s="1" t="str">
        <f>IF(Person4!$D$4+ROW(A39)-1&lt;=Person4!$E$4, Person4!$D$4+ROW(A39)-1, "")</f>
        <v/>
      </c>
      <c r="X41" s="1" t="str">
        <f>IF(Person4!$D$5+ROW(A39)-1&lt;=Person4!$E$5, Person4!$D$5+ROW(A39)-1, "")</f>
        <v/>
      </c>
      <c r="Y41" s="1" t="str">
        <f>IF(Person4!$D$6+ROW(A39)-1&lt;=Person4!$E$6, Person4!$D$6+ROW(A39)-1, "")</f>
        <v/>
      </c>
      <c r="Z41" s="1" t="str">
        <f>IF(Person4!$D$7+ROW(A39)-1&lt;=Person4!$E$7, Person4!$D$7+ROW(A39)-1, "")</f>
        <v/>
      </c>
      <c r="AA41" s="1" t="str">
        <f>IF(Person4!$D$8+ROW(A39)-1&lt;=Person4!$E$8, Person4!$D$8+ROW(A39)-1, "")</f>
        <v/>
      </c>
      <c r="AE41" s="1" t="str">
        <f>IF(Person4!$F$3+ROW(A39)-1&lt;=Person4!$G$3, Person4!$F$3+ROW(A39)-1, "")</f>
        <v/>
      </c>
      <c r="AF41" s="1" t="str">
        <f>IF(Person4!$F$4+ROW(A39)-1&lt;=Person4!$G$4, Person4!$F$4+ROW(A39)-1, "")</f>
        <v/>
      </c>
      <c r="AG41" s="1" t="str">
        <f>IF(Person4!$F$5+ROW(A39)-1&lt;=Person4!$G$5, Person4!$F$5+ROW(A39)-1, "")</f>
        <v/>
      </c>
      <c r="AH41" s="1" t="str">
        <f>IF(Person4!$F$6+ROW(A39)-1&lt;=Person4!$G$6, Person4!$F$6+ROW(A39)-1, "")</f>
        <v/>
      </c>
      <c r="AI41" s="1" t="str">
        <f>IF(Person4!$F$7+ROW(A39)-1&lt;=Person4!$G$7, Person4!$F$7+ROW(A39)-1, "")</f>
        <v/>
      </c>
    </row>
    <row r="42" spans="1:35" x14ac:dyDescent="0.3">
      <c r="A42" s="1" t="str">
        <f>IF(Person4!$B$3+ROW(A40)-1&lt;=Person4!$C$3, Person4!$B$3+ROW(A40)-1, "")</f>
        <v/>
      </c>
      <c r="B42" s="1" t="str">
        <f>IF(Person4!$B$4+ROW(B40)-1&lt;=Person4!$C$4, Person4!$B$4+ROW(B40)-1, "")</f>
        <v/>
      </c>
      <c r="C42" s="1" t="str">
        <f>IF(Person4!$B$5+ROW(B40)-1&lt;=Person4!$C$5, Person4!$B$5+ROW(B40)-1, "")</f>
        <v/>
      </c>
      <c r="D42" s="1" t="str">
        <f>IF(Person4!$B$6+ROW(B40)-1&lt;=Person4!$C$6, Person4!$B$6+ROW(B40)-1, "")</f>
        <v/>
      </c>
      <c r="E42" s="1" t="str">
        <f>IF(Person4!$B$7+ROW(B40)-1&lt;=Person4!$C$7, Person4!$B$7+ROW(B40)-1, "")</f>
        <v/>
      </c>
      <c r="F42" s="1" t="str">
        <f>IF(Person4!$B$8+ROW(B40)-1&lt;=Person4!$C$8, Person4!$B$8+ROW(B40)-1, "")</f>
        <v/>
      </c>
      <c r="G42" s="1" t="str">
        <f>IF(Person4!$B$9+ROW(B40)-1&lt;=Person4!$C$9, Person4!$B$9+ROW(B40)-1, "")</f>
        <v/>
      </c>
      <c r="H42" s="1" t="str">
        <f>IF(Person4!$B$10+ROW(B40)-1&lt;=Person4!$C$10, Person4!$B$10+ROW(B40)-1, "")</f>
        <v/>
      </c>
      <c r="I42" s="1" t="str">
        <f>IF(Person4!$B$11+ROW(B40)-1&lt;=Person4!$C$11, Person4!$B$11+ROW(B40)-1, "")</f>
        <v/>
      </c>
      <c r="J42" s="1" t="str">
        <f>IF(Person4!$B$12+ROW(B40)-1&lt;=Person4!$C$12, Person4!$B$12+ROW(B40)-1, "")</f>
        <v/>
      </c>
      <c r="K42" s="1" t="str">
        <f>IF(Person4!$B$13+ROW(B40)-1&lt;=Person4!$C$13, Person4!$B$13+ROW(B40)-1, "")</f>
        <v/>
      </c>
      <c r="L42" s="1" t="str">
        <f>IF(Person4!$B$14+ROW(B40)-1&lt;=Person4!$C$14, Person4!$B$14+ROW(B40)-1, "")</f>
        <v/>
      </c>
      <c r="M42" s="1" t="str">
        <f>IF(Person4!$B$15+ROW(B40)-1&lt;=Person4!$C$15, Person4!$B$15+ROW(B40)-1, "")</f>
        <v/>
      </c>
      <c r="N42" s="1" t="str">
        <f>IF(Person4!$B$16+ROW(B40)-1&lt;=Person4!$C$16, Person4!$B$16+ROW(B40)-1, "")</f>
        <v/>
      </c>
      <c r="O42" s="1" t="str">
        <f>IF(Person4!$B$17+ROW(B40)-1&lt;=Person4!$C$17, Person4!$B$17+ROW(B40)-1, "")</f>
        <v/>
      </c>
      <c r="V42" s="1" t="str">
        <f>IF(Person4!$D$3+ROW(A40)-1&lt;=Person4!$E$3, Person4!$D$3+ROW(A40)-1, "")</f>
        <v/>
      </c>
      <c r="W42" s="1" t="str">
        <f>IF(Person4!$D$4+ROW(A40)-1&lt;=Person4!$E$4, Person4!$D$4+ROW(A40)-1, "")</f>
        <v/>
      </c>
      <c r="X42" s="1" t="str">
        <f>IF(Person4!$D$5+ROW(A40)-1&lt;=Person4!$E$5, Person4!$D$5+ROW(A40)-1, "")</f>
        <v/>
      </c>
      <c r="Y42" s="1" t="str">
        <f>IF(Person4!$D$6+ROW(A40)-1&lt;=Person4!$E$6, Person4!$D$6+ROW(A40)-1, "")</f>
        <v/>
      </c>
      <c r="Z42" s="1" t="str">
        <f>IF(Person4!$D$7+ROW(A40)-1&lt;=Person4!$E$7, Person4!$D$7+ROW(A40)-1, "")</f>
        <v/>
      </c>
      <c r="AA42" s="1" t="str">
        <f>IF(Person4!$D$8+ROW(A40)-1&lt;=Person4!$E$8, Person4!$D$8+ROW(A40)-1, "")</f>
        <v/>
      </c>
      <c r="AE42" s="1" t="str">
        <f>IF(Person4!$F$3+ROW(A40)-1&lt;=Person4!$G$3, Person4!$F$3+ROW(A40)-1, "")</f>
        <v/>
      </c>
      <c r="AF42" s="1" t="str">
        <f>IF(Person4!$F$4+ROW(A40)-1&lt;=Person4!$G$4, Person4!$F$4+ROW(A40)-1, "")</f>
        <v/>
      </c>
      <c r="AG42" s="1" t="str">
        <f>IF(Person4!$F$5+ROW(A40)-1&lt;=Person4!$G$5, Person4!$F$5+ROW(A40)-1, "")</f>
        <v/>
      </c>
      <c r="AH42" s="1" t="str">
        <f>IF(Person4!$F$6+ROW(A40)-1&lt;=Person4!$G$6, Person4!$F$6+ROW(A40)-1, "")</f>
        <v/>
      </c>
      <c r="AI42" s="1" t="str">
        <f>IF(Person4!$F$7+ROW(A40)-1&lt;=Person4!$G$7, Person4!$F$7+ROW(A40)-1, "")</f>
        <v/>
      </c>
    </row>
    <row r="43" spans="1:35" x14ac:dyDescent="0.3">
      <c r="A43" s="1" t="str">
        <f>IF(Person4!$B$3+ROW(A41)-1&lt;=Person4!$C$3, Person4!$B$3+ROW(A41)-1, "")</f>
        <v/>
      </c>
      <c r="B43" s="1" t="str">
        <f>IF(Person4!$B$4+ROW(B41)-1&lt;=Person4!$C$4, Person4!$B$4+ROW(B41)-1, "")</f>
        <v/>
      </c>
      <c r="C43" s="1" t="str">
        <f>IF(Person4!$B$5+ROW(B41)-1&lt;=Person4!$C$5, Person4!$B$5+ROW(B41)-1, "")</f>
        <v/>
      </c>
      <c r="D43" s="1" t="str">
        <f>IF(Person4!$B$6+ROW(B41)-1&lt;=Person4!$C$6, Person4!$B$6+ROW(B41)-1, "")</f>
        <v/>
      </c>
      <c r="E43" s="1" t="str">
        <f>IF(Person4!$B$7+ROW(B41)-1&lt;=Person4!$C$7, Person4!$B$7+ROW(B41)-1, "")</f>
        <v/>
      </c>
      <c r="F43" s="1" t="str">
        <f>IF(Person4!$B$8+ROW(B41)-1&lt;=Person4!$C$8, Person4!$B$8+ROW(B41)-1, "")</f>
        <v/>
      </c>
      <c r="G43" s="1" t="str">
        <f>IF(Person4!$B$9+ROW(B41)-1&lt;=Person4!$C$9, Person4!$B$9+ROW(B41)-1, "")</f>
        <v/>
      </c>
      <c r="H43" s="1" t="str">
        <f>IF(Person4!$B$10+ROW(B41)-1&lt;=Person4!$C$10, Person4!$B$10+ROW(B41)-1, "")</f>
        <v/>
      </c>
      <c r="I43" s="1" t="str">
        <f>IF(Person4!$B$11+ROW(B41)-1&lt;=Person4!$C$11, Person4!$B$11+ROW(B41)-1, "")</f>
        <v/>
      </c>
      <c r="J43" s="1" t="str">
        <f>IF(Person4!$B$12+ROW(B41)-1&lt;=Person4!$C$12, Person4!$B$12+ROW(B41)-1, "")</f>
        <v/>
      </c>
      <c r="K43" s="1" t="str">
        <f>IF(Person4!$B$13+ROW(B41)-1&lt;=Person4!$C$13, Person4!$B$13+ROW(B41)-1, "")</f>
        <v/>
      </c>
      <c r="L43" s="1" t="str">
        <f>IF(Person4!$B$14+ROW(B41)-1&lt;=Person4!$C$14, Person4!$B$14+ROW(B41)-1, "")</f>
        <v/>
      </c>
      <c r="M43" s="1" t="str">
        <f>IF(Person4!$B$15+ROW(B41)-1&lt;=Person4!$C$15, Person4!$B$15+ROW(B41)-1, "")</f>
        <v/>
      </c>
      <c r="N43" s="1" t="str">
        <f>IF(Person4!$B$16+ROW(B41)-1&lt;=Person4!$C$16, Person4!$B$16+ROW(B41)-1, "")</f>
        <v/>
      </c>
      <c r="O43" s="1" t="str">
        <f>IF(Person4!$B$17+ROW(B41)-1&lt;=Person4!$C$17, Person4!$B$17+ROW(B41)-1, "")</f>
        <v/>
      </c>
      <c r="V43" s="1" t="str">
        <f>IF(Person4!$D$3+ROW(A41)-1&lt;=Person4!$E$3, Person4!$D$3+ROW(A41)-1, "")</f>
        <v/>
      </c>
      <c r="W43" s="1" t="str">
        <f>IF(Person4!$D$4+ROW(A41)-1&lt;=Person4!$E$4, Person4!$D$4+ROW(A41)-1, "")</f>
        <v/>
      </c>
      <c r="X43" s="1" t="str">
        <f>IF(Person4!$D$5+ROW(A41)-1&lt;=Person4!$E$5, Person4!$D$5+ROW(A41)-1, "")</f>
        <v/>
      </c>
      <c r="Y43" s="1" t="str">
        <f>IF(Person4!$D$6+ROW(A41)-1&lt;=Person4!$E$6, Person4!$D$6+ROW(A41)-1, "")</f>
        <v/>
      </c>
      <c r="Z43" s="1" t="str">
        <f>IF(Person4!$D$7+ROW(A41)-1&lt;=Person4!$E$7, Person4!$D$7+ROW(A41)-1, "")</f>
        <v/>
      </c>
      <c r="AA43" s="1" t="str">
        <f>IF(Person4!$D$8+ROW(A41)-1&lt;=Person4!$E$8, Person4!$D$8+ROW(A41)-1, "")</f>
        <v/>
      </c>
      <c r="AE43" s="1" t="str">
        <f>IF(Person4!$F$3+ROW(A41)-1&lt;=Person4!$G$3, Person4!$F$3+ROW(A41)-1, "")</f>
        <v/>
      </c>
      <c r="AF43" s="1" t="str">
        <f>IF(Person4!$F$4+ROW(A41)-1&lt;=Person4!$G$4, Person4!$F$4+ROW(A41)-1, "")</f>
        <v/>
      </c>
      <c r="AG43" s="1" t="str">
        <f>IF(Person4!$F$5+ROW(A41)-1&lt;=Person4!$G$5, Person4!$F$5+ROW(A41)-1, "")</f>
        <v/>
      </c>
      <c r="AH43" s="1" t="str">
        <f>IF(Person4!$F$6+ROW(A41)-1&lt;=Person4!$G$6, Person4!$F$6+ROW(A41)-1, "")</f>
        <v/>
      </c>
      <c r="AI43" s="1" t="str">
        <f>IF(Person4!$F$7+ROW(A41)-1&lt;=Person4!$G$7, Person4!$F$7+ROW(A41)-1, "")</f>
        <v/>
      </c>
    </row>
    <row r="44" spans="1:35" x14ac:dyDescent="0.3">
      <c r="A44" s="1" t="str">
        <f>IF(Person4!$B$3+ROW(A42)-1&lt;=Person4!$C$3, Person4!$B$3+ROW(A42)-1, "")</f>
        <v/>
      </c>
      <c r="B44" s="1" t="str">
        <f>IF(Person4!$B$4+ROW(B42)-1&lt;=Person4!$C$4, Person4!$B$4+ROW(B42)-1, "")</f>
        <v/>
      </c>
      <c r="C44" s="1" t="str">
        <f>IF(Person4!$B$5+ROW(B42)-1&lt;=Person4!$C$5, Person4!$B$5+ROW(B42)-1, "")</f>
        <v/>
      </c>
      <c r="D44" s="1" t="str">
        <f>IF(Person4!$B$6+ROW(B42)-1&lt;=Person4!$C$6, Person4!$B$6+ROW(B42)-1, "")</f>
        <v/>
      </c>
      <c r="E44" s="1" t="str">
        <f>IF(Person4!$B$7+ROW(B42)-1&lt;=Person4!$C$7, Person4!$B$7+ROW(B42)-1, "")</f>
        <v/>
      </c>
      <c r="F44" s="1" t="str">
        <f>IF(Person4!$B$8+ROW(B42)-1&lt;=Person4!$C$8, Person4!$B$8+ROW(B42)-1, "")</f>
        <v/>
      </c>
      <c r="G44" s="1" t="str">
        <f>IF(Person4!$B$9+ROW(B42)-1&lt;=Person4!$C$9, Person4!$B$9+ROW(B42)-1, "")</f>
        <v/>
      </c>
      <c r="H44" s="1" t="str">
        <f>IF(Person4!$B$10+ROW(B42)-1&lt;=Person4!$C$10, Person4!$B$10+ROW(B42)-1, "")</f>
        <v/>
      </c>
      <c r="I44" s="1" t="str">
        <f>IF(Person4!$B$11+ROW(B42)-1&lt;=Person4!$C$11, Person4!$B$11+ROW(B42)-1, "")</f>
        <v/>
      </c>
      <c r="J44" s="1" t="str">
        <f>IF(Person4!$B$12+ROW(B42)-1&lt;=Person4!$C$12, Person4!$B$12+ROW(B42)-1, "")</f>
        <v/>
      </c>
      <c r="K44" s="1" t="str">
        <f>IF(Person4!$B$13+ROW(B42)-1&lt;=Person4!$C$13, Person4!$B$13+ROW(B42)-1, "")</f>
        <v/>
      </c>
      <c r="L44" s="1" t="str">
        <f>IF(Person4!$B$14+ROW(B42)-1&lt;=Person4!$C$14, Person4!$B$14+ROW(B42)-1, "")</f>
        <v/>
      </c>
      <c r="M44" s="1" t="str">
        <f>IF(Person4!$B$15+ROW(B42)-1&lt;=Person4!$C$15, Person4!$B$15+ROW(B42)-1, "")</f>
        <v/>
      </c>
      <c r="N44" s="1" t="str">
        <f>IF(Person4!$B$16+ROW(B42)-1&lt;=Person4!$C$16, Person4!$B$16+ROW(B42)-1, "")</f>
        <v/>
      </c>
      <c r="O44" s="1" t="str">
        <f>IF(Person4!$B$17+ROW(B42)-1&lt;=Person4!$C$17, Person4!$B$17+ROW(B42)-1, "")</f>
        <v/>
      </c>
      <c r="V44" s="1" t="str">
        <f>IF(Person4!$D$3+ROW(A42)-1&lt;=Person4!$E$3, Person4!$D$3+ROW(A42)-1, "")</f>
        <v/>
      </c>
      <c r="W44" s="1" t="str">
        <f>IF(Person4!$D$4+ROW(A42)-1&lt;=Person4!$E$4, Person4!$D$4+ROW(A42)-1, "")</f>
        <v/>
      </c>
      <c r="X44" s="1" t="str">
        <f>IF(Person4!$D$5+ROW(A42)-1&lt;=Person4!$E$5, Person4!$D$5+ROW(A42)-1, "")</f>
        <v/>
      </c>
      <c r="Y44" s="1" t="str">
        <f>IF(Person4!$D$6+ROW(A42)-1&lt;=Person4!$E$6, Person4!$D$6+ROW(A42)-1, "")</f>
        <v/>
      </c>
      <c r="Z44" s="1" t="str">
        <f>IF(Person4!$D$7+ROW(A42)-1&lt;=Person4!$E$7, Person4!$D$7+ROW(A42)-1, "")</f>
        <v/>
      </c>
      <c r="AA44" s="1" t="str">
        <f>IF(Person4!$D$8+ROW(A42)-1&lt;=Person4!$E$8, Person4!$D$8+ROW(A42)-1, "")</f>
        <v/>
      </c>
      <c r="AE44" s="1" t="str">
        <f>IF(Person4!$F$3+ROW(A42)-1&lt;=Person4!$G$3, Person4!$F$3+ROW(A42)-1, "")</f>
        <v/>
      </c>
      <c r="AF44" s="1" t="str">
        <f>IF(Person4!$F$4+ROW(A42)-1&lt;=Person4!$G$4, Person4!$F$4+ROW(A42)-1, "")</f>
        <v/>
      </c>
      <c r="AG44" s="1" t="str">
        <f>IF(Person4!$F$5+ROW(A42)-1&lt;=Person4!$G$5, Person4!$F$5+ROW(A42)-1, "")</f>
        <v/>
      </c>
      <c r="AH44" s="1" t="str">
        <f>IF(Person4!$F$6+ROW(A42)-1&lt;=Person4!$G$6, Person4!$F$6+ROW(A42)-1, "")</f>
        <v/>
      </c>
      <c r="AI44" s="1" t="str">
        <f>IF(Person4!$F$7+ROW(A42)-1&lt;=Person4!$G$7, Person4!$F$7+ROW(A42)-1, "")</f>
        <v/>
      </c>
    </row>
    <row r="45" spans="1:35" x14ac:dyDescent="0.3">
      <c r="A45" s="1" t="str">
        <f>IF(Person4!$B$3+ROW(A43)-1&lt;=Person4!$C$3, Person4!$B$3+ROW(A43)-1, "")</f>
        <v/>
      </c>
      <c r="B45" s="1" t="str">
        <f>IF(Person4!$B$4+ROW(B43)-1&lt;=Person4!$C$4, Person4!$B$4+ROW(B43)-1, "")</f>
        <v/>
      </c>
      <c r="C45" s="1" t="str">
        <f>IF(Person4!$B$5+ROW(B43)-1&lt;=Person4!$C$5, Person4!$B$5+ROW(B43)-1, "")</f>
        <v/>
      </c>
      <c r="D45" s="1" t="str">
        <f>IF(Person4!$B$6+ROW(B43)-1&lt;=Person4!$C$6, Person4!$B$6+ROW(B43)-1, "")</f>
        <v/>
      </c>
      <c r="E45" s="1" t="str">
        <f>IF(Person4!$B$7+ROW(B43)-1&lt;=Person4!$C$7, Person4!$B$7+ROW(B43)-1, "")</f>
        <v/>
      </c>
      <c r="F45" s="1" t="str">
        <f>IF(Person4!$B$8+ROW(B43)-1&lt;=Person4!$C$8, Person4!$B$8+ROW(B43)-1, "")</f>
        <v/>
      </c>
      <c r="G45" s="1" t="str">
        <f>IF(Person4!$B$9+ROW(B43)-1&lt;=Person4!$C$9, Person4!$B$9+ROW(B43)-1, "")</f>
        <v/>
      </c>
      <c r="H45" s="1" t="str">
        <f>IF(Person4!$B$10+ROW(B43)-1&lt;=Person4!$C$10, Person4!$B$10+ROW(B43)-1, "")</f>
        <v/>
      </c>
      <c r="I45" s="1" t="str">
        <f>IF(Person4!$B$11+ROW(B43)-1&lt;=Person4!$C$11, Person4!$B$11+ROW(B43)-1, "")</f>
        <v/>
      </c>
      <c r="J45" s="1" t="str">
        <f>IF(Person4!$B$12+ROW(B43)-1&lt;=Person4!$C$12, Person4!$B$12+ROW(B43)-1, "")</f>
        <v/>
      </c>
      <c r="K45" s="1" t="str">
        <f>IF(Person4!$B$13+ROW(B43)-1&lt;=Person4!$C$13, Person4!$B$13+ROW(B43)-1, "")</f>
        <v/>
      </c>
      <c r="L45" s="1" t="str">
        <f>IF(Person4!$B$14+ROW(B43)-1&lt;=Person4!$C$14, Person4!$B$14+ROW(B43)-1, "")</f>
        <v/>
      </c>
      <c r="M45" s="1" t="str">
        <f>IF(Person4!$B$15+ROW(B43)-1&lt;=Person4!$C$15, Person4!$B$15+ROW(B43)-1, "")</f>
        <v/>
      </c>
      <c r="N45" s="1" t="str">
        <f>IF(Person4!$B$16+ROW(B43)-1&lt;=Person4!$C$16, Person4!$B$16+ROW(B43)-1, "")</f>
        <v/>
      </c>
      <c r="O45" s="1" t="str">
        <f>IF(Person4!$B$17+ROW(B43)-1&lt;=Person4!$C$17, Person4!$B$17+ROW(B43)-1, "")</f>
        <v/>
      </c>
      <c r="V45" s="1" t="str">
        <f>IF(Person4!$D$3+ROW(A43)-1&lt;=Person4!$E$3, Person4!$D$3+ROW(A43)-1, "")</f>
        <v/>
      </c>
      <c r="W45" s="1" t="str">
        <f>IF(Person4!$D$4+ROW(A43)-1&lt;=Person4!$E$4, Person4!$D$4+ROW(A43)-1, "")</f>
        <v/>
      </c>
      <c r="X45" s="1" t="str">
        <f>IF(Person4!$D$5+ROW(A43)-1&lt;=Person4!$E$5, Person4!$D$5+ROW(A43)-1, "")</f>
        <v/>
      </c>
      <c r="Y45" s="1" t="str">
        <f>IF(Person4!$D$6+ROW(A43)-1&lt;=Person4!$E$6, Person4!$D$6+ROW(A43)-1, "")</f>
        <v/>
      </c>
      <c r="Z45" s="1" t="str">
        <f>IF(Person4!$D$7+ROW(A43)-1&lt;=Person4!$E$7, Person4!$D$7+ROW(A43)-1, "")</f>
        <v/>
      </c>
      <c r="AA45" s="1" t="str">
        <f>IF(Person4!$D$8+ROW(A43)-1&lt;=Person4!$E$8, Person4!$D$8+ROW(A43)-1, "")</f>
        <v/>
      </c>
      <c r="AE45" s="1" t="str">
        <f>IF(Person4!$F$3+ROW(A43)-1&lt;=Person4!$G$3, Person4!$F$3+ROW(A43)-1, "")</f>
        <v/>
      </c>
      <c r="AF45" s="1" t="str">
        <f>IF(Person4!$F$4+ROW(A43)-1&lt;=Person4!$G$4, Person4!$F$4+ROW(A43)-1, "")</f>
        <v/>
      </c>
      <c r="AG45" s="1" t="str">
        <f>IF(Person4!$F$5+ROW(A43)-1&lt;=Person4!$G$5, Person4!$F$5+ROW(A43)-1, "")</f>
        <v/>
      </c>
      <c r="AH45" s="1" t="str">
        <f>IF(Person4!$F$6+ROW(A43)-1&lt;=Person4!$G$6, Person4!$F$6+ROW(A43)-1, "")</f>
        <v/>
      </c>
      <c r="AI45" s="1" t="str">
        <f>IF(Person4!$F$7+ROW(A43)-1&lt;=Person4!$G$7, Person4!$F$7+ROW(A43)-1, "")</f>
        <v/>
      </c>
    </row>
    <row r="46" spans="1:35" x14ac:dyDescent="0.3">
      <c r="A46" s="1" t="str">
        <f>IF(Person4!$B$3+ROW(A44)-1&lt;=Person4!$C$3, Person4!$B$3+ROW(A44)-1, "")</f>
        <v/>
      </c>
      <c r="B46" s="1" t="str">
        <f>IF(Person4!$B$4+ROW(B44)-1&lt;=Person4!$C$4, Person4!$B$4+ROW(B44)-1, "")</f>
        <v/>
      </c>
      <c r="C46" s="1" t="str">
        <f>IF(Person4!$B$5+ROW(B44)-1&lt;=Person4!$C$5, Person4!$B$5+ROW(B44)-1, "")</f>
        <v/>
      </c>
      <c r="D46" s="1" t="str">
        <f>IF(Person4!$B$6+ROW(B44)-1&lt;=Person4!$C$6, Person4!$B$6+ROW(B44)-1, "")</f>
        <v/>
      </c>
      <c r="E46" s="1" t="str">
        <f>IF(Person4!$B$7+ROW(B44)-1&lt;=Person4!$C$7, Person4!$B$7+ROW(B44)-1, "")</f>
        <v/>
      </c>
      <c r="F46" s="1" t="str">
        <f>IF(Person4!$B$8+ROW(B44)-1&lt;=Person4!$C$8, Person4!$B$8+ROW(B44)-1, "")</f>
        <v/>
      </c>
      <c r="G46" s="1" t="str">
        <f>IF(Person4!$B$9+ROW(B44)-1&lt;=Person4!$C$9, Person4!$B$9+ROW(B44)-1, "")</f>
        <v/>
      </c>
      <c r="H46" s="1" t="str">
        <f>IF(Person4!$B$10+ROW(B44)-1&lt;=Person4!$C$10, Person4!$B$10+ROW(B44)-1, "")</f>
        <v/>
      </c>
      <c r="I46" s="1" t="str">
        <f>IF(Person4!$B$11+ROW(B44)-1&lt;=Person4!$C$11, Person4!$B$11+ROW(B44)-1, "")</f>
        <v/>
      </c>
      <c r="J46" s="1" t="str">
        <f>IF(Person4!$B$12+ROW(B44)-1&lt;=Person4!$C$12, Person4!$B$12+ROW(B44)-1, "")</f>
        <v/>
      </c>
      <c r="K46" s="1" t="str">
        <f>IF(Person4!$B$13+ROW(B44)-1&lt;=Person4!$C$13, Person4!$B$13+ROW(B44)-1, "")</f>
        <v/>
      </c>
      <c r="L46" s="1" t="str">
        <f>IF(Person4!$B$14+ROW(B44)-1&lt;=Person4!$C$14, Person4!$B$14+ROW(B44)-1, "")</f>
        <v/>
      </c>
      <c r="M46" s="1" t="str">
        <f>IF(Person4!$B$15+ROW(B44)-1&lt;=Person4!$C$15, Person4!$B$15+ROW(B44)-1, "")</f>
        <v/>
      </c>
      <c r="N46" s="1" t="str">
        <f>IF(Person4!$B$16+ROW(B44)-1&lt;=Person4!$C$16, Person4!$B$16+ROW(B44)-1, "")</f>
        <v/>
      </c>
      <c r="O46" s="1" t="str">
        <f>IF(Person4!$B$17+ROW(B44)-1&lt;=Person4!$C$17, Person4!$B$17+ROW(B44)-1, "")</f>
        <v/>
      </c>
      <c r="V46" s="1" t="str">
        <f>IF(Person4!$D$3+ROW(A44)-1&lt;=Person4!$E$3, Person4!$D$3+ROW(A44)-1, "")</f>
        <v/>
      </c>
      <c r="W46" s="1" t="str">
        <f>IF(Person4!$D$4+ROW(A44)-1&lt;=Person4!$E$4, Person4!$D$4+ROW(A44)-1, "")</f>
        <v/>
      </c>
      <c r="X46" s="1" t="str">
        <f>IF(Person4!$D$5+ROW(A44)-1&lt;=Person4!$E$5, Person4!$D$5+ROW(A44)-1, "")</f>
        <v/>
      </c>
      <c r="Y46" s="1" t="str">
        <f>IF(Person4!$D$6+ROW(A44)-1&lt;=Person4!$E$6, Person4!$D$6+ROW(A44)-1, "")</f>
        <v/>
      </c>
      <c r="Z46" s="1" t="str">
        <f>IF(Person4!$D$7+ROW(A44)-1&lt;=Person4!$E$7, Person4!$D$7+ROW(A44)-1, "")</f>
        <v/>
      </c>
      <c r="AA46" s="1" t="str">
        <f>IF(Person4!$D$8+ROW(A44)-1&lt;=Person4!$E$8, Person4!$D$8+ROW(A44)-1, "")</f>
        <v/>
      </c>
      <c r="AE46" s="1" t="str">
        <f>IF(Person4!$F$3+ROW(A44)-1&lt;=Person4!$G$3, Person4!$F$3+ROW(A44)-1, "")</f>
        <v/>
      </c>
      <c r="AF46" s="1" t="str">
        <f>IF(Person4!$F$4+ROW(A44)-1&lt;=Person4!$G$4, Person4!$F$4+ROW(A44)-1, "")</f>
        <v/>
      </c>
      <c r="AG46" s="1" t="str">
        <f>IF(Person4!$F$5+ROW(A44)-1&lt;=Person4!$G$5, Person4!$F$5+ROW(A44)-1, "")</f>
        <v/>
      </c>
      <c r="AH46" s="1" t="str">
        <f>IF(Person4!$F$6+ROW(A44)-1&lt;=Person4!$G$6, Person4!$F$6+ROW(A44)-1, "")</f>
        <v/>
      </c>
      <c r="AI46" s="1" t="str">
        <f>IF(Person4!$F$7+ROW(A44)-1&lt;=Person4!$G$7, Person4!$F$7+ROW(A44)-1, "")</f>
        <v/>
      </c>
    </row>
    <row r="47" spans="1:35" x14ac:dyDescent="0.3">
      <c r="A47" s="1" t="str">
        <f>IF(Person4!$B$3+ROW(A45)-1&lt;=Person4!$C$3, Person4!$B$3+ROW(A45)-1, "")</f>
        <v/>
      </c>
      <c r="B47" s="1" t="str">
        <f>IF(Person4!$B$4+ROW(B45)-1&lt;=Person4!$C$4, Person4!$B$4+ROW(B45)-1, "")</f>
        <v/>
      </c>
      <c r="C47" s="1" t="str">
        <f>IF(Person4!$B$5+ROW(B45)-1&lt;=Person4!$C$5, Person4!$B$5+ROW(B45)-1, "")</f>
        <v/>
      </c>
      <c r="D47" s="1" t="str">
        <f>IF(Person4!$B$6+ROW(B45)-1&lt;=Person4!$C$6, Person4!$B$6+ROW(B45)-1, "")</f>
        <v/>
      </c>
      <c r="E47" s="1" t="str">
        <f>IF(Person4!$B$7+ROW(B45)-1&lt;=Person4!$C$7, Person4!$B$7+ROW(B45)-1, "")</f>
        <v/>
      </c>
      <c r="F47" s="1" t="str">
        <f>IF(Person4!$B$8+ROW(B45)-1&lt;=Person4!$C$8, Person4!$B$8+ROW(B45)-1, "")</f>
        <v/>
      </c>
      <c r="G47" s="1" t="str">
        <f>IF(Person4!$B$9+ROW(B45)-1&lt;=Person4!$C$9, Person4!$B$9+ROW(B45)-1, "")</f>
        <v/>
      </c>
      <c r="H47" s="1" t="str">
        <f>IF(Person4!$B$10+ROW(B45)-1&lt;=Person4!$C$10, Person4!$B$10+ROW(B45)-1, "")</f>
        <v/>
      </c>
      <c r="I47" s="1" t="str">
        <f>IF(Person4!$B$11+ROW(B45)-1&lt;=Person4!$C$11, Person4!$B$11+ROW(B45)-1, "")</f>
        <v/>
      </c>
      <c r="J47" s="1" t="str">
        <f>IF(Person4!$B$12+ROW(B45)-1&lt;=Person4!$C$12, Person4!$B$12+ROW(B45)-1, "")</f>
        <v/>
      </c>
      <c r="K47" s="1" t="str">
        <f>IF(Person4!$B$13+ROW(B45)-1&lt;=Person4!$C$13, Person4!$B$13+ROW(B45)-1, "")</f>
        <v/>
      </c>
      <c r="L47" s="1" t="str">
        <f>IF(Person4!$B$14+ROW(B45)-1&lt;=Person4!$C$14, Person4!$B$14+ROW(B45)-1, "")</f>
        <v/>
      </c>
      <c r="M47" s="1" t="str">
        <f>IF(Person4!$B$15+ROW(B45)-1&lt;=Person4!$C$15, Person4!$B$15+ROW(B45)-1, "")</f>
        <v/>
      </c>
      <c r="N47" s="1" t="str">
        <f>IF(Person4!$B$16+ROW(B45)-1&lt;=Person4!$C$16, Person4!$B$16+ROW(B45)-1, "")</f>
        <v/>
      </c>
      <c r="O47" s="1" t="str">
        <f>IF(Person4!$B$17+ROW(B45)-1&lt;=Person4!$C$17, Person4!$B$17+ROW(B45)-1, "")</f>
        <v/>
      </c>
      <c r="V47" s="1" t="str">
        <f>IF(Person4!$D$3+ROW(A45)-1&lt;=Person4!$E$3, Person4!$D$3+ROW(A45)-1, "")</f>
        <v/>
      </c>
      <c r="W47" s="1" t="str">
        <f>IF(Person4!$D$4+ROW(A45)-1&lt;=Person4!$E$4, Person4!$D$4+ROW(A45)-1, "")</f>
        <v/>
      </c>
      <c r="X47" s="1" t="str">
        <f>IF(Person4!$D$5+ROW(A45)-1&lt;=Person4!$E$5, Person4!$D$5+ROW(A45)-1, "")</f>
        <v/>
      </c>
      <c r="Y47" s="1" t="str">
        <f>IF(Person4!$D$6+ROW(A45)-1&lt;=Person4!$E$6, Person4!$D$6+ROW(A45)-1, "")</f>
        <v/>
      </c>
      <c r="Z47" s="1" t="str">
        <f>IF(Person4!$D$7+ROW(A45)-1&lt;=Person4!$E$7, Person4!$D$7+ROW(A45)-1, "")</f>
        <v/>
      </c>
      <c r="AA47" s="1" t="str">
        <f>IF(Person4!$D$8+ROW(A45)-1&lt;=Person4!$E$8, Person4!$D$8+ROW(A45)-1, "")</f>
        <v/>
      </c>
      <c r="AE47" s="1" t="str">
        <f>IF(Person4!$F$3+ROW(A45)-1&lt;=Person4!$G$3, Person4!$F$3+ROW(A45)-1, "")</f>
        <v/>
      </c>
      <c r="AF47" s="1" t="str">
        <f>IF(Person4!$F$4+ROW(A45)-1&lt;=Person4!$G$4, Person4!$F$4+ROW(A45)-1, "")</f>
        <v/>
      </c>
      <c r="AG47" s="1" t="str">
        <f>IF(Person4!$F$5+ROW(A45)-1&lt;=Person4!$G$5, Person4!$F$5+ROW(A45)-1, "")</f>
        <v/>
      </c>
      <c r="AH47" s="1" t="str">
        <f>IF(Person4!$F$6+ROW(A45)-1&lt;=Person4!$G$6, Person4!$F$6+ROW(A45)-1, "")</f>
        <v/>
      </c>
      <c r="AI47" s="1" t="str">
        <f>IF(Person4!$F$7+ROW(A45)-1&lt;=Person4!$G$7, Person4!$F$7+ROW(A45)-1, "")</f>
        <v/>
      </c>
    </row>
    <row r="48" spans="1:35" x14ac:dyDescent="0.3">
      <c r="A48" s="1" t="str">
        <f>IF(Person4!$B$3+ROW(A46)-1&lt;=Person4!$C$3, Person4!$B$3+ROW(A46)-1, "")</f>
        <v/>
      </c>
      <c r="B48" s="1" t="str">
        <f>IF(Person4!$B$4+ROW(B46)-1&lt;=Person4!$C$4, Person4!$B$4+ROW(B46)-1, "")</f>
        <v/>
      </c>
      <c r="C48" s="1" t="str">
        <f>IF(Person4!$B$5+ROW(B46)-1&lt;=Person4!$C$5, Person4!$B$5+ROW(B46)-1, "")</f>
        <v/>
      </c>
      <c r="D48" s="1" t="str">
        <f>IF(Person4!$B$6+ROW(B46)-1&lt;=Person4!$C$6, Person4!$B$6+ROW(B46)-1, "")</f>
        <v/>
      </c>
      <c r="E48" s="1" t="str">
        <f>IF(Person4!$B$7+ROW(B46)-1&lt;=Person4!$C$7, Person4!$B$7+ROW(B46)-1, "")</f>
        <v/>
      </c>
      <c r="F48" s="1" t="str">
        <f>IF(Person4!$B$8+ROW(B46)-1&lt;=Person4!$C$8, Person4!$B$8+ROW(B46)-1, "")</f>
        <v/>
      </c>
      <c r="G48" s="1" t="str">
        <f>IF(Person4!$B$9+ROW(B46)-1&lt;=Person4!$C$9, Person4!$B$9+ROW(B46)-1, "")</f>
        <v/>
      </c>
      <c r="H48" s="1" t="str">
        <f>IF(Person4!$B$10+ROW(B46)-1&lt;=Person4!$C$10, Person4!$B$10+ROW(B46)-1, "")</f>
        <v/>
      </c>
      <c r="I48" s="1" t="str">
        <f>IF(Person4!$B$11+ROW(B46)-1&lt;=Person4!$C$11, Person4!$B$11+ROW(B46)-1, "")</f>
        <v/>
      </c>
      <c r="J48" s="1" t="str">
        <f>IF(Person4!$B$12+ROW(B46)-1&lt;=Person4!$C$12, Person4!$B$12+ROW(B46)-1, "")</f>
        <v/>
      </c>
      <c r="K48" s="1" t="str">
        <f>IF(Person4!$B$13+ROW(B46)-1&lt;=Person4!$C$13, Person4!$B$13+ROW(B46)-1, "")</f>
        <v/>
      </c>
      <c r="L48" s="1" t="str">
        <f>IF(Person4!$B$14+ROW(B46)-1&lt;=Person4!$C$14, Person4!$B$14+ROW(B46)-1, "")</f>
        <v/>
      </c>
      <c r="M48" s="1" t="str">
        <f>IF(Person4!$B$15+ROW(B46)-1&lt;=Person4!$C$15, Person4!$B$15+ROW(B46)-1, "")</f>
        <v/>
      </c>
      <c r="N48" s="1" t="str">
        <f>IF(Person4!$B$16+ROW(B46)-1&lt;=Person4!$C$16, Person4!$B$16+ROW(B46)-1, "")</f>
        <v/>
      </c>
      <c r="O48" s="1" t="str">
        <f>IF(Person4!$B$17+ROW(B46)-1&lt;=Person4!$C$17, Person4!$B$17+ROW(B46)-1, "")</f>
        <v/>
      </c>
      <c r="V48" s="1" t="str">
        <f>IF(Person4!$D$3+ROW(A46)-1&lt;=Person4!$E$3, Person4!$D$3+ROW(A46)-1, "")</f>
        <v/>
      </c>
      <c r="W48" s="1" t="str">
        <f>IF(Person4!$D$4+ROW(A46)-1&lt;=Person4!$E$4, Person4!$D$4+ROW(A46)-1, "")</f>
        <v/>
      </c>
      <c r="X48" s="1" t="str">
        <f>IF(Person4!$D$5+ROW(A46)-1&lt;=Person4!$E$5, Person4!$D$5+ROW(A46)-1, "")</f>
        <v/>
      </c>
      <c r="Y48" s="1" t="str">
        <f>IF(Person4!$D$6+ROW(A46)-1&lt;=Person4!$E$6, Person4!$D$6+ROW(A46)-1, "")</f>
        <v/>
      </c>
      <c r="Z48" s="1" t="str">
        <f>IF(Person4!$D$7+ROW(A46)-1&lt;=Person4!$E$7, Person4!$D$7+ROW(A46)-1, "")</f>
        <v/>
      </c>
      <c r="AA48" s="1" t="str">
        <f>IF(Person4!$D$8+ROW(A46)-1&lt;=Person4!$E$8, Person4!$D$8+ROW(A46)-1, "")</f>
        <v/>
      </c>
      <c r="AE48" s="1" t="str">
        <f>IF(Person4!$F$3+ROW(A46)-1&lt;=Person4!$G$3, Person4!$F$3+ROW(A46)-1, "")</f>
        <v/>
      </c>
      <c r="AF48" s="1" t="str">
        <f>IF(Person4!$F$4+ROW(A46)-1&lt;=Person4!$G$4, Person4!$F$4+ROW(A46)-1, "")</f>
        <v/>
      </c>
      <c r="AG48" s="1" t="str">
        <f>IF(Person4!$F$5+ROW(A46)-1&lt;=Person4!$G$5, Person4!$F$5+ROW(A46)-1, "")</f>
        <v/>
      </c>
      <c r="AH48" s="1" t="str">
        <f>IF(Person4!$F$6+ROW(A46)-1&lt;=Person4!$G$6, Person4!$F$6+ROW(A46)-1, "")</f>
        <v/>
      </c>
      <c r="AI48" s="1" t="str">
        <f>IF(Person4!$F$7+ROW(A46)-1&lt;=Person4!$G$7, Person4!$F$7+ROW(A46)-1, "")</f>
        <v/>
      </c>
    </row>
    <row r="49" spans="1:35" x14ac:dyDescent="0.3">
      <c r="A49" s="1" t="str">
        <f>IF(Person4!$B$3+ROW(A47)-1&lt;=Person4!$C$3, Person4!$B$3+ROW(A47)-1, "")</f>
        <v/>
      </c>
      <c r="B49" s="1" t="str">
        <f>IF(Person4!$B$4+ROW(B47)-1&lt;=Person4!$C$4, Person4!$B$4+ROW(B47)-1, "")</f>
        <v/>
      </c>
      <c r="C49" s="1" t="str">
        <f>IF(Person4!$B$5+ROW(B47)-1&lt;=Person4!$C$5, Person4!$B$5+ROW(B47)-1, "")</f>
        <v/>
      </c>
      <c r="D49" s="1" t="str">
        <f>IF(Person4!$B$6+ROW(B47)-1&lt;=Person4!$C$6, Person4!$B$6+ROW(B47)-1, "")</f>
        <v/>
      </c>
      <c r="E49" s="1" t="str">
        <f>IF(Person4!$B$7+ROW(B47)-1&lt;=Person4!$C$7, Person4!$B$7+ROW(B47)-1, "")</f>
        <v/>
      </c>
      <c r="F49" s="1" t="str">
        <f>IF(Person4!$B$8+ROW(B47)-1&lt;=Person4!$C$8, Person4!$B$8+ROW(B47)-1, "")</f>
        <v/>
      </c>
      <c r="G49" s="1" t="str">
        <f>IF(Person4!$B$9+ROW(B47)-1&lt;=Person4!$C$9, Person4!$B$9+ROW(B47)-1, "")</f>
        <v/>
      </c>
      <c r="H49" s="1" t="str">
        <f>IF(Person4!$B$10+ROW(B47)-1&lt;=Person4!$C$10, Person4!$B$10+ROW(B47)-1, "")</f>
        <v/>
      </c>
      <c r="I49" s="1" t="str">
        <f>IF(Person4!$B$11+ROW(B47)-1&lt;=Person4!$C$11, Person4!$B$11+ROW(B47)-1, "")</f>
        <v/>
      </c>
      <c r="J49" s="1" t="str">
        <f>IF(Person4!$B$12+ROW(B47)-1&lt;=Person4!$C$12, Person4!$B$12+ROW(B47)-1, "")</f>
        <v/>
      </c>
      <c r="K49" s="1" t="str">
        <f>IF(Person4!$B$13+ROW(B47)-1&lt;=Person4!$C$13, Person4!$B$13+ROW(B47)-1, "")</f>
        <v/>
      </c>
      <c r="L49" s="1" t="str">
        <f>IF(Person4!$B$14+ROW(B47)-1&lt;=Person4!$C$14, Person4!$B$14+ROW(B47)-1, "")</f>
        <v/>
      </c>
      <c r="M49" s="1" t="str">
        <f>IF(Person4!$B$15+ROW(B47)-1&lt;=Person4!$C$15, Person4!$B$15+ROW(B47)-1, "")</f>
        <v/>
      </c>
      <c r="N49" s="1" t="str">
        <f>IF(Person4!$B$16+ROW(B47)-1&lt;=Person4!$C$16, Person4!$B$16+ROW(B47)-1, "")</f>
        <v/>
      </c>
      <c r="O49" s="1" t="str">
        <f>IF(Person4!$B$17+ROW(B47)-1&lt;=Person4!$C$17, Person4!$B$17+ROW(B47)-1, "")</f>
        <v/>
      </c>
      <c r="V49" s="1" t="str">
        <f>IF(Person4!$D$3+ROW(A47)-1&lt;=Person4!$E$3, Person4!$D$3+ROW(A47)-1, "")</f>
        <v/>
      </c>
      <c r="W49" s="1" t="str">
        <f>IF(Person4!$D$4+ROW(A47)-1&lt;=Person4!$E$4, Person4!$D$4+ROW(A47)-1, "")</f>
        <v/>
      </c>
      <c r="X49" s="1" t="str">
        <f>IF(Person4!$D$5+ROW(A47)-1&lt;=Person4!$E$5, Person4!$D$5+ROW(A47)-1, "")</f>
        <v/>
      </c>
      <c r="Y49" s="1" t="str">
        <f>IF(Person4!$D$6+ROW(A47)-1&lt;=Person4!$E$6, Person4!$D$6+ROW(A47)-1, "")</f>
        <v/>
      </c>
      <c r="Z49" s="1" t="str">
        <f>IF(Person4!$D$7+ROW(A47)-1&lt;=Person4!$E$7, Person4!$D$7+ROW(A47)-1, "")</f>
        <v/>
      </c>
      <c r="AA49" s="1" t="str">
        <f>IF(Person4!$D$8+ROW(A47)-1&lt;=Person4!$E$8, Person4!$D$8+ROW(A47)-1, "")</f>
        <v/>
      </c>
      <c r="AE49" s="1" t="str">
        <f>IF(Person4!$F$3+ROW(A47)-1&lt;=Person4!$G$3, Person4!$F$3+ROW(A47)-1, "")</f>
        <v/>
      </c>
      <c r="AF49" s="1" t="str">
        <f>IF(Person4!$F$4+ROW(A47)-1&lt;=Person4!$G$4, Person4!$F$4+ROW(A47)-1, "")</f>
        <v/>
      </c>
      <c r="AG49" s="1" t="str">
        <f>IF(Person4!$F$5+ROW(A47)-1&lt;=Person4!$G$5, Person4!$F$5+ROW(A47)-1, "")</f>
        <v/>
      </c>
      <c r="AH49" s="1" t="str">
        <f>IF(Person4!$F$6+ROW(A47)-1&lt;=Person4!$G$6, Person4!$F$6+ROW(A47)-1, "")</f>
        <v/>
      </c>
      <c r="AI49" s="1" t="str">
        <f>IF(Person4!$F$7+ROW(A47)-1&lt;=Person4!$G$7, Person4!$F$7+ROW(A47)-1, "")</f>
        <v/>
      </c>
    </row>
    <row r="50" spans="1:35" x14ac:dyDescent="0.3">
      <c r="A50" s="1" t="str">
        <f>IF(Person4!$B$3+ROW(A48)-1&lt;=Person4!$C$3, Person4!$B$3+ROW(A48)-1, "")</f>
        <v/>
      </c>
      <c r="B50" s="1" t="str">
        <f>IF(Person4!$B$4+ROW(B48)-1&lt;=Person4!$C$4, Person4!$B$4+ROW(B48)-1, "")</f>
        <v/>
      </c>
      <c r="C50" s="1" t="str">
        <f>IF(Person4!$B$5+ROW(B48)-1&lt;=Person4!$C$5, Person4!$B$5+ROW(B48)-1, "")</f>
        <v/>
      </c>
      <c r="D50" s="1" t="str">
        <f>IF(Person4!$B$6+ROW(B48)-1&lt;=Person4!$C$6, Person4!$B$6+ROW(B48)-1, "")</f>
        <v/>
      </c>
      <c r="E50" s="1" t="str">
        <f>IF(Person4!$B$7+ROW(B48)-1&lt;=Person4!$C$7, Person4!$B$7+ROW(B48)-1, "")</f>
        <v/>
      </c>
      <c r="F50" s="1" t="str">
        <f>IF(Person4!$B$8+ROW(B48)-1&lt;=Person4!$C$8, Person4!$B$8+ROW(B48)-1, "")</f>
        <v/>
      </c>
      <c r="G50" s="1" t="str">
        <f>IF(Person4!$B$9+ROW(B48)-1&lt;=Person4!$C$9, Person4!$B$9+ROW(B48)-1, "")</f>
        <v/>
      </c>
      <c r="H50" s="1" t="str">
        <f>IF(Person4!$B$10+ROW(B48)-1&lt;=Person4!$C$10, Person4!$B$10+ROW(B48)-1, "")</f>
        <v/>
      </c>
      <c r="I50" s="1" t="str">
        <f>IF(Person4!$B$11+ROW(B48)-1&lt;=Person4!$C$11, Person4!$B$11+ROW(B48)-1, "")</f>
        <v/>
      </c>
      <c r="J50" s="1" t="str">
        <f>IF(Person4!$B$12+ROW(B48)-1&lt;=Person4!$C$12, Person4!$B$12+ROW(B48)-1, "")</f>
        <v/>
      </c>
      <c r="K50" s="1" t="str">
        <f>IF(Person4!$B$13+ROW(B48)-1&lt;=Person4!$C$13, Person4!$B$13+ROW(B48)-1, "")</f>
        <v/>
      </c>
      <c r="L50" s="1" t="str">
        <f>IF(Person4!$B$14+ROW(B48)-1&lt;=Person4!$C$14, Person4!$B$14+ROW(B48)-1, "")</f>
        <v/>
      </c>
      <c r="M50" s="1" t="str">
        <f>IF(Person4!$B$15+ROW(B48)-1&lt;=Person4!$C$15, Person4!$B$15+ROW(B48)-1, "")</f>
        <v/>
      </c>
      <c r="N50" s="1" t="str">
        <f>IF(Person4!$B$16+ROW(B48)-1&lt;=Person4!$C$16, Person4!$B$16+ROW(B48)-1, "")</f>
        <v/>
      </c>
      <c r="O50" s="1" t="str">
        <f>IF(Person4!$B$17+ROW(B48)-1&lt;=Person4!$C$17, Person4!$B$17+ROW(B48)-1, "")</f>
        <v/>
      </c>
      <c r="V50" s="1" t="str">
        <f>IF(Person4!$D$3+ROW(A48)-1&lt;=Person4!$E$3, Person4!$D$3+ROW(A48)-1, "")</f>
        <v/>
      </c>
      <c r="W50" s="1" t="str">
        <f>IF(Person4!$D$4+ROW(A48)-1&lt;=Person4!$E$4, Person4!$D$4+ROW(A48)-1, "")</f>
        <v/>
      </c>
      <c r="X50" s="1" t="str">
        <f>IF(Person4!$D$5+ROW(A48)-1&lt;=Person4!$E$5, Person4!$D$5+ROW(A48)-1, "")</f>
        <v/>
      </c>
      <c r="Y50" s="1" t="str">
        <f>IF(Person4!$D$6+ROW(A48)-1&lt;=Person4!$E$6, Person4!$D$6+ROW(A48)-1, "")</f>
        <v/>
      </c>
      <c r="Z50" s="1" t="str">
        <f>IF(Person4!$D$7+ROW(A48)-1&lt;=Person4!$E$7, Person4!$D$7+ROW(A48)-1, "")</f>
        <v/>
      </c>
      <c r="AA50" s="1" t="str">
        <f>IF(Person4!$D$8+ROW(A48)-1&lt;=Person4!$E$8, Person4!$D$8+ROW(A48)-1, "")</f>
        <v/>
      </c>
      <c r="AE50" s="1" t="str">
        <f>IF(Person4!$F$3+ROW(A48)-1&lt;=Person4!$G$3, Person4!$F$3+ROW(A48)-1, "")</f>
        <v/>
      </c>
      <c r="AF50" s="1" t="str">
        <f>IF(Person4!$F$4+ROW(A48)-1&lt;=Person4!$G$4, Person4!$F$4+ROW(A48)-1, "")</f>
        <v/>
      </c>
      <c r="AG50" s="1" t="str">
        <f>IF(Person4!$F$5+ROW(A48)-1&lt;=Person4!$G$5, Person4!$F$5+ROW(A48)-1, "")</f>
        <v/>
      </c>
      <c r="AH50" s="1" t="str">
        <f>IF(Person4!$F$6+ROW(A48)-1&lt;=Person4!$G$6, Person4!$F$6+ROW(A48)-1, "")</f>
        <v/>
      </c>
      <c r="AI50" s="1" t="str">
        <f>IF(Person4!$F$7+ROW(A48)-1&lt;=Person4!$G$7, Person4!$F$7+ROW(A48)-1, "")</f>
        <v/>
      </c>
    </row>
    <row r="51" spans="1:35" x14ac:dyDescent="0.3">
      <c r="A51" s="1" t="str">
        <f>IF(Person4!$B$3+ROW(A49)-1&lt;=Person4!$C$3, Person4!$B$3+ROW(A49)-1, "")</f>
        <v/>
      </c>
      <c r="B51" s="1" t="str">
        <f>IF(Person4!$B$4+ROW(B49)-1&lt;=Person4!$C$4, Person4!$B$4+ROW(B49)-1, "")</f>
        <v/>
      </c>
      <c r="C51" s="1" t="str">
        <f>IF(Person4!$B$5+ROW(B49)-1&lt;=Person4!$C$5, Person4!$B$5+ROW(B49)-1, "")</f>
        <v/>
      </c>
      <c r="D51" s="1" t="str">
        <f>IF(Person4!$B$6+ROW(B49)-1&lt;=Person4!$C$6, Person4!$B$6+ROW(B49)-1, "")</f>
        <v/>
      </c>
      <c r="E51" s="1" t="str">
        <f>IF(Person4!$B$7+ROW(B49)-1&lt;=Person4!$C$7, Person4!$B$7+ROW(B49)-1, "")</f>
        <v/>
      </c>
      <c r="F51" s="1" t="str">
        <f>IF(Person4!$B$8+ROW(B49)-1&lt;=Person4!$C$8, Person4!$B$8+ROW(B49)-1, "")</f>
        <v/>
      </c>
      <c r="G51" s="1" t="str">
        <f>IF(Person4!$B$9+ROW(B49)-1&lt;=Person4!$C$9, Person4!$B$9+ROW(B49)-1, "")</f>
        <v/>
      </c>
      <c r="H51" s="1" t="str">
        <f>IF(Person4!$B$10+ROW(B49)-1&lt;=Person4!$C$10, Person4!$B$10+ROW(B49)-1, "")</f>
        <v/>
      </c>
      <c r="I51" s="1" t="str">
        <f>IF(Person4!$B$11+ROW(B49)-1&lt;=Person4!$C$11, Person4!$B$11+ROW(B49)-1, "")</f>
        <v/>
      </c>
      <c r="J51" s="1" t="str">
        <f>IF(Person4!$B$12+ROW(B49)-1&lt;=Person4!$C$12, Person4!$B$12+ROW(B49)-1, "")</f>
        <v/>
      </c>
      <c r="K51" s="1" t="str">
        <f>IF(Person4!$B$13+ROW(B49)-1&lt;=Person4!$C$13, Person4!$B$13+ROW(B49)-1, "")</f>
        <v/>
      </c>
      <c r="L51" s="1" t="str">
        <f>IF(Person4!$B$14+ROW(B49)-1&lt;=Person4!$C$14, Person4!$B$14+ROW(B49)-1, "")</f>
        <v/>
      </c>
      <c r="M51" s="1" t="str">
        <f>IF(Person4!$B$15+ROW(B49)-1&lt;=Person4!$C$15, Person4!$B$15+ROW(B49)-1, "")</f>
        <v/>
      </c>
      <c r="N51" s="1" t="str">
        <f>IF(Person4!$B$16+ROW(B49)-1&lt;=Person4!$C$16, Person4!$B$16+ROW(B49)-1, "")</f>
        <v/>
      </c>
      <c r="O51" s="1" t="str">
        <f>IF(Person4!$B$17+ROW(B49)-1&lt;=Person4!$C$17, Person4!$B$17+ROW(B49)-1, "")</f>
        <v/>
      </c>
      <c r="V51" s="1" t="str">
        <f>IF(Person4!$D$3+ROW(A49)-1&lt;=Person4!$E$3, Person4!$D$3+ROW(A49)-1, "")</f>
        <v/>
      </c>
      <c r="W51" s="1" t="str">
        <f>IF(Person4!$D$4+ROW(A49)-1&lt;=Person4!$E$4, Person4!$D$4+ROW(A49)-1, "")</f>
        <v/>
      </c>
      <c r="X51" s="1" t="str">
        <f>IF(Person4!$D$5+ROW(A49)-1&lt;=Person4!$E$5, Person4!$D$5+ROW(A49)-1, "")</f>
        <v/>
      </c>
      <c r="Y51" s="1" t="str">
        <f>IF(Person4!$D$6+ROW(A49)-1&lt;=Person4!$E$6, Person4!$D$6+ROW(A49)-1, "")</f>
        <v/>
      </c>
      <c r="Z51" s="1" t="str">
        <f>IF(Person4!$D$7+ROW(A49)-1&lt;=Person4!$E$7, Person4!$D$7+ROW(A49)-1, "")</f>
        <v/>
      </c>
      <c r="AA51" s="1" t="str">
        <f>IF(Person4!$D$8+ROW(A49)-1&lt;=Person4!$E$8, Person4!$D$8+ROW(A49)-1, "")</f>
        <v/>
      </c>
      <c r="AE51" s="1" t="str">
        <f>IF(Person4!$F$3+ROW(A49)-1&lt;=Person4!$G$3, Person4!$F$3+ROW(A49)-1, "")</f>
        <v/>
      </c>
      <c r="AF51" s="1" t="str">
        <f>IF(Person4!$F$4+ROW(A49)-1&lt;=Person4!$G$4, Person4!$F$4+ROW(A49)-1, "")</f>
        <v/>
      </c>
      <c r="AG51" s="1" t="str">
        <f>IF(Person4!$F$5+ROW(A49)-1&lt;=Person4!$G$5, Person4!$F$5+ROW(A49)-1, "")</f>
        <v/>
      </c>
      <c r="AH51" s="1" t="str">
        <f>IF(Person4!$F$6+ROW(A49)-1&lt;=Person4!$G$6, Person4!$F$6+ROW(A49)-1, "")</f>
        <v/>
      </c>
      <c r="AI51" s="1" t="str">
        <f>IF(Person4!$F$7+ROW(A49)-1&lt;=Person4!$G$7, Person4!$F$7+ROW(A49)-1, "")</f>
        <v/>
      </c>
    </row>
    <row r="52" spans="1:35" x14ac:dyDescent="0.3">
      <c r="A52" s="1" t="str">
        <f>IF(Person4!$B$3+ROW(A50)-1&lt;=Person4!$C$3, Person4!$B$3+ROW(A50)-1, "")</f>
        <v/>
      </c>
      <c r="B52" s="1" t="str">
        <f>IF(Person4!$B$4+ROW(B50)-1&lt;=Person4!$C$4, Person4!$B$4+ROW(B50)-1, "")</f>
        <v/>
      </c>
      <c r="C52" s="1" t="str">
        <f>IF(Person4!$B$5+ROW(B50)-1&lt;=Person4!$C$5, Person4!$B$5+ROW(B50)-1, "")</f>
        <v/>
      </c>
      <c r="D52" s="1" t="str">
        <f>IF(Person4!$B$6+ROW(B50)-1&lt;=Person4!$C$6, Person4!$B$6+ROW(B50)-1, "")</f>
        <v/>
      </c>
      <c r="E52" s="1" t="str">
        <f>IF(Person4!$B$7+ROW(B50)-1&lt;=Person4!$C$7, Person4!$B$7+ROW(B50)-1, "")</f>
        <v/>
      </c>
      <c r="F52" s="1" t="str">
        <f>IF(Person4!$B$8+ROW(B50)-1&lt;=Person4!$C$8, Person4!$B$8+ROW(B50)-1, "")</f>
        <v/>
      </c>
      <c r="G52" s="1" t="str">
        <f>IF(Person4!$B$9+ROW(B50)-1&lt;=Person4!$C$9, Person4!$B$9+ROW(B50)-1, "")</f>
        <v/>
      </c>
      <c r="H52" s="1" t="str">
        <f>IF(Person4!$B$10+ROW(B50)-1&lt;=Person4!$C$10, Person4!$B$10+ROW(B50)-1, "")</f>
        <v/>
      </c>
      <c r="I52" s="1" t="str">
        <f>IF(Person4!$B$11+ROW(B50)-1&lt;=Person4!$C$11, Person4!$B$11+ROW(B50)-1, "")</f>
        <v/>
      </c>
      <c r="J52" s="1" t="str">
        <f>IF(Person4!$B$12+ROW(B50)-1&lt;=Person4!$C$12, Person4!$B$12+ROW(B50)-1, "")</f>
        <v/>
      </c>
      <c r="K52" s="1" t="str">
        <f>IF(Person4!$B$13+ROW(B50)-1&lt;=Person4!$C$13, Person4!$B$13+ROW(B50)-1, "")</f>
        <v/>
      </c>
      <c r="L52" s="1" t="str">
        <f>IF(Person4!$B$14+ROW(B50)-1&lt;=Person4!$C$14, Person4!$B$14+ROW(B50)-1, "")</f>
        <v/>
      </c>
      <c r="M52" s="1" t="str">
        <f>IF(Person4!$B$15+ROW(B50)-1&lt;=Person4!$C$15, Person4!$B$15+ROW(B50)-1, "")</f>
        <v/>
      </c>
      <c r="N52" s="1" t="str">
        <f>IF(Person4!$B$16+ROW(B50)-1&lt;=Person4!$C$16, Person4!$B$16+ROW(B50)-1, "")</f>
        <v/>
      </c>
      <c r="O52" s="1" t="str">
        <f>IF(Person4!$B$17+ROW(B50)-1&lt;=Person4!$C$17, Person4!$B$17+ROW(B50)-1, "")</f>
        <v/>
      </c>
      <c r="V52" s="1" t="str">
        <f>IF(Person4!$D$3+ROW(A50)-1&lt;=Person4!$E$3, Person4!$D$3+ROW(A50)-1, "")</f>
        <v/>
      </c>
      <c r="W52" s="1" t="str">
        <f>IF(Person4!$D$4+ROW(A50)-1&lt;=Person4!$E$4, Person4!$D$4+ROW(A50)-1, "")</f>
        <v/>
      </c>
      <c r="X52" s="1" t="str">
        <f>IF(Person4!$D$5+ROW(A50)-1&lt;=Person4!$E$5, Person4!$D$5+ROW(A50)-1, "")</f>
        <v/>
      </c>
      <c r="Y52" s="1" t="str">
        <f>IF(Person4!$D$6+ROW(A50)-1&lt;=Person4!$E$6, Person4!$D$6+ROW(A50)-1, "")</f>
        <v/>
      </c>
      <c r="Z52" s="1" t="str">
        <f>IF(Person4!$D$7+ROW(A50)-1&lt;=Person4!$E$7, Person4!$D$7+ROW(A50)-1, "")</f>
        <v/>
      </c>
      <c r="AA52" s="1" t="str">
        <f>IF(Person4!$D$8+ROW(A50)-1&lt;=Person4!$E$8, Person4!$D$8+ROW(A50)-1, "")</f>
        <v/>
      </c>
      <c r="AE52" s="1" t="str">
        <f>IF(Person4!$F$3+ROW(A50)-1&lt;=Person4!$G$3, Person4!$F$3+ROW(A50)-1, "")</f>
        <v/>
      </c>
      <c r="AF52" s="1" t="str">
        <f>IF(Person4!$F$4+ROW(A50)-1&lt;=Person4!$G$4, Person4!$F$4+ROW(A50)-1, "")</f>
        <v/>
      </c>
      <c r="AG52" s="1" t="str">
        <f>IF(Person4!$F$5+ROW(A50)-1&lt;=Person4!$G$5, Person4!$F$5+ROW(A50)-1, "")</f>
        <v/>
      </c>
      <c r="AH52" s="1" t="str">
        <f>IF(Person4!$F$6+ROW(A50)-1&lt;=Person4!$G$6, Person4!$F$6+ROW(A50)-1, "")</f>
        <v/>
      </c>
      <c r="AI52" s="1" t="str">
        <f>IF(Person4!$F$7+ROW(A50)-1&lt;=Person4!$G$7, Person4!$F$7+ROW(A50)-1, "")</f>
        <v/>
      </c>
    </row>
    <row r="53" spans="1:35" x14ac:dyDescent="0.3">
      <c r="A53" s="1" t="str">
        <f>IF(Person4!$B$3+ROW(A51)-1&lt;=Person4!$C$3, Person4!$B$3+ROW(A51)-1, "")</f>
        <v/>
      </c>
      <c r="B53" s="1" t="str">
        <f>IF(Person4!$B$4+ROW(B51)-1&lt;=Person4!$C$4, Person4!$B$4+ROW(B51)-1, "")</f>
        <v/>
      </c>
      <c r="C53" s="1" t="str">
        <f>IF(Person4!$B$5+ROW(B51)-1&lt;=Person4!$C$5, Person4!$B$5+ROW(B51)-1, "")</f>
        <v/>
      </c>
      <c r="D53" s="1" t="str">
        <f>IF(Person4!$B$6+ROW(B51)-1&lt;=Person4!$C$6, Person4!$B$6+ROW(B51)-1, "")</f>
        <v/>
      </c>
      <c r="E53" s="1" t="str">
        <f>IF(Person4!$B$7+ROW(B51)-1&lt;=Person4!$C$7, Person4!$B$7+ROW(B51)-1, "")</f>
        <v/>
      </c>
      <c r="F53" s="1" t="str">
        <f>IF(Person4!$B$8+ROW(B51)-1&lt;=Person4!$C$8, Person4!$B$8+ROW(B51)-1, "")</f>
        <v/>
      </c>
      <c r="G53" s="1" t="str">
        <f>IF(Person4!$B$9+ROW(B51)-1&lt;=Person4!$C$9, Person4!$B$9+ROW(B51)-1, "")</f>
        <v/>
      </c>
      <c r="H53" s="1" t="str">
        <f>IF(Person4!$B$10+ROW(B51)-1&lt;=Person4!$C$10, Person4!$B$10+ROW(B51)-1, "")</f>
        <v/>
      </c>
      <c r="I53" s="1" t="str">
        <f>IF(Person4!$B$11+ROW(B51)-1&lt;=Person4!$C$11, Person4!$B$11+ROW(B51)-1, "")</f>
        <v/>
      </c>
      <c r="J53" s="1" t="str">
        <f>IF(Person4!$B$12+ROW(B51)-1&lt;=Person4!$C$12, Person4!$B$12+ROW(B51)-1, "")</f>
        <v/>
      </c>
      <c r="K53" s="1" t="str">
        <f>IF(Person4!$B$13+ROW(B51)-1&lt;=Person4!$C$13, Person4!$B$13+ROW(B51)-1, "")</f>
        <v/>
      </c>
      <c r="L53" s="1" t="str">
        <f>IF(Person4!$B$14+ROW(B51)-1&lt;=Person4!$C$14, Person4!$B$14+ROW(B51)-1, "")</f>
        <v/>
      </c>
      <c r="M53" s="1" t="str">
        <f>IF(Person4!$B$15+ROW(B51)-1&lt;=Person4!$C$15, Person4!$B$15+ROW(B51)-1, "")</f>
        <v/>
      </c>
      <c r="N53" s="1" t="str">
        <f>IF(Person4!$B$16+ROW(B51)-1&lt;=Person4!$C$16, Person4!$B$16+ROW(B51)-1, "")</f>
        <v/>
      </c>
      <c r="O53" s="1" t="str">
        <f>IF(Person4!$B$17+ROW(B51)-1&lt;=Person4!$C$17, Person4!$B$17+ROW(B51)-1, "")</f>
        <v/>
      </c>
      <c r="V53" s="1" t="str">
        <f>IF(Person4!$D$3+ROW(A51)-1&lt;=Person4!$E$3, Person4!$D$3+ROW(A51)-1, "")</f>
        <v/>
      </c>
      <c r="W53" s="1" t="str">
        <f>IF(Person4!$D$4+ROW(A51)-1&lt;=Person4!$E$4, Person4!$D$4+ROW(A51)-1, "")</f>
        <v/>
      </c>
      <c r="X53" s="1" t="str">
        <f>IF(Person4!$D$5+ROW(A51)-1&lt;=Person4!$E$5, Person4!$D$5+ROW(A51)-1, "")</f>
        <v/>
      </c>
      <c r="Y53" s="1" t="str">
        <f>IF(Person4!$D$6+ROW(A51)-1&lt;=Person4!$E$6, Person4!$D$6+ROW(A51)-1, "")</f>
        <v/>
      </c>
      <c r="Z53" s="1" t="str">
        <f>IF(Person4!$D$7+ROW(A51)-1&lt;=Person4!$E$7, Person4!$D$7+ROW(A51)-1, "")</f>
        <v/>
      </c>
      <c r="AA53" s="1" t="str">
        <f>IF(Person4!$D$8+ROW(A51)-1&lt;=Person4!$E$8, Person4!$D$8+ROW(A51)-1, "")</f>
        <v/>
      </c>
      <c r="AE53" s="1" t="str">
        <f>IF(Person4!$F$3+ROW(A51)-1&lt;=Person4!$G$3, Person4!$F$3+ROW(A51)-1, "")</f>
        <v/>
      </c>
      <c r="AF53" s="1" t="str">
        <f>IF(Person4!$F$4+ROW(A51)-1&lt;=Person4!$G$4, Person4!$F$4+ROW(A51)-1, "")</f>
        <v/>
      </c>
      <c r="AG53" s="1" t="str">
        <f>IF(Person4!$F$5+ROW(A51)-1&lt;=Person4!$G$5, Person4!$F$5+ROW(A51)-1, "")</f>
        <v/>
      </c>
      <c r="AH53" s="1" t="str">
        <f>IF(Person4!$F$6+ROW(A51)-1&lt;=Person4!$G$6, Person4!$F$6+ROW(A51)-1, "")</f>
        <v/>
      </c>
      <c r="AI53" s="1" t="str">
        <f>IF(Person4!$F$7+ROW(A51)-1&lt;=Person4!$G$7, Person4!$F$7+ROW(A51)-1, "")</f>
        <v/>
      </c>
    </row>
    <row r="54" spans="1:35" x14ac:dyDescent="0.3">
      <c r="A54" s="1" t="str">
        <f>IF(Person4!$B$3+ROW(A52)-1&lt;=Person4!$C$3, Person4!$B$3+ROW(A52)-1, "")</f>
        <v/>
      </c>
      <c r="B54" s="1" t="str">
        <f>IF(Person4!$B$4+ROW(B52)-1&lt;=Person4!$C$4, Person4!$B$4+ROW(B52)-1, "")</f>
        <v/>
      </c>
      <c r="C54" s="1" t="str">
        <f>IF(Person4!$B$5+ROW(B52)-1&lt;=Person4!$C$5, Person4!$B$5+ROW(B52)-1, "")</f>
        <v/>
      </c>
      <c r="D54" s="1" t="str">
        <f>IF(Person4!$B$6+ROW(B52)-1&lt;=Person4!$C$6, Person4!$B$6+ROW(B52)-1, "")</f>
        <v/>
      </c>
      <c r="E54" s="1" t="str">
        <f>IF(Person4!$B$7+ROW(B52)-1&lt;=Person4!$C$7, Person4!$B$7+ROW(B52)-1, "")</f>
        <v/>
      </c>
      <c r="F54" s="1" t="str">
        <f>IF(Person4!$B$8+ROW(B52)-1&lt;=Person4!$C$8, Person4!$B$8+ROW(B52)-1, "")</f>
        <v/>
      </c>
      <c r="G54" s="1" t="str">
        <f>IF(Person4!$B$9+ROW(B52)-1&lt;=Person4!$C$9, Person4!$B$9+ROW(B52)-1, "")</f>
        <v/>
      </c>
      <c r="H54" s="1" t="str">
        <f>IF(Person4!$B$10+ROW(B52)-1&lt;=Person4!$C$10, Person4!$B$10+ROW(B52)-1, "")</f>
        <v/>
      </c>
      <c r="I54" s="1" t="str">
        <f>IF(Person4!$B$11+ROW(B52)-1&lt;=Person4!$C$11, Person4!$B$11+ROW(B52)-1, "")</f>
        <v/>
      </c>
      <c r="J54" s="1" t="str">
        <f>IF(Person4!$B$12+ROW(B52)-1&lt;=Person4!$C$12, Person4!$B$12+ROW(B52)-1, "")</f>
        <v/>
      </c>
      <c r="K54" s="1" t="str">
        <f>IF(Person4!$B$13+ROW(B52)-1&lt;=Person4!$C$13, Person4!$B$13+ROW(B52)-1, "")</f>
        <v/>
      </c>
      <c r="L54" s="1" t="str">
        <f>IF(Person4!$B$14+ROW(B52)-1&lt;=Person4!$C$14, Person4!$B$14+ROW(B52)-1, "")</f>
        <v/>
      </c>
      <c r="M54" s="1" t="str">
        <f>IF(Person4!$B$15+ROW(B52)-1&lt;=Person4!$C$15, Person4!$B$15+ROW(B52)-1, "")</f>
        <v/>
      </c>
      <c r="N54" s="1" t="str">
        <f>IF(Person4!$B$16+ROW(B52)-1&lt;=Person4!$C$16, Person4!$B$16+ROW(B52)-1, "")</f>
        <v/>
      </c>
      <c r="O54" s="1" t="str">
        <f>IF(Person4!$B$17+ROW(B52)-1&lt;=Person4!$C$17, Person4!$B$17+ROW(B52)-1, "")</f>
        <v/>
      </c>
      <c r="V54" s="1" t="str">
        <f>IF(Person4!$D$3+ROW(A52)-1&lt;=Person4!$E$3, Person4!$D$3+ROW(A52)-1, "")</f>
        <v/>
      </c>
      <c r="W54" s="1" t="str">
        <f>IF(Person4!$D$4+ROW(A52)-1&lt;=Person4!$E$4, Person4!$D$4+ROW(A52)-1, "")</f>
        <v/>
      </c>
      <c r="X54" s="1" t="str">
        <f>IF(Person4!$D$5+ROW(A52)-1&lt;=Person4!$E$5, Person4!$D$5+ROW(A52)-1, "")</f>
        <v/>
      </c>
      <c r="Y54" s="1" t="str">
        <f>IF(Person4!$D$6+ROW(A52)-1&lt;=Person4!$E$6, Person4!$D$6+ROW(A52)-1, "")</f>
        <v/>
      </c>
      <c r="Z54" s="1" t="str">
        <f>IF(Person4!$D$7+ROW(A52)-1&lt;=Person4!$E$7, Person4!$D$7+ROW(A52)-1, "")</f>
        <v/>
      </c>
      <c r="AA54" s="1" t="str">
        <f>IF(Person4!$D$8+ROW(A52)-1&lt;=Person4!$E$8, Person4!$D$8+ROW(A52)-1, "")</f>
        <v/>
      </c>
      <c r="AE54" s="1" t="str">
        <f>IF(Person4!$F$3+ROW(A52)-1&lt;=Person4!$G$3, Person4!$F$3+ROW(A52)-1, "")</f>
        <v/>
      </c>
      <c r="AF54" s="1" t="str">
        <f>IF(Person4!$F$4+ROW(A52)-1&lt;=Person4!$G$4, Person4!$F$4+ROW(A52)-1, "")</f>
        <v/>
      </c>
      <c r="AG54" s="1" t="str">
        <f>IF(Person4!$F$5+ROW(A52)-1&lt;=Person4!$G$5, Person4!$F$5+ROW(A52)-1, "")</f>
        <v/>
      </c>
      <c r="AH54" s="1" t="str">
        <f>IF(Person4!$F$6+ROW(A52)-1&lt;=Person4!$G$6, Person4!$F$6+ROW(A52)-1, "")</f>
        <v/>
      </c>
      <c r="AI54" s="1" t="str">
        <f>IF(Person4!$F$7+ROW(A52)-1&lt;=Person4!$G$7, Person4!$F$7+ROW(A52)-1, "")</f>
        <v/>
      </c>
    </row>
    <row r="55" spans="1:35" x14ac:dyDescent="0.3">
      <c r="A55" s="1" t="str">
        <f>IF(Person4!$B$3+ROW(A53)-1&lt;=Person4!$C$3, Person4!$B$3+ROW(A53)-1, "")</f>
        <v/>
      </c>
      <c r="B55" s="1" t="str">
        <f>IF(Person4!$B$4+ROW(B53)-1&lt;=Person4!$C$4, Person4!$B$4+ROW(B53)-1, "")</f>
        <v/>
      </c>
      <c r="C55" s="1" t="str">
        <f>IF(Person4!$B$5+ROW(B53)-1&lt;=Person4!$C$5, Person4!$B$5+ROW(B53)-1, "")</f>
        <v/>
      </c>
      <c r="D55" s="1" t="str">
        <f>IF(Person4!$B$6+ROW(B53)-1&lt;=Person4!$C$6, Person4!$B$6+ROW(B53)-1, "")</f>
        <v/>
      </c>
      <c r="E55" s="1" t="str">
        <f>IF(Person4!$B$7+ROW(B53)-1&lt;=Person4!$C$7, Person4!$B$7+ROW(B53)-1, "")</f>
        <v/>
      </c>
      <c r="F55" s="1" t="str">
        <f>IF(Person4!$B$8+ROW(B53)-1&lt;=Person4!$C$8, Person4!$B$8+ROW(B53)-1, "")</f>
        <v/>
      </c>
      <c r="G55" s="1" t="str">
        <f>IF(Person4!$B$9+ROW(B53)-1&lt;=Person4!$C$9, Person4!$B$9+ROW(B53)-1, "")</f>
        <v/>
      </c>
      <c r="H55" s="1" t="str">
        <f>IF(Person4!$B$10+ROW(B53)-1&lt;=Person4!$C$10, Person4!$B$10+ROW(B53)-1, "")</f>
        <v/>
      </c>
      <c r="I55" s="1" t="str">
        <f>IF(Person4!$B$11+ROW(B53)-1&lt;=Person4!$C$11, Person4!$B$11+ROW(B53)-1, "")</f>
        <v/>
      </c>
      <c r="J55" s="1" t="str">
        <f>IF(Person4!$B$12+ROW(B53)-1&lt;=Person4!$C$12, Person4!$B$12+ROW(B53)-1, "")</f>
        <v/>
      </c>
      <c r="K55" s="1" t="str">
        <f>IF(Person4!$B$13+ROW(B53)-1&lt;=Person4!$C$13, Person4!$B$13+ROW(B53)-1, "")</f>
        <v/>
      </c>
      <c r="L55" s="1" t="str">
        <f>IF(Person4!$B$14+ROW(B53)-1&lt;=Person4!$C$14, Person4!$B$14+ROW(B53)-1, "")</f>
        <v/>
      </c>
      <c r="M55" s="1" t="str">
        <f>IF(Person4!$B$15+ROW(B53)-1&lt;=Person4!$C$15, Person4!$B$15+ROW(B53)-1, "")</f>
        <v/>
      </c>
      <c r="N55" s="1" t="str">
        <f>IF(Person4!$B$16+ROW(B53)-1&lt;=Person4!$C$16, Person4!$B$16+ROW(B53)-1, "")</f>
        <v/>
      </c>
      <c r="O55" s="1" t="str">
        <f>IF(Person4!$B$17+ROW(B53)-1&lt;=Person4!$C$17, Person4!$B$17+ROW(B53)-1, "")</f>
        <v/>
      </c>
      <c r="V55" s="1" t="str">
        <f>IF(Person4!$D$3+ROW(A53)-1&lt;=Person4!$E$3, Person4!$D$3+ROW(A53)-1, "")</f>
        <v/>
      </c>
      <c r="W55" s="1" t="str">
        <f>IF(Person4!$D$4+ROW(A53)-1&lt;=Person4!$E$4, Person4!$D$4+ROW(A53)-1, "")</f>
        <v/>
      </c>
      <c r="X55" s="1" t="str">
        <f>IF(Person4!$D$5+ROW(A53)-1&lt;=Person4!$E$5, Person4!$D$5+ROW(A53)-1, "")</f>
        <v/>
      </c>
      <c r="Y55" s="1" t="str">
        <f>IF(Person4!$D$6+ROW(A53)-1&lt;=Person4!$E$6, Person4!$D$6+ROW(A53)-1, "")</f>
        <v/>
      </c>
      <c r="Z55" s="1" t="str">
        <f>IF(Person4!$D$7+ROW(A53)-1&lt;=Person4!$E$7, Person4!$D$7+ROW(A53)-1, "")</f>
        <v/>
      </c>
      <c r="AA55" s="1" t="str">
        <f>IF(Person4!$D$8+ROW(A53)-1&lt;=Person4!$E$8, Person4!$D$8+ROW(A53)-1, "")</f>
        <v/>
      </c>
      <c r="AE55" s="1" t="str">
        <f>IF(Person4!$F$3+ROW(A53)-1&lt;=Person4!$G$3, Person4!$F$3+ROW(A53)-1, "")</f>
        <v/>
      </c>
      <c r="AF55" s="1" t="str">
        <f>IF(Person4!$F$4+ROW(A53)-1&lt;=Person4!$G$4, Person4!$F$4+ROW(A53)-1, "")</f>
        <v/>
      </c>
      <c r="AG55" s="1" t="str">
        <f>IF(Person4!$F$5+ROW(A53)-1&lt;=Person4!$G$5, Person4!$F$5+ROW(A53)-1, "")</f>
        <v/>
      </c>
      <c r="AH55" s="1" t="str">
        <f>IF(Person4!$F$6+ROW(A53)-1&lt;=Person4!$G$6, Person4!$F$6+ROW(A53)-1, "")</f>
        <v/>
      </c>
      <c r="AI55" s="1" t="str">
        <f>IF(Person4!$F$7+ROW(A53)-1&lt;=Person4!$G$7, Person4!$F$7+ROW(A53)-1, "")</f>
        <v/>
      </c>
    </row>
    <row r="56" spans="1:35" x14ac:dyDescent="0.3">
      <c r="A56" s="1" t="str">
        <f>IF(Person4!$B$3+ROW(A54)-1&lt;=Person4!$C$3, Person4!$B$3+ROW(A54)-1, "")</f>
        <v/>
      </c>
      <c r="B56" s="1" t="str">
        <f>IF(Person4!$B$4+ROW(B54)-1&lt;=Person4!$C$4, Person4!$B$4+ROW(B54)-1, "")</f>
        <v/>
      </c>
      <c r="C56" s="1" t="str">
        <f>IF(Person4!$B$5+ROW(B54)-1&lt;=Person4!$C$5, Person4!$B$5+ROW(B54)-1, "")</f>
        <v/>
      </c>
      <c r="D56" s="1" t="str">
        <f>IF(Person4!$B$6+ROW(B54)-1&lt;=Person4!$C$6, Person4!$B$6+ROW(B54)-1, "")</f>
        <v/>
      </c>
      <c r="E56" s="1" t="str">
        <f>IF(Person4!$B$7+ROW(B54)-1&lt;=Person4!$C$7, Person4!$B$7+ROW(B54)-1, "")</f>
        <v/>
      </c>
      <c r="F56" s="1" t="str">
        <f>IF(Person4!$B$8+ROW(B54)-1&lt;=Person4!$C$8, Person4!$B$8+ROW(B54)-1, "")</f>
        <v/>
      </c>
      <c r="G56" s="1" t="str">
        <f>IF(Person4!$B$9+ROW(B54)-1&lt;=Person4!$C$9, Person4!$B$9+ROW(B54)-1, "")</f>
        <v/>
      </c>
      <c r="H56" s="1" t="str">
        <f>IF(Person4!$B$10+ROW(B54)-1&lt;=Person4!$C$10, Person4!$B$10+ROW(B54)-1, "")</f>
        <v/>
      </c>
      <c r="I56" s="1" t="str">
        <f>IF(Person4!$B$11+ROW(B54)-1&lt;=Person4!$C$11, Person4!$B$11+ROW(B54)-1, "")</f>
        <v/>
      </c>
      <c r="J56" s="1" t="str">
        <f>IF(Person4!$B$12+ROW(B54)-1&lt;=Person4!$C$12, Person4!$B$12+ROW(B54)-1, "")</f>
        <v/>
      </c>
      <c r="K56" s="1" t="str">
        <f>IF(Person4!$B$13+ROW(B54)-1&lt;=Person4!$C$13, Person4!$B$13+ROW(B54)-1, "")</f>
        <v/>
      </c>
      <c r="L56" s="1" t="str">
        <f>IF(Person4!$B$14+ROW(B54)-1&lt;=Person4!$C$14, Person4!$B$14+ROW(B54)-1, "")</f>
        <v/>
      </c>
      <c r="M56" s="1" t="str">
        <f>IF(Person4!$B$15+ROW(B54)-1&lt;=Person4!$C$15, Person4!$B$15+ROW(B54)-1, "")</f>
        <v/>
      </c>
      <c r="N56" s="1" t="str">
        <f>IF(Person4!$B$16+ROW(B54)-1&lt;=Person4!$C$16, Person4!$B$16+ROW(B54)-1, "")</f>
        <v/>
      </c>
      <c r="O56" s="1" t="str">
        <f>IF(Person4!$B$17+ROW(B54)-1&lt;=Person4!$C$17, Person4!$B$17+ROW(B54)-1, "")</f>
        <v/>
      </c>
      <c r="V56" s="1" t="str">
        <f>IF(Person4!$D$3+ROW(A54)-1&lt;=Person4!$E$3, Person4!$D$3+ROW(A54)-1, "")</f>
        <v/>
      </c>
      <c r="W56" s="1" t="str">
        <f>IF(Person4!$D$4+ROW(A54)-1&lt;=Person4!$E$4, Person4!$D$4+ROW(A54)-1, "")</f>
        <v/>
      </c>
      <c r="X56" s="1" t="str">
        <f>IF(Person4!$D$5+ROW(A54)-1&lt;=Person4!$E$5, Person4!$D$5+ROW(A54)-1, "")</f>
        <v/>
      </c>
      <c r="Y56" s="1" t="str">
        <f>IF(Person4!$D$6+ROW(A54)-1&lt;=Person4!$E$6, Person4!$D$6+ROW(A54)-1, "")</f>
        <v/>
      </c>
      <c r="Z56" s="1" t="str">
        <f>IF(Person4!$D$7+ROW(A54)-1&lt;=Person4!$E$7, Person4!$D$7+ROW(A54)-1, "")</f>
        <v/>
      </c>
      <c r="AA56" s="1" t="str">
        <f>IF(Person4!$D$8+ROW(A54)-1&lt;=Person4!$E$8, Person4!$D$8+ROW(A54)-1, "")</f>
        <v/>
      </c>
      <c r="AE56" s="1" t="str">
        <f>IF(Person4!$F$3+ROW(A54)-1&lt;=Person4!$G$3, Person4!$F$3+ROW(A54)-1, "")</f>
        <v/>
      </c>
      <c r="AF56" s="1" t="str">
        <f>IF(Person4!$F$4+ROW(A54)-1&lt;=Person4!$G$4, Person4!$F$4+ROW(A54)-1, "")</f>
        <v/>
      </c>
      <c r="AG56" s="1" t="str">
        <f>IF(Person4!$F$5+ROW(A54)-1&lt;=Person4!$G$5, Person4!$F$5+ROW(A54)-1, "")</f>
        <v/>
      </c>
      <c r="AH56" s="1" t="str">
        <f>IF(Person4!$F$6+ROW(A54)-1&lt;=Person4!$G$6, Person4!$F$6+ROW(A54)-1, "")</f>
        <v/>
      </c>
      <c r="AI56" s="1" t="str">
        <f>IF(Person4!$F$7+ROW(A54)-1&lt;=Person4!$G$7, Person4!$F$7+ROW(A54)-1, "")</f>
        <v/>
      </c>
    </row>
    <row r="57" spans="1:35" x14ac:dyDescent="0.3">
      <c r="A57" s="1" t="str">
        <f>IF(Person4!$B$3+ROW(A55)-1&lt;=Person4!$C$3, Person4!$B$3+ROW(A55)-1, "")</f>
        <v/>
      </c>
      <c r="B57" s="1" t="str">
        <f>IF(Person4!$B$4+ROW(B55)-1&lt;=Person4!$C$4, Person4!$B$4+ROW(B55)-1, "")</f>
        <v/>
      </c>
      <c r="C57" s="1" t="str">
        <f>IF(Person4!$B$5+ROW(B55)-1&lt;=Person4!$C$5, Person4!$B$5+ROW(B55)-1, "")</f>
        <v/>
      </c>
      <c r="D57" s="1" t="str">
        <f>IF(Person4!$B$6+ROW(B55)-1&lt;=Person4!$C$6, Person4!$B$6+ROW(B55)-1, "")</f>
        <v/>
      </c>
      <c r="E57" s="1" t="str">
        <f>IF(Person4!$B$7+ROW(B55)-1&lt;=Person4!$C$7, Person4!$B$7+ROW(B55)-1, "")</f>
        <v/>
      </c>
      <c r="F57" s="1" t="str">
        <f>IF(Person4!$B$8+ROW(B55)-1&lt;=Person4!$C$8, Person4!$B$8+ROW(B55)-1, "")</f>
        <v/>
      </c>
      <c r="G57" s="1" t="str">
        <f>IF(Person4!$B$9+ROW(B55)-1&lt;=Person4!$C$9, Person4!$B$9+ROW(B55)-1, "")</f>
        <v/>
      </c>
      <c r="H57" s="1" t="str">
        <f>IF(Person4!$B$10+ROW(B55)-1&lt;=Person4!$C$10, Person4!$B$10+ROW(B55)-1, "")</f>
        <v/>
      </c>
      <c r="I57" s="1" t="str">
        <f>IF(Person4!$B$11+ROW(B55)-1&lt;=Person4!$C$11, Person4!$B$11+ROW(B55)-1, "")</f>
        <v/>
      </c>
      <c r="J57" s="1" t="str">
        <f>IF(Person4!$B$12+ROW(B55)-1&lt;=Person4!$C$12, Person4!$B$12+ROW(B55)-1, "")</f>
        <v/>
      </c>
      <c r="K57" s="1" t="str">
        <f>IF(Person4!$B$13+ROW(B55)-1&lt;=Person4!$C$13, Person4!$B$13+ROW(B55)-1, "")</f>
        <v/>
      </c>
      <c r="L57" s="1" t="str">
        <f>IF(Person4!$B$14+ROW(B55)-1&lt;=Person4!$C$14, Person4!$B$14+ROW(B55)-1, "")</f>
        <v/>
      </c>
      <c r="M57" s="1" t="str">
        <f>IF(Person4!$B$15+ROW(B55)-1&lt;=Person4!$C$15, Person4!$B$15+ROW(B55)-1, "")</f>
        <v/>
      </c>
      <c r="N57" s="1" t="str">
        <f>IF(Person4!$B$16+ROW(B55)-1&lt;=Person4!$C$16, Person4!$B$16+ROW(B55)-1, "")</f>
        <v/>
      </c>
      <c r="O57" s="1" t="str">
        <f>IF(Person4!$B$17+ROW(B55)-1&lt;=Person4!$C$17, Person4!$B$17+ROW(B55)-1, "")</f>
        <v/>
      </c>
      <c r="V57" s="1" t="str">
        <f>IF(Person4!$D$3+ROW(A55)-1&lt;=Person4!$E$3, Person4!$D$3+ROW(A55)-1, "")</f>
        <v/>
      </c>
      <c r="W57" s="1" t="str">
        <f>IF(Person4!$D$4+ROW(A55)-1&lt;=Person4!$E$4, Person4!$D$4+ROW(A55)-1, "")</f>
        <v/>
      </c>
      <c r="X57" s="1" t="str">
        <f>IF(Person4!$D$5+ROW(A55)-1&lt;=Person4!$E$5, Person4!$D$5+ROW(A55)-1, "")</f>
        <v/>
      </c>
      <c r="Y57" s="1" t="str">
        <f>IF(Person4!$D$6+ROW(A55)-1&lt;=Person4!$E$6, Person4!$D$6+ROW(A55)-1, "")</f>
        <v/>
      </c>
      <c r="Z57" s="1" t="str">
        <f>IF(Person4!$D$7+ROW(A55)-1&lt;=Person4!$E$7, Person4!$D$7+ROW(A55)-1, "")</f>
        <v/>
      </c>
      <c r="AA57" s="1" t="str">
        <f>IF(Person4!$D$8+ROW(A55)-1&lt;=Person4!$E$8, Person4!$D$8+ROW(A55)-1, "")</f>
        <v/>
      </c>
      <c r="AE57" s="1" t="str">
        <f>IF(Person4!$F$3+ROW(A55)-1&lt;=Person4!$G$3, Person4!$F$3+ROW(A55)-1, "")</f>
        <v/>
      </c>
      <c r="AF57" s="1" t="str">
        <f>IF(Person4!$F$4+ROW(A55)-1&lt;=Person4!$G$4, Person4!$F$4+ROW(A55)-1, "")</f>
        <v/>
      </c>
      <c r="AG57" s="1" t="str">
        <f>IF(Person4!$F$5+ROW(A55)-1&lt;=Person4!$G$5, Person4!$F$5+ROW(A55)-1, "")</f>
        <v/>
      </c>
      <c r="AH57" s="1" t="str">
        <f>IF(Person4!$F$6+ROW(A55)-1&lt;=Person4!$G$6, Person4!$F$6+ROW(A55)-1, "")</f>
        <v/>
      </c>
      <c r="AI57" s="1" t="str">
        <f>IF(Person4!$F$7+ROW(A55)-1&lt;=Person4!$G$7, Person4!$F$7+ROW(A55)-1, "")</f>
        <v/>
      </c>
    </row>
    <row r="58" spans="1:35" x14ac:dyDescent="0.3">
      <c r="A58" s="1" t="str">
        <f>IF(Person4!$B$3+ROW(A56)-1&lt;=Person4!$C$3, Person4!$B$3+ROW(A56)-1, "")</f>
        <v/>
      </c>
      <c r="B58" s="1" t="str">
        <f>IF(Person4!$B$4+ROW(B56)-1&lt;=Person4!$C$4, Person4!$B$4+ROW(B56)-1, "")</f>
        <v/>
      </c>
      <c r="C58" s="1" t="str">
        <f>IF(Person4!$B$5+ROW(B56)-1&lt;=Person4!$C$5, Person4!$B$5+ROW(B56)-1, "")</f>
        <v/>
      </c>
      <c r="D58" s="1" t="str">
        <f>IF(Person4!$B$6+ROW(B56)-1&lt;=Person4!$C$6, Person4!$B$6+ROW(B56)-1, "")</f>
        <v/>
      </c>
      <c r="E58" s="1" t="str">
        <f>IF(Person4!$B$7+ROW(B56)-1&lt;=Person4!$C$7, Person4!$B$7+ROW(B56)-1, "")</f>
        <v/>
      </c>
      <c r="F58" s="1" t="str">
        <f>IF(Person4!$B$8+ROW(B56)-1&lt;=Person4!$C$8, Person4!$B$8+ROW(B56)-1, "")</f>
        <v/>
      </c>
      <c r="G58" s="1" t="str">
        <f>IF(Person4!$B$9+ROW(B56)-1&lt;=Person4!$C$9, Person4!$B$9+ROW(B56)-1, "")</f>
        <v/>
      </c>
      <c r="H58" s="1" t="str">
        <f>IF(Person4!$B$10+ROW(B56)-1&lt;=Person4!$C$10, Person4!$B$10+ROW(B56)-1, "")</f>
        <v/>
      </c>
      <c r="I58" s="1" t="str">
        <f>IF(Person4!$B$11+ROW(B56)-1&lt;=Person4!$C$11, Person4!$B$11+ROW(B56)-1, "")</f>
        <v/>
      </c>
      <c r="J58" s="1" t="str">
        <f>IF(Person4!$B$12+ROW(B56)-1&lt;=Person4!$C$12, Person4!$B$12+ROW(B56)-1, "")</f>
        <v/>
      </c>
      <c r="K58" s="1" t="str">
        <f>IF(Person4!$B$13+ROW(B56)-1&lt;=Person4!$C$13, Person4!$B$13+ROW(B56)-1, "")</f>
        <v/>
      </c>
      <c r="L58" s="1" t="str">
        <f>IF(Person4!$B$14+ROW(B56)-1&lt;=Person4!$C$14, Person4!$B$14+ROW(B56)-1, "")</f>
        <v/>
      </c>
      <c r="M58" s="1" t="str">
        <f>IF(Person4!$B$15+ROW(B56)-1&lt;=Person4!$C$15, Person4!$B$15+ROW(B56)-1, "")</f>
        <v/>
      </c>
      <c r="N58" s="1" t="str">
        <f>IF(Person4!$B$16+ROW(B56)-1&lt;=Person4!$C$16, Person4!$B$16+ROW(B56)-1, "")</f>
        <v/>
      </c>
      <c r="O58" s="1" t="str">
        <f>IF(Person4!$B$17+ROW(B56)-1&lt;=Person4!$C$17, Person4!$B$17+ROW(B56)-1, "")</f>
        <v/>
      </c>
      <c r="V58" s="1" t="str">
        <f>IF(Person4!$D$3+ROW(A56)-1&lt;=Person4!$E$3, Person4!$D$3+ROW(A56)-1, "")</f>
        <v/>
      </c>
      <c r="W58" s="1" t="str">
        <f>IF(Person4!$D$4+ROW(A56)-1&lt;=Person4!$E$4, Person4!$D$4+ROW(A56)-1, "")</f>
        <v/>
      </c>
      <c r="X58" s="1" t="str">
        <f>IF(Person4!$D$5+ROW(A56)-1&lt;=Person4!$E$5, Person4!$D$5+ROW(A56)-1, "")</f>
        <v/>
      </c>
      <c r="Y58" s="1" t="str">
        <f>IF(Person4!$D$6+ROW(A56)-1&lt;=Person4!$E$6, Person4!$D$6+ROW(A56)-1, "")</f>
        <v/>
      </c>
      <c r="Z58" s="1" t="str">
        <f>IF(Person4!$D$7+ROW(A56)-1&lt;=Person4!$E$7, Person4!$D$7+ROW(A56)-1, "")</f>
        <v/>
      </c>
      <c r="AA58" s="1" t="str">
        <f>IF(Person4!$D$8+ROW(A56)-1&lt;=Person4!$E$8, Person4!$D$8+ROW(A56)-1, "")</f>
        <v/>
      </c>
      <c r="AE58" s="1" t="str">
        <f>IF(Person4!$F$3+ROW(A56)-1&lt;=Person4!$G$3, Person4!$F$3+ROW(A56)-1, "")</f>
        <v/>
      </c>
      <c r="AF58" s="1" t="str">
        <f>IF(Person4!$F$4+ROW(A56)-1&lt;=Person4!$G$4, Person4!$F$4+ROW(A56)-1, "")</f>
        <v/>
      </c>
      <c r="AG58" s="1" t="str">
        <f>IF(Person4!$F$5+ROW(A56)-1&lt;=Person4!$G$5, Person4!$F$5+ROW(A56)-1, "")</f>
        <v/>
      </c>
      <c r="AH58" s="1" t="str">
        <f>IF(Person4!$F$6+ROW(A56)-1&lt;=Person4!$G$6, Person4!$F$6+ROW(A56)-1, "")</f>
        <v/>
      </c>
      <c r="AI58" s="1" t="str">
        <f>IF(Person4!$F$7+ROW(A56)-1&lt;=Person4!$G$7, Person4!$F$7+ROW(A56)-1, "")</f>
        <v/>
      </c>
    </row>
    <row r="59" spans="1:35" x14ac:dyDescent="0.3">
      <c r="A59" s="1" t="str">
        <f>IF(Person4!$B$3+ROW(A57)-1&lt;=Person4!$C$3, Person4!$B$3+ROW(A57)-1, "")</f>
        <v/>
      </c>
      <c r="B59" s="1" t="str">
        <f>IF(Person4!$B$4+ROW(B57)-1&lt;=Person4!$C$4, Person4!$B$4+ROW(B57)-1, "")</f>
        <v/>
      </c>
      <c r="C59" s="1" t="str">
        <f>IF(Person4!$B$5+ROW(B57)-1&lt;=Person4!$C$5, Person4!$B$5+ROW(B57)-1, "")</f>
        <v/>
      </c>
      <c r="D59" s="1" t="str">
        <f>IF(Person4!$B$6+ROW(B57)-1&lt;=Person4!$C$6, Person4!$B$6+ROW(B57)-1, "")</f>
        <v/>
      </c>
      <c r="E59" s="1" t="str">
        <f>IF(Person4!$B$7+ROW(B57)-1&lt;=Person4!$C$7, Person4!$B$7+ROW(B57)-1, "")</f>
        <v/>
      </c>
      <c r="F59" s="1" t="str">
        <f>IF(Person4!$B$8+ROW(B57)-1&lt;=Person4!$C$8, Person4!$B$8+ROW(B57)-1, "")</f>
        <v/>
      </c>
      <c r="G59" s="1" t="str">
        <f>IF(Person4!$B$9+ROW(B57)-1&lt;=Person4!$C$9, Person4!$B$9+ROW(B57)-1, "")</f>
        <v/>
      </c>
      <c r="H59" s="1" t="str">
        <f>IF(Person4!$B$10+ROW(B57)-1&lt;=Person4!$C$10, Person4!$B$10+ROW(B57)-1, "")</f>
        <v/>
      </c>
      <c r="I59" s="1" t="str">
        <f>IF(Person4!$B$11+ROW(B57)-1&lt;=Person4!$C$11, Person4!$B$11+ROW(B57)-1, "")</f>
        <v/>
      </c>
      <c r="J59" s="1" t="str">
        <f>IF(Person4!$B$12+ROW(B57)-1&lt;=Person4!$C$12, Person4!$B$12+ROW(B57)-1, "")</f>
        <v/>
      </c>
      <c r="K59" s="1" t="str">
        <f>IF(Person4!$B$13+ROW(B57)-1&lt;=Person4!$C$13, Person4!$B$13+ROW(B57)-1, "")</f>
        <v/>
      </c>
      <c r="L59" s="1" t="str">
        <f>IF(Person4!$B$14+ROW(B57)-1&lt;=Person4!$C$14, Person4!$B$14+ROW(B57)-1, "")</f>
        <v/>
      </c>
      <c r="M59" s="1" t="str">
        <f>IF(Person4!$B$15+ROW(B57)-1&lt;=Person4!$C$15, Person4!$B$15+ROW(B57)-1, "")</f>
        <v/>
      </c>
      <c r="N59" s="1" t="str">
        <f>IF(Person4!$B$16+ROW(B57)-1&lt;=Person4!$C$16, Person4!$B$16+ROW(B57)-1, "")</f>
        <v/>
      </c>
      <c r="O59" s="1" t="str">
        <f>IF(Person4!$B$17+ROW(B57)-1&lt;=Person4!$C$17, Person4!$B$17+ROW(B57)-1, "")</f>
        <v/>
      </c>
      <c r="V59" s="1" t="str">
        <f>IF(Person4!$D$3+ROW(A57)-1&lt;=Person4!$E$3, Person4!$D$3+ROW(A57)-1, "")</f>
        <v/>
      </c>
      <c r="W59" s="1" t="str">
        <f>IF(Person4!$D$4+ROW(A57)-1&lt;=Person4!$E$4, Person4!$D$4+ROW(A57)-1, "")</f>
        <v/>
      </c>
      <c r="X59" s="1" t="str">
        <f>IF(Person4!$D$5+ROW(A57)-1&lt;=Person4!$E$5, Person4!$D$5+ROW(A57)-1, "")</f>
        <v/>
      </c>
      <c r="Y59" s="1" t="str">
        <f>IF(Person4!$D$6+ROW(A57)-1&lt;=Person4!$E$6, Person4!$D$6+ROW(A57)-1, "")</f>
        <v/>
      </c>
      <c r="Z59" s="1" t="str">
        <f>IF(Person4!$D$7+ROW(A57)-1&lt;=Person4!$E$7, Person4!$D$7+ROW(A57)-1, "")</f>
        <v/>
      </c>
      <c r="AA59" s="1" t="str">
        <f>IF(Person4!$D$8+ROW(A57)-1&lt;=Person4!$E$8, Person4!$D$8+ROW(A57)-1, "")</f>
        <v/>
      </c>
      <c r="AE59" s="1" t="str">
        <f>IF(Person4!$F$3+ROW(A57)-1&lt;=Person4!$G$3, Person4!$F$3+ROW(A57)-1, "")</f>
        <v/>
      </c>
      <c r="AF59" s="1" t="str">
        <f>IF(Person4!$F$4+ROW(A57)-1&lt;=Person4!$G$4, Person4!$F$4+ROW(A57)-1, "")</f>
        <v/>
      </c>
      <c r="AG59" s="1" t="str">
        <f>IF(Person4!$F$5+ROW(A57)-1&lt;=Person4!$G$5, Person4!$F$5+ROW(A57)-1, "")</f>
        <v/>
      </c>
      <c r="AH59" s="1" t="str">
        <f>IF(Person4!$F$6+ROW(A57)-1&lt;=Person4!$G$6, Person4!$F$6+ROW(A57)-1, "")</f>
        <v/>
      </c>
      <c r="AI59" s="1" t="str">
        <f>IF(Person4!$F$7+ROW(A57)-1&lt;=Person4!$G$7, Person4!$F$7+ROW(A57)-1, "")</f>
        <v/>
      </c>
    </row>
    <row r="60" spans="1:35" x14ac:dyDescent="0.3">
      <c r="A60" s="1" t="str">
        <f>IF(Person4!$B$3+ROW(A58)-1&lt;=Person4!$C$3, Person4!$B$3+ROW(A58)-1, "")</f>
        <v/>
      </c>
      <c r="B60" s="1" t="str">
        <f>IF(Person4!$B$4+ROW(B58)-1&lt;=Person4!$C$4, Person4!$B$4+ROW(B58)-1, "")</f>
        <v/>
      </c>
      <c r="C60" s="1" t="str">
        <f>IF(Person4!$B$5+ROW(B58)-1&lt;=Person4!$C$5, Person4!$B$5+ROW(B58)-1, "")</f>
        <v/>
      </c>
      <c r="D60" s="1" t="str">
        <f>IF(Person4!$B$6+ROW(B58)-1&lt;=Person4!$C$6, Person4!$B$6+ROW(B58)-1, "")</f>
        <v/>
      </c>
      <c r="E60" s="1" t="str">
        <f>IF(Person4!$B$7+ROW(B58)-1&lt;=Person4!$C$7, Person4!$B$7+ROW(B58)-1, "")</f>
        <v/>
      </c>
      <c r="F60" s="1" t="str">
        <f>IF(Person4!$B$8+ROW(B58)-1&lt;=Person4!$C$8, Person4!$B$8+ROW(B58)-1, "")</f>
        <v/>
      </c>
      <c r="G60" s="1" t="str">
        <f>IF(Person4!$B$9+ROW(B58)-1&lt;=Person4!$C$9, Person4!$B$9+ROW(B58)-1, "")</f>
        <v/>
      </c>
      <c r="H60" s="1" t="str">
        <f>IF(Person4!$B$10+ROW(B58)-1&lt;=Person4!$C$10, Person4!$B$10+ROW(B58)-1, "")</f>
        <v/>
      </c>
      <c r="I60" s="1" t="str">
        <f>IF(Person4!$B$11+ROW(B58)-1&lt;=Person4!$C$11, Person4!$B$11+ROW(B58)-1, "")</f>
        <v/>
      </c>
      <c r="J60" s="1" t="str">
        <f>IF(Person4!$B$12+ROW(B58)-1&lt;=Person4!$C$12, Person4!$B$12+ROW(B58)-1, "")</f>
        <v/>
      </c>
      <c r="K60" s="1" t="str">
        <f>IF(Person4!$B$13+ROW(B58)-1&lt;=Person4!$C$13, Person4!$B$13+ROW(B58)-1, "")</f>
        <v/>
      </c>
      <c r="L60" s="1" t="str">
        <f>IF(Person4!$B$14+ROW(B58)-1&lt;=Person4!$C$14, Person4!$B$14+ROW(B58)-1, "")</f>
        <v/>
      </c>
      <c r="M60" s="1" t="str">
        <f>IF(Person4!$B$15+ROW(B58)-1&lt;=Person4!$C$15, Person4!$B$15+ROW(B58)-1, "")</f>
        <v/>
      </c>
      <c r="N60" s="1" t="str">
        <f>IF(Person4!$B$16+ROW(B58)-1&lt;=Person4!$C$16, Person4!$B$16+ROW(B58)-1, "")</f>
        <v/>
      </c>
      <c r="O60" s="1" t="str">
        <f>IF(Person4!$B$17+ROW(B58)-1&lt;=Person4!$C$17, Person4!$B$17+ROW(B58)-1, "")</f>
        <v/>
      </c>
      <c r="V60" s="1" t="str">
        <f>IF(Person4!$D$3+ROW(A58)-1&lt;=Person4!$E$3, Person4!$D$3+ROW(A58)-1, "")</f>
        <v/>
      </c>
      <c r="W60" s="1" t="str">
        <f>IF(Person4!$D$4+ROW(A58)-1&lt;=Person4!$E$4, Person4!$D$4+ROW(A58)-1, "")</f>
        <v/>
      </c>
      <c r="X60" s="1" t="str">
        <f>IF(Person4!$D$5+ROW(A58)-1&lt;=Person4!$E$5, Person4!$D$5+ROW(A58)-1, "")</f>
        <v/>
      </c>
      <c r="Y60" s="1" t="str">
        <f>IF(Person4!$D$6+ROW(A58)-1&lt;=Person4!$E$6, Person4!$D$6+ROW(A58)-1, "")</f>
        <v/>
      </c>
      <c r="Z60" s="1" t="str">
        <f>IF(Person4!$D$7+ROW(A58)-1&lt;=Person4!$E$7, Person4!$D$7+ROW(A58)-1, "")</f>
        <v/>
      </c>
      <c r="AA60" s="1" t="str">
        <f>IF(Person4!$D$8+ROW(A58)-1&lt;=Person4!$E$8, Person4!$D$8+ROW(A58)-1, "")</f>
        <v/>
      </c>
      <c r="AE60" s="1" t="str">
        <f>IF(Person4!$F$3+ROW(A58)-1&lt;=Person4!$G$3, Person4!$F$3+ROW(A58)-1, "")</f>
        <v/>
      </c>
      <c r="AF60" s="1" t="str">
        <f>IF(Person4!$F$4+ROW(A58)-1&lt;=Person4!$G$4, Person4!$F$4+ROW(A58)-1, "")</f>
        <v/>
      </c>
      <c r="AG60" s="1" t="str">
        <f>IF(Person4!$F$5+ROW(A58)-1&lt;=Person4!$G$5, Person4!$F$5+ROW(A58)-1, "")</f>
        <v/>
      </c>
      <c r="AH60" s="1" t="str">
        <f>IF(Person4!$F$6+ROW(A58)-1&lt;=Person4!$G$6, Person4!$F$6+ROW(A58)-1, "")</f>
        <v/>
      </c>
      <c r="AI60" s="1" t="str">
        <f>IF(Person4!$F$7+ROW(A58)-1&lt;=Person4!$G$7, Person4!$F$7+ROW(A58)-1, "")</f>
        <v/>
      </c>
    </row>
    <row r="61" spans="1:35" x14ac:dyDescent="0.3">
      <c r="A61" s="1" t="str">
        <f>IF(Person4!$B$3+ROW(A59)-1&lt;=Person4!$C$3, Person4!$B$3+ROW(A59)-1, "")</f>
        <v/>
      </c>
      <c r="B61" s="1" t="str">
        <f>IF(Person4!$B$4+ROW(B59)-1&lt;=Person4!$C$4, Person4!$B$4+ROW(B59)-1, "")</f>
        <v/>
      </c>
      <c r="C61" s="1" t="str">
        <f>IF(Person4!$B$5+ROW(B59)-1&lt;=Person4!$C$5, Person4!$B$5+ROW(B59)-1, "")</f>
        <v/>
      </c>
      <c r="D61" s="1" t="str">
        <f>IF(Person4!$B$6+ROW(B59)-1&lt;=Person4!$C$6, Person4!$B$6+ROW(B59)-1, "")</f>
        <v/>
      </c>
      <c r="E61" s="1" t="str">
        <f>IF(Person4!$B$7+ROW(B59)-1&lt;=Person4!$C$7, Person4!$B$7+ROW(B59)-1, "")</f>
        <v/>
      </c>
      <c r="F61" s="1" t="str">
        <f>IF(Person4!$B$8+ROW(B59)-1&lt;=Person4!$C$8, Person4!$B$8+ROW(B59)-1, "")</f>
        <v/>
      </c>
      <c r="G61" s="1" t="str">
        <f>IF(Person4!$B$9+ROW(B59)-1&lt;=Person4!$C$9, Person4!$B$9+ROW(B59)-1, "")</f>
        <v/>
      </c>
      <c r="H61" s="1" t="str">
        <f>IF(Person4!$B$10+ROW(B59)-1&lt;=Person4!$C$10, Person4!$B$10+ROW(B59)-1, "")</f>
        <v/>
      </c>
      <c r="I61" s="1" t="str">
        <f>IF(Person4!$B$11+ROW(B59)-1&lt;=Person4!$C$11, Person4!$B$11+ROW(B59)-1, "")</f>
        <v/>
      </c>
      <c r="J61" s="1" t="str">
        <f>IF(Person4!$B$12+ROW(B59)-1&lt;=Person4!$C$12, Person4!$B$12+ROW(B59)-1, "")</f>
        <v/>
      </c>
      <c r="K61" s="1" t="str">
        <f>IF(Person4!$B$13+ROW(B59)-1&lt;=Person4!$C$13, Person4!$B$13+ROW(B59)-1, "")</f>
        <v/>
      </c>
      <c r="L61" s="1" t="str">
        <f>IF(Person4!$B$14+ROW(B59)-1&lt;=Person4!$C$14, Person4!$B$14+ROW(B59)-1, "")</f>
        <v/>
      </c>
      <c r="M61" s="1" t="str">
        <f>IF(Person4!$B$15+ROW(B59)-1&lt;=Person4!$C$15, Person4!$B$15+ROW(B59)-1, "")</f>
        <v/>
      </c>
      <c r="N61" s="1" t="str">
        <f>IF(Person4!$B$16+ROW(B59)-1&lt;=Person4!$C$16, Person4!$B$16+ROW(B59)-1, "")</f>
        <v/>
      </c>
      <c r="O61" s="1" t="str">
        <f>IF(Person4!$B$17+ROW(B59)-1&lt;=Person4!$C$17, Person4!$B$17+ROW(B59)-1, "")</f>
        <v/>
      </c>
      <c r="V61" s="1" t="str">
        <f>IF(Person4!$D$3+ROW(A59)-1&lt;=Person4!$E$3, Person4!$D$3+ROW(A59)-1, "")</f>
        <v/>
      </c>
      <c r="W61" s="1" t="str">
        <f>IF(Person4!$D$4+ROW(A59)-1&lt;=Person4!$E$4, Person4!$D$4+ROW(A59)-1, "")</f>
        <v/>
      </c>
      <c r="X61" s="1" t="str">
        <f>IF(Person4!$D$5+ROW(A59)-1&lt;=Person4!$E$5, Person4!$D$5+ROW(A59)-1, "")</f>
        <v/>
      </c>
      <c r="Y61" s="1" t="str">
        <f>IF(Person4!$D$6+ROW(A59)-1&lt;=Person4!$E$6, Person4!$D$6+ROW(A59)-1, "")</f>
        <v/>
      </c>
      <c r="Z61" s="1" t="str">
        <f>IF(Person4!$D$7+ROW(A59)-1&lt;=Person4!$E$7, Person4!$D$7+ROW(A59)-1, "")</f>
        <v/>
      </c>
      <c r="AA61" s="1" t="str">
        <f>IF(Person4!$D$8+ROW(A59)-1&lt;=Person4!$E$8, Person4!$D$8+ROW(A59)-1, "")</f>
        <v/>
      </c>
      <c r="AE61" s="1" t="str">
        <f>IF(Person4!$F$3+ROW(A59)-1&lt;=Person4!$G$3, Person4!$F$3+ROW(A59)-1, "")</f>
        <v/>
      </c>
      <c r="AF61" s="1" t="str">
        <f>IF(Person4!$F$4+ROW(A59)-1&lt;=Person4!$G$4, Person4!$F$4+ROW(A59)-1, "")</f>
        <v/>
      </c>
      <c r="AG61" s="1" t="str">
        <f>IF(Person4!$F$5+ROW(A59)-1&lt;=Person4!$G$5, Person4!$F$5+ROW(A59)-1, "")</f>
        <v/>
      </c>
      <c r="AH61" s="1" t="str">
        <f>IF(Person4!$F$6+ROW(A59)-1&lt;=Person4!$G$6, Person4!$F$6+ROW(A59)-1, "")</f>
        <v/>
      </c>
      <c r="AI61" s="1" t="str">
        <f>IF(Person4!$F$7+ROW(A59)-1&lt;=Person4!$G$7, Person4!$F$7+ROW(A59)-1, "")</f>
        <v/>
      </c>
    </row>
    <row r="62" spans="1:35" x14ac:dyDescent="0.3">
      <c r="A62" s="1" t="str">
        <f>IF(Person4!$B$3+ROW(A60)-1&lt;=Person4!$C$3, Person4!$B$3+ROW(A60)-1, "")</f>
        <v/>
      </c>
      <c r="B62" s="1" t="str">
        <f>IF(Person4!$B$4+ROW(B60)-1&lt;=Person4!$C$4, Person4!$B$4+ROW(B60)-1, "")</f>
        <v/>
      </c>
      <c r="C62" s="1" t="str">
        <f>IF(Person4!$B$5+ROW(B60)-1&lt;=Person4!$C$5, Person4!$B$5+ROW(B60)-1, "")</f>
        <v/>
      </c>
      <c r="D62" s="1" t="str">
        <f>IF(Person4!$B$6+ROW(B60)-1&lt;=Person4!$C$6, Person4!$B$6+ROW(B60)-1, "")</f>
        <v/>
      </c>
      <c r="E62" s="1" t="str">
        <f>IF(Person4!$B$7+ROW(B60)-1&lt;=Person4!$C$7, Person4!$B$7+ROW(B60)-1, "")</f>
        <v/>
      </c>
      <c r="F62" s="1" t="str">
        <f>IF(Person4!$B$8+ROW(B60)-1&lt;=Person4!$C$8, Person4!$B$8+ROW(B60)-1, "")</f>
        <v/>
      </c>
      <c r="G62" s="1" t="str">
        <f>IF(Person4!$B$9+ROW(B60)-1&lt;=Person4!$C$9, Person4!$B$9+ROW(B60)-1, "")</f>
        <v/>
      </c>
      <c r="H62" s="1" t="str">
        <f>IF(Person4!$B$10+ROW(B60)-1&lt;=Person4!$C$10, Person4!$B$10+ROW(B60)-1, "")</f>
        <v/>
      </c>
      <c r="I62" s="1" t="str">
        <f>IF(Person4!$B$11+ROW(B60)-1&lt;=Person4!$C$11, Person4!$B$11+ROW(B60)-1, "")</f>
        <v/>
      </c>
      <c r="J62" s="1" t="str">
        <f>IF(Person4!$B$12+ROW(B60)-1&lt;=Person4!$C$12, Person4!$B$12+ROW(B60)-1, "")</f>
        <v/>
      </c>
      <c r="K62" s="1" t="str">
        <f>IF(Person4!$B$13+ROW(B60)-1&lt;=Person4!$C$13, Person4!$B$13+ROW(B60)-1, "")</f>
        <v/>
      </c>
      <c r="L62" s="1" t="str">
        <f>IF(Person4!$B$14+ROW(B60)-1&lt;=Person4!$C$14, Person4!$B$14+ROW(B60)-1, "")</f>
        <v/>
      </c>
      <c r="M62" s="1" t="str">
        <f>IF(Person4!$B$15+ROW(B60)-1&lt;=Person4!$C$15, Person4!$B$15+ROW(B60)-1, "")</f>
        <v/>
      </c>
      <c r="N62" s="1" t="str">
        <f>IF(Person4!$B$16+ROW(B60)-1&lt;=Person4!$C$16, Person4!$B$16+ROW(B60)-1, "")</f>
        <v/>
      </c>
      <c r="O62" s="1" t="str">
        <f>IF(Person4!$B$17+ROW(B60)-1&lt;=Person4!$C$17, Person4!$B$17+ROW(B60)-1, "")</f>
        <v/>
      </c>
      <c r="V62" s="1" t="str">
        <f>IF(Person4!$D$3+ROW(A60)-1&lt;=Person4!$E$3, Person4!$D$3+ROW(A60)-1, "")</f>
        <v/>
      </c>
      <c r="W62" s="1" t="str">
        <f>IF(Person4!$D$4+ROW(A60)-1&lt;=Person4!$E$4, Person4!$D$4+ROW(A60)-1, "")</f>
        <v/>
      </c>
      <c r="X62" s="1" t="str">
        <f>IF(Person4!$D$5+ROW(A60)-1&lt;=Person4!$E$5, Person4!$D$5+ROW(A60)-1, "")</f>
        <v/>
      </c>
      <c r="Y62" s="1" t="str">
        <f>IF(Person4!$D$6+ROW(A60)-1&lt;=Person4!$E$6, Person4!$D$6+ROW(A60)-1, "")</f>
        <v/>
      </c>
      <c r="Z62" s="1" t="str">
        <f>IF(Person4!$D$7+ROW(A60)-1&lt;=Person4!$E$7, Person4!$D$7+ROW(A60)-1, "")</f>
        <v/>
      </c>
      <c r="AA62" s="1" t="str">
        <f>IF(Person4!$D$8+ROW(A60)-1&lt;=Person4!$E$8, Person4!$D$8+ROW(A60)-1, "")</f>
        <v/>
      </c>
      <c r="AE62" s="1" t="str">
        <f>IF(Person4!$F$3+ROW(A60)-1&lt;=Person4!$G$3, Person4!$F$3+ROW(A60)-1, "")</f>
        <v/>
      </c>
      <c r="AF62" s="1" t="str">
        <f>IF(Person4!$F$4+ROW(A60)-1&lt;=Person4!$G$4, Person4!$F$4+ROW(A60)-1, "")</f>
        <v/>
      </c>
      <c r="AG62" s="1" t="str">
        <f>IF(Person4!$F$5+ROW(A60)-1&lt;=Person4!$G$5, Person4!$F$5+ROW(A60)-1, "")</f>
        <v/>
      </c>
      <c r="AH62" s="1" t="str">
        <f>IF(Person4!$F$6+ROW(A60)-1&lt;=Person4!$G$6, Person4!$F$6+ROW(A60)-1, "")</f>
        <v/>
      </c>
      <c r="AI62" s="1" t="str">
        <f>IF(Person4!$F$7+ROW(A60)-1&lt;=Person4!$G$7, Person4!$F$7+ROW(A60)-1, "")</f>
        <v/>
      </c>
    </row>
    <row r="63" spans="1:35" x14ac:dyDescent="0.3">
      <c r="A63" s="1" t="str">
        <f>IF(Person4!$B$3+ROW(A61)-1&lt;=Person4!$C$3, Person4!$B$3+ROW(A61)-1, "")</f>
        <v/>
      </c>
      <c r="B63" s="1" t="str">
        <f>IF(Person4!$B$4+ROW(B61)-1&lt;=Person4!$C$4, Person4!$B$4+ROW(B61)-1, "")</f>
        <v/>
      </c>
      <c r="C63" s="1" t="str">
        <f>IF(Person4!$B$5+ROW(B61)-1&lt;=Person4!$C$5, Person4!$B$5+ROW(B61)-1, "")</f>
        <v/>
      </c>
      <c r="D63" s="1" t="str">
        <f>IF(Person4!$B$6+ROW(B61)-1&lt;=Person4!$C$6, Person4!$B$6+ROW(B61)-1, "")</f>
        <v/>
      </c>
      <c r="E63" s="1" t="str">
        <f>IF(Person4!$B$7+ROW(B61)-1&lt;=Person4!$C$7, Person4!$B$7+ROW(B61)-1, "")</f>
        <v/>
      </c>
      <c r="F63" s="1" t="str">
        <f>IF(Person4!$B$8+ROW(B61)-1&lt;=Person4!$C$8, Person4!$B$8+ROW(B61)-1, "")</f>
        <v/>
      </c>
      <c r="G63" s="1" t="str">
        <f>IF(Person4!$B$9+ROW(B61)-1&lt;=Person4!$C$9, Person4!$B$9+ROW(B61)-1, "")</f>
        <v/>
      </c>
      <c r="H63" s="1" t="str">
        <f>IF(Person4!$B$10+ROW(B61)-1&lt;=Person4!$C$10, Person4!$B$10+ROW(B61)-1, "")</f>
        <v/>
      </c>
      <c r="I63" s="1" t="str">
        <f>IF(Person4!$B$11+ROW(B61)-1&lt;=Person4!$C$11, Person4!$B$11+ROW(B61)-1, "")</f>
        <v/>
      </c>
      <c r="J63" s="1" t="str">
        <f>IF(Person4!$B$12+ROW(B61)-1&lt;=Person4!$C$12, Person4!$B$12+ROW(B61)-1, "")</f>
        <v/>
      </c>
      <c r="K63" s="1" t="str">
        <f>IF(Person4!$B$13+ROW(B61)-1&lt;=Person4!$C$13, Person4!$B$13+ROW(B61)-1, "")</f>
        <v/>
      </c>
      <c r="L63" s="1" t="str">
        <f>IF(Person4!$B$14+ROW(B61)-1&lt;=Person4!$C$14, Person4!$B$14+ROW(B61)-1, "")</f>
        <v/>
      </c>
      <c r="M63" s="1" t="str">
        <f>IF(Person4!$B$15+ROW(B61)-1&lt;=Person4!$C$15, Person4!$B$15+ROW(B61)-1, "")</f>
        <v/>
      </c>
      <c r="N63" s="1" t="str">
        <f>IF(Person4!$B$16+ROW(B61)-1&lt;=Person4!$C$16, Person4!$B$16+ROW(B61)-1, "")</f>
        <v/>
      </c>
      <c r="O63" s="1" t="str">
        <f>IF(Person4!$B$17+ROW(B61)-1&lt;=Person4!$C$17, Person4!$B$17+ROW(B61)-1, "")</f>
        <v/>
      </c>
      <c r="V63" s="1" t="str">
        <f>IF(Person4!$D$3+ROW(A61)-1&lt;=Person4!$E$3, Person4!$D$3+ROW(A61)-1, "")</f>
        <v/>
      </c>
      <c r="W63" s="1" t="str">
        <f>IF(Person4!$D$4+ROW(A61)-1&lt;=Person4!$E$4, Person4!$D$4+ROW(A61)-1, "")</f>
        <v/>
      </c>
      <c r="X63" s="1" t="str">
        <f>IF(Person4!$D$5+ROW(A61)-1&lt;=Person4!$E$5, Person4!$D$5+ROW(A61)-1, "")</f>
        <v/>
      </c>
      <c r="Y63" s="1" t="str">
        <f>IF(Person4!$D$6+ROW(A61)-1&lt;=Person4!$E$6, Person4!$D$6+ROW(A61)-1, "")</f>
        <v/>
      </c>
      <c r="Z63" s="1" t="str">
        <f>IF(Person4!$D$7+ROW(A61)-1&lt;=Person4!$E$7, Person4!$D$7+ROW(A61)-1, "")</f>
        <v/>
      </c>
      <c r="AA63" s="1" t="str">
        <f>IF(Person4!$D$8+ROW(A61)-1&lt;=Person4!$E$8, Person4!$D$8+ROW(A61)-1, "")</f>
        <v/>
      </c>
      <c r="AE63" s="1" t="str">
        <f>IF(Person4!$F$3+ROW(A61)-1&lt;=Person4!$G$3, Person4!$F$3+ROW(A61)-1, "")</f>
        <v/>
      </c>
      <c r="AF63" s="1" t="str">
        <f>IF(Person4!$F$4+ROW(A61)-1&lt;=Person4!$G$4, Person4!$F$4+ROW(A61)-1, "")</f>
        <v/>
      </c>
      <c r="AG63" s="1" t="str">
        <f>IF(Person4!$F$5+ROW(A61)-1&lt;=Person4!$G$5, Person4!$F$5+ROW(A61)-1, "")</f>
        <v/>
      </c>
      <c r="AH63" s="1" t="str">
        <f>IF(Person4!$F$6+ROW(A61)-1&lt;=Person4!$G$6, Person4!$F$6+ROW(A61)-1, "")</f>
        <v/>
      </c>
      <c r="AI63" s="1" t="str">
        <f>IF(Person4!$F$7+ROW(A61)-1&lt;=Person4!$G$7, Person4!$F$7+ROW(A61)-1, "")</f>
        <v/>
      </c>
    </row>
    <row r="64" spans="1:35" x14ac:dyDescent="0.3">
      <c r="A64" s="1" t="str">
        <f>IF(Person4!$B$3+ROW(A62)-1&lt;=Person4!$C$3, Person4!$B$3+ROW(A62)-1, "")</f>
        <v/>
      </c>
      <c r="B64" s="1" t="str">
        <f>IF(Person4!$B$4+ROW(B62)-1&lt;=Person4!$C$4, Person4!$B$4+ROW(B62)-1, "")</f>
        <v/>
      </c>
      <c r="C64" s="1" t="str">
        <f>IF(Person4!$B$5+ROW(B62)-1&lt;=Person4!$C$5, Person4!$B$5+ROW(B62)-1, "")</f>
        <v/>
      </c>
      <c r="D64" s="1" t="str">
        <f>IF(Person4!$B$6+ROW(B62)-1&lt;=Person4!$C$6, Person4!$B$6+ROW(B62)-1, "")</f>
        <v/>
      </c>
      <c r="E64" s="1" t="str">
        <f>IF(Person4!$B$7+ROW(B62)-1&lt;=Person4!$C$7, Person4!$B$7+ROW(B62)-1, "")</f>
        <v/>
      </c>
      <c r="F64" s="1" t="str">
        <f>IF(Person4!$B$8+ROW(B62)-1&lt;=Person4!$C$8, Person4!$B$8+ROW(B62)-1, "")</f>
        <v/>
      </c>
      <c r="G64" s="1" t="str">
        <f>IF(Person4!$B$9+ROW(B62)-1&lt;=Person4!$C$9, Person4!$B$9+ROW(B62)-1, "")</f>
        <v/>
      </c>
      <c r="H64" s="1" t="str">
        <f>IF(Person4!$B$10+ROW(B62)-1&lt;=Person4!$C$10, Person4!$B$10+ROW(B62)-1, "")</f>
        <v/>
      </c>
      <c r="I64" s="1" t="str">
        <f>IF(Person4!$B$11+ROW(B62)-1&lt;=Person4!$C$11, Person4!$B$11+ROW(B62)-1, "")</f>
        <v/>
      </c>
      <c r="J64" s="1" t="str">
        <f>IF(Person4!$B$12+ROW(B62)-1&lt;=Person4!$C$12, Person4!$B$12+ROW(B62)-1, "")</f>
        <v/>
      </c>
      <c r="K64" s="1" t="str">
        <f>IF(Person4!$B$13+ROW(B62)-1&lt;=Person4!$C$13, Person4!$B$13+ROW(B62)-1, "")</f>
        <v/>
      </c>
      <c r="L64" s="1" t="str">
        <f>IF(Person4!$B$14+ROW(B62)-1&lt;=Person4!$C$14, Person4!$B$14+ROW(B62)-1, "")</f>
        <v/>
      </c>
      <c r="M64" s="1" t="str">
        <f>IF(Person4!$B$15+ROW(B62)-1&lt;=Person4!$C$15, Person4!$B$15+ROW(B62)-1, "")</f>
        <v/>
      </c>
      <c r="N64" s="1" t="str">
        <f>IF(Person4!$B$16+ROW(B62)-1&lt;=Person4!$C$16, Person4!$B$16+ROW(B62)-1, "")</f>
        <v/>
      </c>
      <c r="O64" s="1" t="str">
        <f>IF(Person4!$B$17+ROW(B62)-1&lt;=Person4!$C$17, Person4!$B$17+ROW(B62)-1, "")</f>
        <v/>
      </c>
      <c r="V64" s="1" t="str">
        <f>IF(Person4!$D$3+ROW(A62)-1&lt;=Person4!$E$3, Person4!$D$3+ROW(A62)-1, "")</f>
        <v/>
      </c>
      <c r="W64" s="1" t="str">
        <f>IF(Person4!$D$4+ROW(A62)-1&lt;=Person4!$E$4, Person4!$D$4+ROW(A62)-1, "")</f>
        <v/>
      </c>
      <c r="X64" s="1" t="str">
        <f>IF(Person4!$D$5+ROW(A62)-1&lt;=Person4!$E$5, Person4!$D$5+ROW(A62)-1, "")</f>
        <v/>
      </c>
      <c r="Y64" s="1" t="str">
        <f>IF(Person4!$D$6+ROW(A62)-1&lt;=Person4!$E$6, Person4!$D$6+ROW(A62)-1, "")</f>
        <v/>
      </c>
      <c r="Z64" s="1" t="str">
        <f>IF(Person4!$D$7+ROW(A62)-1&lt;=Person4!$E$7, Person4!$D$7+ROW(A62)-1, "")</f>
        <v/>
      </c>
      <c r="AA64" s="1" t="str">
        <f>IF(Person4!$D$8+ROW(A62)-1&lt;=Person4!$E$8, Person4!$D$8+ROW(A62)-1, "")</f>
        <v/>
      </c>
      <c r="AE64" s="1" t="str">
        <f>IF(Person4!$F$3+ROW(A62)-1&lt;=Person4!$G$3, Person4!$F$3+ROW(A62)-1, "")</f>
        <v/>
      </c>
      <c r="AF64" s="1" t="str">
        <f>IF(Person4!$F$4+ROW(A62)-1&lt;=Person4!$G$4, Person4!$F$4+ROW(A62)-1, "")</f>
        <v/>
      </c>
      <c r="AG64" s="1" t="str">
        <f>IF(Person4!$F$5+ROW(A62)-1&lt;=Person4!$G$5, Person4!$F$5+ROW(A62)-1, "")</f>
        <v/>
      </c>
      <c r="AH64" s="1" t="str">
        <f>IF(Person4!$F$6+ROW(A62)-1&lt;=Person4!$G$6, Person4!$F$6+ROW(A62)-1, "")</f>
        <v/>
      </c>
      <c r="AI64" s="1" t="str">
        <f>IF(Person4!$F$7+ROW(A62)-1&lt;=Person4!$G$7, Person4!$F$7+ROW(A62)-1, "")</f>
        <v/>
      </c>
    </row>
    <row r="65" spans="1:35" x14ac:dyDescent="0.3">
      <c r="A65" s="1" t="str">
        <f>IF(Person4!$B$3+ROW(A63)-1&lt;=Person4!$C$3, Person4!$B$3+ROW(A63)-1, "")</f>
        <v/>
      </c>
      <c r="B65" s="1" t="str">
        <f>IF(Person4!$B$4+ROW(B63)-1&lt;=Person4!$C$4, Person4!$B$4+ROW(B63)-1, "")</f>
        <v/>
      </c>
      <c r="C65" s="1" t="str">
        <f>IF(Person4!$B$5+ROW(B63)-1&lt;=Person4!$C$5, Person4!$B$5+ROW(B63)-1, "")</f>
        <v/>
      </c>
      <c r="D65" s="1" t="str">
        <f>IF(Person4!$B$6+ROW(B63)-1&lt;=Person4!$C$6, Person4!$B$6+ROW(B63)-1, "")</f>
        <v/>
      </c>
      <c r="E65" s="1" t="str">
        <f>IF(Person4!$B$7+ROW(B63)-1&lt;=Person4!$C$7, Person4!$B$7+ROW(B63)-1, "")</f>
        <v/>
      </c>
      <c r="F65" s="1" t="str">
        <f>IF(Person4!$B$8+ROW(B63)-1&lt;=Person4!$C$8, Person4!$B$8+ROW(B63)-1, "")</f>
        <v/>
      </c>
      <c r="G65" s="1" t="str">
        <f>IF(Person4!$B$9+ROW(B63)-1&lt;=Person4!$C$9, Person4!$B$9+ROW(B63)-1, "")</f>
        <v/>
      </c>
      <c r="H65" s="1" t="str">
        <f>IF(Person4!$B$10+ROW(B63)-1&lt;=Person4!$C$10, Person4!$B$10+ROW(B63)-1, "")</f>
        <v/>
      </c>
      <c r="I65" s="1" t="str">
        <f>IF(Person4!$B$11+ROW(B63)-1&lt;=Person4!$C$11, Person4!$B$11+ROW(B63)-1, "")</f>
        <v/>
      </c>
      <c r="J65" s="1" t="str">
        <f>IF(Person4!$B$12+ROW(B63)-1&lt;=Person4!$C$12, Person4!$B$12+ROW(B63)-1, "")</f>
        <v/>
      </c>
      <c r="K65" s="1" t="str">
        <f>IF(Person4!$B$13+ROW(B63)-1&lt;=Person4!$C$13, Person4!$B$13+ROW(B63)-1, "")</f>
        <v/>
      </c>
      <c r="L65" s="1" t="str">
        <f>IF(Person4!$B$14+ROW(B63)-1&lt;=Person4!$C$14, Person4!$B$14+ROW(B63)-1, "")</f>
        <v/>
      </c>
      <c r="M65" s="1" t="str">
        <f>IF(Person4!$B$15+ROW(B63)-1&lt;=Person4!$C$15, Person4!$B$15+ROW(B63)-1, "")</f>
        <v/>
      </c>
      <c r="N65" s="1" t="str">
        <f>IF(Person4!$B$16+ROW(B63)-1&lt;=Person4!$C$16, Person4!$B$16+ROW(B63)-1, "")</f>
        <v/>
      </c>
      <c r="O65" s="1" t="str">
        <f>IF(Person4!$B$17+ROW(B63)-1&lt;=Person4!$C$17, Person4!$B$17+ROW(B63)-1, "")</f>
        <v/>
      </c>
      <c r="V65" s="1" t="str">
        <f>IF(Person4!$D$3+ROW(A63)-1&lt;=Person4!$E$3, Person4!$D$3+ROW(A63)-1, "")</f>
        <v/>
      </c>
      <c r="W65" s="1" t="str">
        <f>IF(Person4!$D$4+ROW(A63)-1&lt;=Person4!$E$4, Person4!$D$4+ROW(A63)-1, "")</f>
        <v/>
      </c>
      <c r="X65" s="1" t="str">
        <f>IF(Person4!$D$5+ROW(A63)-1&lt;=Person4!$E$5, Person4!$D$5+ROW(A63)-1, "")</f>
        <v/>
      </c>
      <c r="Y65" s="1" t="str">
        <f>IF(Person4!$D$6+ROW(A63)-1&lt;=Person4!$E$6, Person4!$D$6+ROW(A63)-1, "")</f>
        <v/>
      </c>
      <c r="Z65" s="1" t="str">
        <f>IF(Person4!$D$7+ROW(A63)-1&lt;=Person4!$E$7, Person4!$D$7+ROW(A63)-1, "")</f>
        <v/>
      </c>
      <c r="AA65" s="1" t="str">
        <f>IF(Person4!$D$8+ROW(A63)-1&lt;=Person4!$E$8, Person4!$D$8+ROW(A63)-1, "")</f>
        <v/>
      </c>
      <c r="AE65" s="1" t="str">
        <f>IF(Person4!$F$3+ROW(A63)-1&lt;=Person4!$G$3, Person4!$F$3+ROW(A63)-1, "")</f>
        <v/>
      </c>
      <c r="AF65" s="1" t="str">
        <f>IF(Person4!$F$4+ROW(A63)-1&lt;=Person4!$G$4, Person4!$F$4+ROW(A63)-1, "")</f>
        <v/>
      </c>
      <c r="AG65" s="1" t="str">
        <f>IF(Person4!$F$5+ROW(A63)-1&lt;=Person4!$G$5, Person4!$F$5+ROW(A63)-1, "")</f>
        <v/>
      </c>
      <c r="AH65" s="1" t="str">
        <f>IF(Person4!$F$6+ROW(A63)-1&lt;=Person4!$G$6, Person4!$F$6+ROW(A63)-1, "")</f>
        <v/>
      </c>
      <c r="AI65" s="1" t="str">
        <f>IF(Person4!$F$7+ROW(A63)-1&lt;=Person4!$G$7, Person4!$F$7+ROW(A63)-1, "")</f>
        <v/>
      </c>
    </row>
    <row r="66" spans="1:35" x14ac:dyDescent="0.3">
      <c r="A66" s="1" t="str">
        <f>IF(Person4!$B$3+ROW(A64)-1&lt;=Person4!$C$3, Person4!$B$3+ROW(A64)-1, "")</f>
        <v/>
      </c>
      <c r="B66" s="1" t="str">
        <f>IF(Person4!$B$4+ROW(B64)-1&lt;=Person4!$C$4, Person4!$B$4+ROW(B64)-1, "")</f>
        <v/>
      </c>
      <c r="C66" s="1" t="str">
        <f>IF(Person4!$B$5+ROW(B64)-1&lt;=Person4!$C$5, Person4!$B$5+ROW(B64)-1, "")</f>
        <v/>
      </c>
      <c r="D66" s="1" t="str">
        <f>IF(Person4!$B$6+ROW(B64)-1&lt;=Person4!$C$6, Person4!$B$6+ROW(B64)-1, "")</f>
        <v/>
      </c>
      <c r="E66" s="1" t="str">
        <f>IF(Person4!$B$7+ROW(B64)-1&lt;=Person4!$C$7, Person4!$B$7+ROW(B64)-1, "")</f>
        <v/>
      </c>
      <c r="F66" s="1" t="str">
        <f>IF(Person4!$B$8+ROW(B64)-1&lt;=Person4!$C$8, Person4!$B$8+ROW(B64)-1, "")</f>
        <v/>
      </c>
      <c r="G66" s="1" t="str">
        <f>IF(Person4!$B$9+ROW(B64)-1&lt;=Person4!$C$9, Person4!$B$9+ROW(B64)-1, "")</f>
        <v/>
      </c>
      <c r="H66" s="1" t="str">
        <f>IF(Person4!$B$10+ROW(B64)-1&lt;=Person4!$C$10, Person4!$B$10+ROW(B64)-1, "")</f>
        <v/>
      </c>
      <c r="I66" s="1" t="str">
        <f>IF(Person4!$B$11+ROW(B64)-1&lt;=Person4!$C$11, Person4!$B$11+ROW(B64)-1, "")</f>
        <v/>
      </c>
      <c r="J66" s="1" t="str">
        <f>IF(Person4!$B$12+ROW(B64)-1&lt;=Person4!$C$12, Person4!$B$12+ROW(B64)-1, "")</f>
        <v/>
      </c>
      <c r="K66" s="1" t="str">
        <f>IF(Person4!$B$13+ROW(B64)-1&lt;=Person4!$C$13, Person4!$B$13+ROW(B64)-1, "")</f>
        <v/>
      </c>
      <c r="L66" s="1" t="str">
        <f>IF(Person4!$B$14+ROW(B64)-1&lt;=Person4!$C$14, Person4!$B$14+ROW(B64)-1, "")</f>
        <v/>
      </c>
      <c r="M66" s="1" t="str">
        <f>IF(Person4!$B$15+ROW(B64)-1&lt;=Person4!$C$15, Person4!$B$15+ROW(B64)-1, "")</f>
        <v/>
      </c>
      <c r="N66" s="1" t="str">
        <f>IF(Person4!$B$16+ROW(B64)-1&lt;=Person4!$C$16, Person4!$B$16+ROW(B64)-1, "")</f>
        <v/>
      </c>
      <c r="O66" s="1" t="str">
        <f>IF(Person4!$B$17+ROW(B64)-1&lt;=Person4!$C$17, Person4!$B$17+ROW(B64)-1, "")</f>
        <v/>
      </c>
      <c r="V66" s="1" t="str">
        <f>IF(Person4!$D$3+ROW(A64)-1&lt;=Person4!$E$3, Person4!$D$3+ROW(A64)-1, "")</f>
        <v/>
      </c>
      <c r="W66" s="1" t="str">
        <f>IF(Person4!$D$4+ROW(A64)-1&lt;=Person4!$E$4, Person4!$D$4+ROW(A64)-1, "")</f>
        <v/>
      </c>
      <c r="X66" s="1" t="str">
        <f>IF(Person4!$D$5+ROW(A64)-1&lt;=Person4!$E$5, Person4!$D$5+ROW(A64)-1, "")</f>
        <v/>
      </c>
      <c r="Y66" s="1" t="str">
        <f>IF(Person4!$D$6+ROW(A64)-1&lt;=Person4!$E$6, Person4!$D$6+ROW(A64)-1, "")</f>
        <v/>
      </c>
      <c r="Z66" s="1" t="str">
        <f>IF(Person4!$D$7+ROW(A64)-1&lt;=Person4!$E$7, Person4!$D$7+ROW(A64)-1, "")</f>
        <v/>
      </c>
      <c r="AA66" s="1" t="str">
        <f>IF(Person4!$D$8+ROW(A64)-1&lt;=Person4!$E$8, Person4!$D$8+ROW(A64)-1, "")</f>
        <v/>
      </c>
      <c r="AE66" s="1" t="str">
        <f>IF(Person4!$F$3+ROW(A64)-1&lt;=Person4!$G$3, Person4!$F$3+ROW(A64)-1, "")</f>
        <v/>
      </c>
      <c r="AF66" s="1" t="str">
        <f>IF(Person4!$F$4+ROW(A64)-1&lt;=Person4!$G$4, Person4!$F$4+ROW(A64)-1, "")</f>
        <v/>
      </c>
      <c r="AG66" s="1" t="str">
        <f>IF(Person4!$F$5+ROW(A64)-1&lt;=Person4!$G$5, Person4!$F$5+ROW(A64)-1, "")</f>
        <v/>
      </c>
      <c r="AH66" s="1" t="str">
        <f>IF(Person4!$F$6+ROW(A64)-1&lt;=Person4!$G$6, Person4!$F$6+ROW(A64)-1, "")</f>
        <v/>
      </c>
      <c r="AI66" s="1" t="str">
        <f>IF(Person4!$F$7+ROW(A64)-1&lt;=Person4!$G$7, Person4!$F$7+ROW(A64)-1, "")</f>
        <v/>
      </c>
    </row>
    <row r="67" spans="1:35" x14ac:dyDescent="0.3">
      <c r="A67" s="1" t="str">
        <f>IF(Person4!$B$3+ROW(A65)-1&lt;=Person4!$C$3, Person4!$B$3+ROW(A65)-1, "")</f>
        <v/>
      </c>
      <c r="B67" s="1" t="str">
        <f>IF(Person4!$B$4+ROW(B65)-1&lt;=Person4!$C$4, Person4!$B$4+ROW(B65)-1, "")</f>
        <v/>
      </c>
      <c r="C67" s="1" t="str">
        <f>IF(Person4!$B$5+ROW(B65)-1&lt;=Person4!$C$5, Person4!$B$5+ROW(B65)-1, "")</f>
        <v/>
      </c>
      <c r="D67" s="1" t="str">
        <f>IF(Person4!$B$6+ROW(B65)-1&lt;=Person4!$C$6, Person4!$B$6+ROW(B65)-1, "")</f>
        <v/>
      </c>
      <c r="E67" s="1" t="str">
        <f>IF(Person4!$B$7+ROW(B65)-1&lt;=Person4!$C$7, Person4!$B$7+ROW(B65)-1, "")</f>
        <v/>
      </c>
      <c r="F67" s="1" t="str">
        <f>IF(Person4!$B$8+ROW(B65)-1&lt;=Person4!$C$8, Person4!$B$8+ROW(B65)-1, "")</f>
        <v/>
      </c>
      <c r="G67" s="1" t="str">
        <f>IF(Person4!$B$9+ROW(B65)-1&lt;=Person4!$C$9, Person4!$B$9+ROW(B65)-1, "")</f>
        <v/>
      </c>
      <c r="H67" s="1" t="str">
        <f>IF(Person4!$B$10+ROW(B65)-1&lt;=Person4!$C$10, Person4!$B$10+ROW(B65)-1, "")</f>
        <v/>
      </c>
      <c r="I67" s="1" t="str">
        <f>IF(Person4!$B$11+ROW(B65)-1&lt;=Person4!$C$11, Person4!$B$11+ROW(B65)-1, "")</f>
        <v/>
      </c>
      <c r="J67" s="1" t="str">
        <f>IF(Person4!$B$12+ROW(B65)-1&lt;=Person4!$C$12, Person4!$B$12+ROW(B65)-1, "")</f>
        <v/>
      </c>
      <c r="K67" s="1" t="str">
        <f>IF(Person4!$B$13+ROW(B65)-1&lt;=Person4!$C$13, Person4!$B$13+ROW(B65)-1, "")</f>
        <v/>
      </c>
      <c r="L67" s="1" t="str">
        <f>IF(Person4!$B$14+ROW(B65)-1&lt;=Person4!$C$14, Person4!$B$14+ROW(B65)-1, "")</f>
        <v/>
      </c>
      <c r="M67" s="1" t="str">
        <f>IF(Person4!$B$15+ROW(B65)-1&lt;=Person4!$C$15, Person4!$B$15+ROW(B65)-1, "")</f>
        <v/>
      </c>
      <c r="N67" s="1" t="str">
        <f>IF(Person4!$B$16+ROW(B65)-1&lt;=Person4!$C$16, Person4!$B$16+ROW(B65)-1, "")</f>
        <v/>
      </c>
      <c r="O67" s="1" t="str">
        <f>IF(Person4!$B$17+ROW(B65)-1&lt;=Person4!$C$17, Person4!$B$17+ROW(B65)-1, "")</f>
        <v/>
      </c>
      <c r="V67" s="1" t="str">
        <f>IF(Person4!$D$3+ROW(A65)-1&lt;=Person4!$E$3, Person4!$D$3+ROW(A65)-1, "")</f>
        <v/>
      </c>
      <c r="W67" s="1" t="str">
        <f>IF(Person4!$D$4+ROW(A65)-1&lt;=Person4!$E$4, Person4!$D$4+ROW(A65)-1, "")</f>
        <v/>
      </c>
      <c r="X67" s="1" t="str">
        <f>IF(Person4!$D$5+ROW(A65)-1&lt;=Person4!$E$5, Person4!$D$5+ROW(A65)-1, "")</f>
        <v/>
      </c>
      <c r="Y67" s="1" t="str">
        <f>IF(Person4!$D$6+ROW(A65)-1&lt;=Person4!$E$6, Person4!$D$6+ROW(A65)-1, "")</f>
        <v/>
      </c>
      <c r="Z67" s="1" t="str">
        <f>IF(Person4!$D$7+ROW(A65)-1&lt;=Person4!$E$7, Person4!$D$7+ROW(A65)-1, "")</f>
        <v/>
      </c>
      <c r="AA67" s="1" t="str">
        <f>IF(Person4!$D$8+ROW(A65)-1&lt;=Person4!$E$8, Person4!$D$8+ROW(A65)-1, "")</f>
        <v/>
      </c>
      <c r="AE67" s="1" t="str">
        <f>IF(Person4!$F$3+ROW(A65)-1&lt;=Person4!$G$3, Person4!$F$3+ROW(A65)-1, "")</f>
        <v/>
      </c>
      <c r="AF67" s="1" t="str">
        <f>IF(Person4!$F$4+ROW(A65)-1&lt;=Person4!$G$4, Person4!$F$4+ROW(A65)-1, "")</f>
        <v/>
      </c>
      <c r="AG67" s="1" t="str">
        <f>IF(Person4!$F$5+ROW(A65)-1&lt;=Person4!$G$5, Person4!$F$5+ROW(A65)-1, "")</f>
        <v/>
      </c>
      <c r="AH67" s="1" t="str">
        <f>IF(Person4!$F$6+ROW(A65)-1&lt;=Person4!$G$6, Person4!$F$6+ROW(A65)-1, "")</f>
        <v/>
      </c>
      <c r="AI67" s="1" t="str">
        <f>IF(Person4!$F$7+ROW(A65)-1&lt;=Person4!$G$7, Person4!$F$7+ROW(A65)-1, "")</f>
        <v/>
      </c>
    </row>
    <row r="68" spans="1:35" x14ac:dyDescent="0.3">
      <c r="A68" s="1" t="str">
        <f>IF(Person4!$B$3+ROW(A66)-1&lt;=Person4!$C$3, Person4!$B$3+ROW(A66)-1, "")</f>
        <v/>
      </c>
      <c r="B68" s="1" t="str">
        <f>IF(Person4!$B$4+ROW(B66)-1&lt;=Person4!$C$4, Person4!$B$4+ROW(B66)-1, "")</f>
        <v/>
      </c>
      <c r="C68" s="1" t="str">
        <f>IF(Person4!$B$5+ROW(B66)-1&lt;=Person4!$C$5, Person4!$B$5+ROW(B66)-1, "")</f>
        <v/>
      </c>
      <c r="D68" s="1" t="str">
        <f>IF(Person4!$B$6+ROW(B66)-1&lt;=Person4!$C$6, Person4!$B$6+ROW(B66)-1, "")</f>
        <v/>
      </c>
      <c r="E68" s="1" t="str">
        <f>IF(Person4!$B$7+ROW(B66)-1&lt;=Person4!$C$7, Person4!$B$7+ROW(B66)-1, "")</f>
        <v/>
      </c>
      <c r="F68" s="1" t="str">
        <f>IF(Person4!$B$8+ROW(B66)-1&lt;=Person4!$C$8, Person4!$B$8+ROW(B66)-1, "")</f>
        <v/>
      </c>
      <c r="G68" s="1" t="str">
        <f>IF(Person4!$B$9+ROW(B66)-1&lt;=Person4!$C$9, Person4!$B$9+ROW(B66)-1, "")</f>
        <v/>
      </c>
      <c r="H68" s="1" t="str">
        <f>IF(Person4!$B$10+ROW(B66)-1&lt;=Person4!$C$10, Person4!$B$10+ROW(B66)-1, "")</f>
        <v/>
      </c>
      <c r="I68" s="1" t="str">
        <f>IF(Person4!$B$11+ROW(B66)-1&lt;=Person4!$C$11, Person4!$B$11+ROW(B66)-1, "")</f>
        <v/>
      </c>
      <c r="J68" s="1" t="str">
        <f>IF(Person4!$B$12+ROW(B66)-1&lt;=Person4!$C$12, Person4!$B$12+ROW(B66)-1, "")</f>
        <v/>
      </c>
      <c r="K68" s="1" t="str">
        <f>IF(Person4!$B$13+ROW(B66)-1&lt;=Person4!$C$13, Person4!$B$13+ROW(B66)-1, "")</f>
        <v/>
      </c>
      <c r="L68" s="1" t="str">
        <f>IF(Person4!$B$14+ROW(B66)-1&lt;=Person4!$C$14, Person4!$B$14+ROW(B66)-1, "")</f>
        <v/>
      </c>
      <c r="M68" s="1" t="str">
        <f>IF(Person4!$B$15+ROW(B66)-1&lt;=Person4!$C$15, Person4!$B$15+ROW(B66)-1, "")</f>
        <v/>
      </c>
      <c r="N68" s="1" t="str">
        <f>IF(Person4!$B$16+ROW(B66)-1&lt;=Person4!$C$16, Person4!$B$16+ROW(B66)-1, "")</f>
        <v/>
      </c>
      <c r="O68" s="1" t="str">
        <f>IF(Person4!$B$17+ROW(B66)-1&lt;=Person4!$C$17, Person4!$B$17+ROW(B66)-1, "")</f>
        <v/>
      </c>
      <c r="V68" s="1" t="str">
        <f>IF(Person4!$D$3+ROW(A66)-1&lt;=Person4!$E$3, Person4!$D$3+ROW(A66)-1, "")</f>
        <v/>
      </c>
      <c r="W68" s="1" t="str">
        <f>IF(Person4!$D$4+ROW(A66)-1&lt;=Person4!$E$4, Person4!$D$4+ROW(A66)-1, "")</f>
        <v/>
      </c>
      <c r="X68" s="1" t="str">
        <f>IF(Person4!$D$5+ROW(A66)-1&lt;=Person4!$E$5, Person4!$D$5+ROW(A66)-1, "")</f>
        <v/>
      </c>
      <c r="Y68" s="1" t="str">
        <f>IF(Person4!$D$6+ROW(A66)-1&lt;=Person4!$E$6, Person4!$D$6+ROW(A66)-1, "")</f>
        <v/>
      </c>
      <c r="Z68" s="1" t="str">
        <f>IF(Person4!$D$7+ROW(A66)-1&lt;=Person4!$E$7, Person4!$D$7+ROW(A66)-1, "")</f>
        <v/>
      </c>
      <c r="AA68" s="1" t="str">
        <f>IF(Person4!$D$8+ROW(A66)-1&lt;=Person4!$E$8, Person4!$D$8+ROW(A66)-1, "")</f>
        <v/>
      </c>
      <c r="AE68" s="1" t="str">
        <f>IF(Person4!$F$3+ROW(A66)-1&lt;=Person4!$G$3, Person4!$F$3+ROW(A66)-1, "")</f>
        <v/>
      </c>
      <c r="AF68" s="1" t="str">
        <f>IF(Person4!$F$4+ROW(A66)-1&lt;=Person4!$G$4, Person4!$F$4+ROW(A66)-1, "")</f>
        <v/>
      </c>
      <c r="AG68" s="1" t="str">
        <f>IF(Person4!$F$5+ROW(A66)-1&lt;=Person4!$G$5, Person4!$F$5+ROW(A66)-1, "")</f>
        <v/>
      </c>
      <c r="AH68" s="1" t="str">
        <f>IF(Person4!$F$6+ROW(A66)-1&lt;=Person4!$G$6, Person4!$F$6+ROW(A66)-1, "")</f>
        <v/>
      </c>
      <c r="AI68" s="1" t="str">
        <f>IF(Person4!$F$7+ROW(A66)-1&lt;=Person4!$G$7, Person4!$F$7+ROW(A66)-1, "")</f>
        <v/>
      </c>
    </row>
    <row r="69" spans="1:35" x14ac:dyDescent="0.3">
      <c r="A69" s="1" t="str">
        <f>IF(Person4!$B$3+ROW(A67)-1&lt;=Person4!$C$3, Person4!$B$3+ROW(A67)-1, "")</f>
        <v/>
      </c>
      <c r="B69" s="1" t="str">
        <f>IF(Person4!$B$4+ROW(B67)-1&lt;=Person4!$C$4, Person4!$B$4+ROW(B67)-1, "")</f>
        <v/>
      </c>
      <c r="C69" s="1" t="str">
        <f>IF(Person4!$B$5+ROW(B67)-1&lt;=Person4!$C$5, Person4!$B$5+ROW(B67)-1, "")</f>
        <v/>
      </c>
      <c r="D69" s="1" t="str">
        <f>IF(Person4!$B$6+ROW(B67)-1&lt;=Person4!$C$6, Person4!$B$6+ROW(B67)-1, "")</f>
        <v/>
      </c>
      <c r="E69" s="1" t="str">
        <f>IF(Person4!$B$7+ROW(B67)-1&lt;=Person4!$C$7, Person4!$B$7+ROW(B67)-1, "")</f>
        <v/>
      </c>
      <c r="F69" s="1" t="str">
        <f>IF(Person4!$B$8+ROW(B67)-1&lt;=Person4!$C$8, Person4!$B$8+ROW(B67)-1, "")</f>
        <v/>
      </c>
      <c r="G69" s="1" t="str">
        <f>IF(Person4!$B$9+ROW(B67)-1&lt;=Person4!$C$9, Person4!$B$9+ROW(B67)-1, "")</f>
        <v/>
      </c>
      <c r="H69" s="1" t="str">
        <f>IF(Person4!$B$10+ROW(B67)-1&lt;=Person4!$C$10, Person4!$B$10+ROW(B67)-1, "")</f>
        <v/>
      </c>
      <c r="I69" s="1" t="str">
        <f>IF(Person4!$B$11+ROW(B67)-1&lt;=Person4!$C$11, Person4!$B$11+ROW(B67)-1, "")</f>
        <v/>
      </c>
      <c r="J69" s="1" t="str">
        <f>IF(Person4!$B$12+ROW(B67)-1&lt;=Person4!$C$12, Person4!$B$12+ROW(B67)-1, "")</f>
        <v/>
      </c>
      <c r="K69" s="1" t="str">
        <f>IF(Person4!$B$13+ROW(B67)-1&lt;=Person4!$C$13, Person4!$B$13+ROW(B67)-1, "")</f>
        <v/>
      </c>
      <c r="L69" s="1" t="str">
        <f>IF(Person4!$B$14+ROW(B67)-1&lt;=Person4!$C$14, Person4!$B$14+ROW(B67)-1, "")</f>
        <v/>
      </c>
      <c r="M69" s="1" t="str">
        <f>IF(Person4!$B$15+ROW(B67)-1&lt;=Person4!$C$15, Person4!$B$15+ROW(B67)-1, "")</f>
        <v/>
      </c>
      <c r="N69" s="1" t="str">
        <f>IF(Person4!$B$16+ROW(B67)-1&lt;=Person4!$C$16, Person4!$B$16+ROW(B67)-1, "")</f>
        <v/>
      </c>
      <c r="O69" s="1" t="str">
        <f>IF(Person4!$B$17+ROW(B67)-1&lt;=Person4!$C$17, Person4!$B$17+ROW(B67)-1, "")</f>
        <v/>
      </c>
      <c r="V69" s="1" t="str">
        <f>IF(Person4!$D$3+ROW(A67)-1&lt;=Person4!$E$3, Person4!$D$3+ROW(A67)-1, "")</f>
        <v/>
      </c>
      <c r="W69" s="1" t="str">
        <f>IF(Person4!$D$4+ROW(A67)-1&lt;=Person4!$E$4, Person4!$D$4+ROW(A67)-1, "")</f>
        <v/>
      </c>
      <c r="X69" s="1" t="str">
        <f>IF(Person4!$D$5+ROW(A67)-1&lt;=Person4!$E$5, Person4!$D$5+ROW(A67)-1, "")</f>
        <v/>
      </c>
      <c r="Y69" s="1" t="str">
        <f>IF(Person4!$D$6+ROW(A67)-1&lt;=Person4!$E$6, Person4!$D$6+ROW(A67)-1, "")</f>
        <v/>
      </c>
      <c r="Z69" s="1" t="str">
        <f>IF(Person4!$D$7+ROW(A67)-1&lt;=Person4!$E$7, Person4!$D$7+ROW(A67)-1, "")</f>
        <v/>
      </c>
      <c r="AA69" s="1" t="str">
        <f>IF(Person4!$D$8+ROW(A67)-1&lt;=Person4!$E$8, Person4!$D$8+ROW(A67)-1, "")</f>
        <v/>
      </c>
      <c r="AE69" s="1" t="str">
        <f>IF(Person4!$F$3+ROW(A67)-1&lt;=Person4!$G$3, Person4!$F$3+ROW(A67)-1, "")</f>
        <v/>
      </c>
      <c r="AF69" s="1" t="str">
        <f>IF(Person4!$F$4+ROW(A67)-1&lt;=Person4!$G$4, Person4!$F$4+ROW(A67)-1, "")</f>
        <v/>
      </c>
      <c r="AG69" s="1" t="str">
        <f>IF(Person4!$F$5+ROW(A67)-1&lt;=Person4!$G$5, Person4!$F$5+ROW(A67)-1, "")</f>
        <v/>
      </c>
      <c r="AH69" s="1" t="str">
        <f>IF(Person4!$F$6+ROW(A67)-1&lt;=Person4!$G$6, Person4!$F$6+ROW(A67)-1, "")</f>
        <v/>
      </c>
      <c r="AI69" s="1" t="str">
        <f>IF(Person4!$F$7+ROW(A67)-1&lt;=Person4!$G$7, Person4!$F$7+ROW(A67)-1, "")</f>
        <v/>
      </c>
    </row>
    <row r="70" spans="1:35" x14ac:dyDescent="0.3">
      <c r="A70" s="1" t="str">
        <f>IF(Person4!$B$3+ROW(A68)-1&lt;=Person4!$C$3, Person4!$B$3+ROW(A68)-1, "")</f>
        <v/>
      </c>
      <c r="B70" s="1" t="str">
        <f>IF(Person4!$B$4+ROW(B68)-1&lt;=Person4!$C$4, Person4!$B$4+ROW(B68)-1, "")</f>
        <v/>
      </c>
      <c r="C70" s="1" t="str">
        <f>IF(Person4!$B$5+ROW(B68)-1&lt;=Person4!$C$5, Person4!$B$5+ROW(B68)-1, "")</f>
        <v/>
      </c>
      <c r="D70" s="1" t="str">
        <f>IF(Person4!$B$6+ROW(B68)-1&lt;=Person4!$C$6, Person4!$B$6+ROW(B68)-1, "")</f>
        <v/>
      </c>
      <c r="E70" s="1" t="str">
        <f>IF(Person4!$B$7+ROW(B68)-1&lt;=Person4!$C$7, Person4!$B$7+ROW(B68)-1, "")</f>
        <v/>
      </c>
      <c r="F70" s="1" t="str">
        <f>IF(Person4!$B$8+ROW(B68)-1&lt;=Person4!$C$8, Person4!$B$8+ROW(B68)-1, "")</f>
        <v/>
      </c>
      <c r="G70" s="1" t="str">
        <f>IF(Person4!$B$9+ROW(B68)-1&lt;=Person4!$C$9, Person4!$B$9+ROW(B68)-1, "")</f>
        <v/>
      </c>
      <c r="H70" s="1" t="str">
        <f>IF(Person4!$B$10+ROW(B68)-1&lt;=Person4!$C$10, Person4!$B$10+ROW(B68)-1, "")</f>
        <v/>
      </c>
      <c r="I70" s="1" t="str">
        <f>IF(Person4!$B$11+ROW(B68)-1&lt;=Person4!$C$11, Person4!$B$11+ROW(B68)-1, "")</f>
        <v/>
      </c>
      <c r="J70" s="1" t="str">
        <f>IF(Person4!$B$12+ROW(B68)-1&lt;=Person4!$C$12, Person4!$B$12+ROW(B68)-1, "")</f>
        <v/>
      </c>
      <c r="K70" s="1" t="str">
        <f>IF(Person4!$B$13+ROW(B68)-1&lt;=Person4!$C$13, Person4!$B$13+ROW(B68)-1, "")</f>
        <v/>
      </c>
      <c r="L70" s="1" t="str">
        <f>IF(Person4!$B$14+ROW(B68)-1&lt;=Person4!$C$14, Person4!$B$14+ROW(B68)-1, "")</f>
        <v/>
      </c>
      <c r="M70" s="1" t="str">
        <f>IF(Person4!$B$15+ROW(B68)-1&lt;=Person4!$C$15, Person4!$B$15+ROW(B68)-1, "")</f>
        <v/>
      </c>
      <c r="N70" s="1" t="str">
        <f>IF(Person4!$B$16+ROW(B68)-1&lt;=Person4!$C$16, Person4!$B$16+ROW(B68)-1, "")</f>
        <v/>
      </c>
      <c r="O70" s="1" t="str">
        <f>IF(Person4!$B$17+ROW(B68)-1&lt;=Person4!$C$17, Person4!$B$17+ROW(B68)-1, "")</f>
        <v/>
      </c>
      <c r="V70" s="1" t="str">
        <f>IF(Person4!$D$3+ROW(A68)-1&lt;=Person4!$E$3, Person4!$D$3+ROW(A68)-1, "")</f>
        <v/>
      </c>
      <c r="W70" s="1" t="str">
        <f>IF(Person4!$D$4+ROW(A68)-1&lt;=Person4!$E$4, Person4!$D$4+ROW(A68)-1, "")</f>
        <v/>
      </c>
      <c r="X70" s="1" t="str">
        <f>IF(Person4!$D$5+ROW(A68)-1&lt;=Person4!$E$5, Person4!$D$5+ROW(A68)-1, "")</f>
        <v/>
      </c>
      <c r="Y70" s="1" t="str">
        <f>IF(Person4!$D$6+ROW(A68)-1&lt;=Person4!$E$6, Person4!$D$6+ROW(A68)-1, "")</f>
        <v/>
      </c>
      <c r="Z70" s="1" t="str">
        <f>IF(Person4!$D$7+ROW(A68)-1&lt;=Person4!$E$7, Person4!$D$7+ROW(A68)-1, "")</f>
        <v/>
      </c>
      <c r="AA70" s="1" t="str">
        <f>IF(Person4!$D$8+ROW(A68)-1&lt;=Person4!$E$8, Person4!$D$8+ROW(A68)-1, "")</f>
        <v/>
      </c>
      <c r="AE70" s="1" t="str">
        <f>IF(Person4!$F$3+ROW(A68)-1&lt;=Person4!$G$3, Person4!$F$3+ROW(A68)-1, "")</f>
        <v/>
      </c>
      <c r="AF70" s="1" t="str">
        <f>IF(Person4!$F$4+ROW(A68)-1&lt;=Person4!$G$4, Person4!$F$4+ROW(A68)-1, "")</f>
        <v/>
      </c>
      <c r="AG70" s="1" t="str">
        <f>IF(Person4!$F$5+ROW(A68)-1&lt;=Person4!$G$5, Person4!$F$5+ROW(A68)-1, "")</f>
        <v/>
      </c>
      <c r="AH70" s="1" t="str">
        <f>IF(Person4!$F$6+ROW(A68)-1&lt;=Person4!$G$6, Person4!$F$6+ROW(A68)-1, "")</f>
        <v/>
      </c>
      <c r="AI70" s="1" t="str">
        <f>IF(Person4!$F$7+ROW(A68)-1&lt;=Person4!$G$7, Person4!$F$7+ROW(A68)-1, "")</f>
        <v/>
      </c>
    </row>
    <row r="71" spans="1:35" x14ac:dyDescent="0.3">
      <c r="A71" s="1" t="str">
        <f>IF(Person4!$B$3+ROW(A69)-1&lt;=Person4!$C$3, Person4!$B$3+ROW(A69)-1, "")</f>
        <v/>
      </c>
      <c r="B71" s="1" t="str">
        <f>IF(Person4!$B$4+ROW(B69)-1&lt;=Person4!$C$4, Person4!$B$4+ROW(B69)-1, "")</f>
        <v/>
      </c>
      <c r="C71" s="1" t="str">
        <f>IF(Person4!$B$5+ROW(B69)-1&lt;=Person4!$C$5, Person4!$B$5+ROW(B69)-1, "")</f>
        <v/>
      </c>
      <c r="D71" s="1" t="str">
        <f>IF(Person4!$B$6+ROW(B69)-1&lt;=Person4!$C$6, Person4!$B$6+ROW(B69)-1, "")</f>
        <v/>
      </c>
      <c r="E71" s="1" t="str">
        <f>IF(Person4!$B$7+ROW(B69)-1&lt;=Person4!$C$7, Person4!$B$7+ROW(B69)-1, "")</f>
        <v/>
      </c>
      <c r="F71" s="1" t="str">
        <f>IF(Person4!$B$8+ROW(B69)-1&lt;=Person4!$C$8, Person4!$B$8+ROW(B69)-1, "")</f>
        <v/>
      </c>
      <c r="G71" s="1" t="str">
        <f>IF(Person4!$B$9+ROW(B69)-1&lt;=Person4!$C$9, Person4!$B$9+ROW(B69)-1, "")</f>
        <v/>
      </c>
      <c r="H71" s="1" t="str">
        <f>IF(Person4!$B$10+ROW(B69)-1&lt;=Person4!$C$10, Person4!$B$10+ROW(B69)-1, "")</f>
        <v/>
      </c>
      <c r="I71" s="1" t="str">
        <f>IF(Person4!$B$11+ROW(B69)-1&lt;=Person4!$C$11, Person4!$B$11+ROW(B69)-1, "")</f>
        <v/>
      </c>
      <c r="J71" s="1" t="str">
        <f>IF(Person4!$B$12+ROW(B69)-1&lt;=Person4!$C$12, Person4!$B$12+ROW(B69)-1, "")</f>
        <v/>
      </c>
      <c r="K71" s="1" t="str">
        <f>IF(Person4!$B$13+ROW(B69)-1&lt;=Person4!$C$13, Person4!$B$13+ROW(B69)-1, "")</f>
        <v/>
      </c>
      <c r="L71" s="1" t="str">
        <f>IF(Person4!$B$14+ROW(B69)-1&lt;=Person4!$C$14, Person4!$B$14+ROW(B69)-1, "")</f>
        <v/>
      </c>
      <c r="M71" s="1" t="str">
        <f>IF(Person4!$B$15+ROW(B69)-1&lt;=Person4!$C$15, Person4!$B$15+ROW(B69)-1, "")</f>
        <v/>
      </c>
      <c r="N71" s="1" t="str">
        <f>IF(Person4!$B$16+ROW(B69)-1&lt;=Person4!$C$16, Person4!$B$16+ROW(B69)-1, "")</f>
        <v/>
      </c>
      <c r="O71" s="1" t="str">
        <f>IF(Person4!$B$17+ROW(B69)-1&lt;=Person4!$C$17, Person4!$B$17+ROW(B69)-1, "")</f>
        <v/>
      </c>
      <c r="V71" s="1" t="str">
        <f>IF(Person4!$D$3+ROW(A69)-1&lt;=Person4!$E$3, Person4!$D$3+ROW(A69)-1, "")</f>
        <v/>
      </c>
      <c r="W71" s="1" t="str">
        <f>IF(Person4!$D$4+ROW(A69)-1&lt;=Person4!$E$4, Person4!$D$4+ROW(A69)-1, "")</f>
        <v/>
      </c>
      <c r="X71" s="1" t="str">
        <f>IF(Person4!$D$5+ROW(A69)-1&lt;=Person4!$E$5, Person4!$D$5+ROW(A69)-1, "")</f>
        <v/>
      </c>
      <c r="Y71" s="1" t="str">
        <f>IF(Person4!$D$6+ROW(A69)-1&lt;=Person4!$E$6, Person4!$D$6+ROW(A69)-1, "")</f>
        <v/>
      </c>
      <c r="Z71" s="1" t="str">
        <f>IF(Person4!$D$7+ROW(A69)-1&lt;=Person4!$E$7, Person4!$D$7+ROW(A69)-1, "")</f>
        <v/>
      </c>
      <c r="AA71" s="1" t="str">
        <f>IF(Person4!$D$8+ROW(A69)-1&lt;=Person4!$E$8, Person4!$D$8+ROW(A69)-1, "")</f>
        <v/>
      </c>
      <c r="AE71" s="1" t="str">
        <f>IF(Person4!$F$3+ROW(A69)-1&lt;=Person4!$G$3, Person4!$F$3+ROW(A69)-1, "")</f>
        <v/>
      </c>
      <c r="AF71" s="1" t="str">
        <f>IF(Person4!$F$4+ROW(A69)-1&lt;=Person4!$G$4, Person4!$F$4+ROW(A69)-1, "")</f>
        <v/>
      </c>
      <c r="AG71" s="1" t="str">
        <f>IF(Person4!$F$5+ROW(A69)-1&lt;=Person4!$G$5, Person4!$F$5+ROW(A69)-1, "")</f>
        <v/>
      </c>
      <c r="AH71" s="1" t="str">
        <f>IF(Person4!$F$6+ROW(A69)-1&lt;=Person4!$G$6, Person4!$F$6+ROW(A69)-1, "")</f>
        <v/>
      </c>
      <c r="AI71" s="1" t="str">
        <f>IF(Person4!$F$7+ROW(A69)-1&lt;=Person4!$G$7, Person4!$F$7+ROW(A69)-1, "")</f>
        <v/>
      </c>
    </row>
    <row r="72" spans="1:35" x14ac:dyDescent="0.3">
      <c r="A72" s="1" t="str">
        <f>IF(Person4!$B$3+ROW(A70)-1&lt;=Person4!$C$3, Person4!$B$3+ROW(A70)-1, "")</f>
        <v/>
      </c>
      <c r="B72" s="1" t="str">
        <f>IF(Person4!$B$4+ROW(B70)-1&lt;=Person4!$C$4, Person4!$B$4+ROW(B70)-1, "")</f>
        <v/>
      </c>
      <c r="C72" s="1" t="str">
        <f>IF(Person4!$B$5+ROW(B70)-1&lt;=Person4!$C$5, Person4!$B$5+ROW(B70)-1, "")</f>
        <v/>
      </c>
      <c r="D72" s="1" t="str">
        <f>IF(Person4!$B$6+ROW(B70)-1&lt;=Person4!$C$6, Person4!$B$6+ROW(B70)-1, "")</f>
        <v/>
      </c>
      <c r="E72" s="1" t="str">
        <f>IF(Person4!$B$7+ROW(B70)-1&lt;=Person4!$C$7, Person4!$B$7+ROW(B70)-1, "")</f>
        <v/>
      </c>
      <c r="F72" s="1" t="str">
        <f>IF(Person4!$B$8+ROW(B70)-1&lt;=Person4!$C$8, Person4!$B$8+ROW(B70)-1, "")</f>
        <v/>
      </c>
      <c r="G72" s="1" t="str">
        <f>IF(Person4!$B$9+ROW(B70)-1&lt;=Person4!$C$9, Person4!$B$9+ROW(B70)-1, "")</f>
        <v/>
      </c>
      <c r="H72" s="1" t="str">
        <f>IF(Person4!$B$10+ROW(B70)-1&lt;=Person4!$C$10, Person4!$B$10+ROW(B70)-1, "")</f>
        <v/>
      </c>
      <c r="I72" s="1" t="str">
        <f>IF(Person4!$B$11+ROW(B70)-1&lt;=Person4!$C$11, Person4!$B$11+ROW(B70)-1, "")</f>
        <v/>
      </c>
      <c r="J72" s="1" t="str">
        <f>IF(Person4!$B$12+ROW(B70)-1&lt;=Person4!$C$12, Person4!$B$12+ROW(B70)-1, "")</f>
        <v/>
      </c>
      <c r="K72" s="1" t="str">
        <f>IF(Person4!$B$13+ROW(B70)-1&lt;=Person4!$C$13, Person4!$B$13+ROW(B70)-1, "")</f>
        <v/>
      </c>
      <c r="L72" s="1" t="str">
        <f>IF(Person4!$B$14+ROW(B70)-1&lt;=Person4!$C$14, Person4!$B$14+ROW(B70)-1, "")</f>
        <v/>
      </c>
      <c r="M72" s="1" t="str">
        <f>IF(Person4!$B$15+ROW(B70)-1&lt;=Person4!$C$15, Person4!$B$15+ROW(B70)-1, "")</f>
        <v/>
      </c>
      <c r="N72" s="1" t="str">
        <f>IF(Person4!$B$16+ROW(B70)-1&lt;=Person4!$C$16, Person4!$B$16+ROW(B70)-1, "")</f>
        <v/>
      </c>
      <c r="O72" s="1" t="str">
        <f>IF(Person4!$B$17+ROW(B70)-1&lt;=Person4!$C$17, Person4!$B$17+ROW(B70)-1, "")</f>
        <v/>
      </c>
      <c r="V72" s="1" t="str">
        <f>IF(Person4!$D$3+ROW(A70)-1&lt;=Person4!$E$3, Person4!$D$3+ROW(A70)-1, "")</f>
        <v/>
      </c>
      <c r="W72" s="1" t="str">
        <f>IF(Person4!$D$4+ROW(A70)-1&lt;=Person4!$E$4, Person4!$D$4+ROW(A70)-1, "")</f>
        <v/>
      </c>
      <c r="X72" s="1" t="str">
        <f>IF(Person4!$D$5+ROW(A70)-1&lt;=Person4!$E$5, Person4!$D$5+ROW(A70)-1, "")</f>
        <v/>
      </c>
      <c r="Y72" s="1" t="str">
        <f>IF(Person4!$D$6+ROW(A70)-1&lt;=Person4!$E$6, Person4!$D$6+ROW(A70)-1, "")</f>
        <v/>
      </c>
      <c r="Z72" s="1" t="str">
        <f>IF(Person4!$D$7+ROW(A70)-1&lt;=Person4!$E$7, Person4!$D$7+ROW(A70)-1, "")</f>
        <v/>
      </c>
      <c r="AA72" s="1" t="str">
        <f>IF(Person4!$D$8+ROW(A70)-1&lt;=Person4!$E$8, Person4!$D$8+ROW(A70)-1, "")</f>
        <v/>
      </c>
      <c r="AE72" s="1" t="str">
        <f>IF(Person4!$F$3+ROW(A70)-1&lt;=Person4!$G$3, Person4!$F$3+ROW(A70)-1, "")</f>
        <v/>
      </c>
      <c r="AF72" s="1" t="str">
        <f>IF(Person4!$F$4+ROW(A70)-1&lt;=Person4!$G$4, Person4!$F$4+ROW(A70)-1, "")</f>
        <v/>
      </c>
      <c r="AG72" s="1" t="str">
        <f>IF(Person4!$F$5+ROW(A70)-1&lt;=Person4!$G$5, Person4!$F$5+ROW(A70)-1, "")</f>
        <v/>
      </c>
      <c r="AH72" s="1" t="str">
        <f>IF(Person4!$F$6+ROW(A70)-1&lt;=Person4!$G$6, Person4!$F$6+ROW(A70)-1, "")</f>
        <v/>
      </c>
      <c r="AI72" s="1" t="str">
        <f>IF(Person4!$F$7+ROW(A70)-1&lt;=Person4!$G$7, Person4!$F$7+ROW(A70)-1, "")</f>
        <v/>
      </c>
    </row>
    <row r="73" spans="1:35" x14ac:dyDescent="0.3">
      <c r="A73" s="1" t="str">
        <f>IF(Person4!$B$3+ROW(A71)-1&lt;=Person4!$C$3, Person4!$B$3+ROW(A71)-1, "")</f>
        <v/>
      </c>
      <c r="B73" s="1" t="str">
        <f>IF(Person4!$B$4+ROW(B71)-1&lt;=Person4!$C$4, Person4!$B$4+ROW(B71)-1, "")</f>
        <v/>
      </c>
      <c r="C73" s="1" t="str">
        <f>IF(Person4!$B$5+ROW(B71)-1&lt;=Person4!$C$5, Person4!$B$5+ROW(B71)-1, "")</f>
        <v/>
      </c>
      <c r="D73" s="1" t="str">
        <f>IF(Person4!$B$6+ROW(B71)-1&lt;=Person4!$C$6, Person4!$B$6+ROW(B71)-1, "")</f>
        <v/>
      </c>
      <c r="E73" s="1" t="str">
        <f>IF(Person4!$B$7+ROW(B71)-1&lt;=Person4!$C$7, Person4!$B$7+ROW(B71)-1, "")</f>
        <v/>
      </c>
      <c r="F73" s="1" t="str">
        <f>IF(Person4!$B$8+ROW(B71)-1&lt;=Person4!$C$8, Person4!$B$8+ROW(B71)-1, "")</f>
        <v/>
      </c>
      <c r="G73" s="1" t="str">
        <f>IF(Person4!$B$9+ROW(B71)-1&lt;=Person4!$C$9, Person4!$B$9+ROW(B71)-1, "")</f>
        <v/>
      </c>
      <c r="H73" s="1" t="str">
        <f>IF(Person4!$B$10+ROW(B71)-1&lt;=Person4!$C$10, Person4!$B$10+ROW(B71)-1, "")</f>
        <v/>
      </c>
      <c r="I73" s="1" t="str">
        <f>IF(Person4!$B$11+ROW(B71)-1&lt;=Person4!$C$11, Person4!$B$11+ROW(B71)-1, "")</f>
        <v/>
      </c>
      <c r="J73" s="1" t="str">
        <f>IF(Person4!$B$12+ROW(B71)-1&lt;=Person4!$C$12, Person4!$B$12+ROW(B71)-1, "")</f>
        <v/>
      </c>
      <c r="K73" s="1" t="str">
        <f>IF(Person4!$B$13+ROW(B71)-1&lt;=Person4!$C$13, Person4!$B$13+ROW(B71)-1, "")</f>
        <v/>
      </c>
      <c r="L73" s="1" t="str">
        <f>IF(Person4!$B$14+ROW(B71)-1&lt;=Person4!$C$14, Person4!$B$14+ROW(B71)-1, "")</f>
        <v/>
      </c>
      <c r="M73" s="1" t="str">
        <f>IF(Person4!$B$15+ROW(B71)-1&lt;=Person4!$C$15, Person4!$B$15+ROW(B71)-1, "")</f>
        <v/>
      </c>
      <c r="N73" s="1" t="str">
        <f>IF(Person4!$B$16+ROW(B71)-1&lt;=Person4!$C$16, Person4!$B$16+ROW(B71)-1, "")</f>
        <v/>
      </c>
      <c r="O73" s="1" t="str">
        <f>IF(Person4!$B$17+ROW(B71)-1&lt;=Person4!$C$17, Person4!$B$17+ROW(B71)-1, "")</f>
        <v/>
      </c>
      <c r="V73" s="1" t="str">
        <f>IF(Person4!$D$3+ROW(A71)-1&lt;=Person4!$E$3, Person4!$D$3+ROW(A71)-1, "")</f>
        <v/>
      </c>
      <c r="W73" s="1" t="str">
        <f>IF(Person4!$D$4+ROW(A71)-1&lt;=Person4!$E$4, Person4!$D$4+ROW(A71)-1, "")</f>
        <v/>
      </c>
      <c r="X73" s="1" t="str">
        <f>IF(Person4!$D$5+ROW(A71)-1&lt;=Person4!$E$5, Person4!$D$5+ROW(A71)-1, "")</f>
        <v/>
      </c>
      <c r="Y73" s="1" t="str">
        <f>IF(Person4!$D$6+ROW(A71)-1&lt;=Person4!$E$6, Person4!$D$6+ROW(A71)-1, "")</f>
        <v/>
      </c>
      <c r="Z73" s="1" t="str">
        <f>IF(Person4!$D$7+ROW(A71)-1&lt;=Person4!$E$7, Person4!$D$7+ROW(A71)-1, "")</f>
        <v/>
      </c>
      <c r="AA73" s="1" t="str">
        <f>IF(Person4!$D$8+ROW(A71)-1&lt;=Person4!$E$8, Person4!$D$8+ROW(A71)-1, "")</f>
        <v/>
      </c>
      <c r="AE73" s="1" t="str">
        <f>IF(Person4!$F$3+ROW(A71)-1&lt;=Person4!$G$3, Person4!$F$3+ROW(A71)-1, "")</f>
        <v/>
      </c>
      <c r="AF73" s="1" t="str">
        <f>IF(Person4!$F$4+ROW(A71)-1&lt;=Person4!$G$4, Person4!$F$4+ROW(A71)-1, "")</f>
        <v/>
      </c>
      <c r="AG73" s="1" t="str">
        <f>IF(Person4!$F$5+ROW(A71)-1&lt;=Person4!$G$5, Person4!$F$5+ROW(A71)-1, "")</f>
        <v/>
      </c>
      <c r="AH73" s="1" t="str">
        <f>IF(Person4!$F$6+ROW(A71)-1&lt;=Person4!$G$6, Person4!$F$6+ROW(A71)-1, "")</f>
        <v/>
      </c>
      <c r="AI73" s="1" t="str">
        <f>IF(Person4!$F$7+ROW(A71)-1&lt;=Person4!$G$7, Person4!$F$7+ROW(A71)-1, "")</f>
        <v/>
      </c>
    </row>
    <row r="74" spans="1:35" x14ac:dyDescent="0.3">
      <c r="A74" s="1" t="str">
        <f>IF(Person4!$B$3+ROW(A72)-1&lt;=Person4!$C$3, Person4!$B$3+ROW(A72)-1, "")</f>
        <v/>
      </c>
      <c r="B74" s="1" t="str">
        <f>IF(Person4!$B$4+ROW(B72)-1&lt;=Person4!$C$4, Person4!$B$4+ROW(B72)-1, "")</f>
        <v/>
      </c>
      <c r="C74" s="1" t="str">
        <f>IF(Person4!$B$5+ROW(B72)-1&lt;=Person4!$C$5, Person4!$B$5+ROW(B72)-1, "")</f>
        <v/>
      </c>
      <c r="D74" s="1" t="str">
        <f>IF(Person4!$B$6+ROW(B72)-1&lt;=Person4!$C$6, Person4!$B$6+ROW(B72)-1, "")</f>
        <v/>
      </c>
      <c r="E74" s="1" t="str">
        <f>IF(Person4!$B$7+ROW(B72)-1&lt;=Person4!$C$7, Person4!$B$7+ROW(B72)-1, "")</f>
        <v/>
      </c>
      <c r="F74" s="1" t="str">
        <f>IF(Person4!$B$8+ROW(B72)-1&lt;=Person4!$C$8, Person4!$B$8+ROW(B72)-1, "")</f>
        <v/>
      </c>
      <c r="G74" s="1" t="str">
        <f>IF(Person4!$B$9+ROW(B72)-1&lt;=Person4!$C$9, Person4!$B$9+ROW(B72)-1, "")</f>
        <v/>
      </c>
      <c r="H74" s="1" t="str">
        <f>IF(Person4!$B$10+ROW(B72)-1&lt;=Person4!$C$10, Person4!$B$10+ROW(B72)-1, "")</f>
        <v/>
      </c>
      <c r="I74" s="1" t="str">
        <f>IF(Person4!$B$11+ROW(B72)-1&lt;=Person4!$C$11, Person4!$B$11+ROW(B72)-1, "")</f>
        <v/>
      </c>
      <c r="J74" s="1" t="str">
        <f>IF(Person4!$B$12+ROW(B72)-1&lt;=Person4!$C$12, Person4!$B$12+ROW(B72)-1, "")</f>
        <v/>
      </c>
      <c r="K74" s="1" t="str">
        <f>IF(Person4!$B$13+ROW(B72)-1&lt;=Person4!$C$13, Person4!$B$13+ROW(B72)-1, "")</f>
        <v/>
      </c>
      <c r="L74" s="1" t="str">
        <f>IF(Person4!$B$14+ROW(B72)-1&lt;=Person4!$C$14, Person4!$B$14+ROW(B72)-1, "")</f>
        <v/>
      </c>
      <c r="M74" s="1" t="str">
        <f>IF(Person4!$B$15+ROW(B72)-1&lt;=Person4!$C$15, Person4!$B$15+ROW(B72)-1, "")</f>
        <v/>
      </c>
      <c r="N74" s="1" t="str">
        <f>IF(Person4!$B$16+ROW(B72)-1&lt;=Person4!$C$16, Person4!$B$16+ROW(B72)-1, "")</f>
        <v/>
      </c>
      <c r="O74" s="1" t="str">
        <f>IF(Person4!$B$17+ROW(B72)-1&lt;=Person4!$C$17, Person4!$B$17+ROW(B72)-1, "")</f>
        <v/>
      </c>
      <c r="V74" s="1" t="str">
        <f>IF(Person4!$D$3+ROW(A72)-1&lt;=Person4!$E$3, Person4!$D$3+ROW(A72)-1, "")</f>
        <v/>
      </c>
      <c r="W74" s="1" t="str">
        <f>IF(Person4!$D$4+ROW(A72)-1&lt;=Person4!$E$4, Person4!$D$4+ROW(A72)-1, "")</f>
        <v/>
      </c>
      <c r="X74" s="1" t="str">
        <f>IF(Person4!$D$5+ROW(A72)-1&lt;=Person4!$E$5, Person4!$D$5+ROW(A72)-1, "")</f>
        <v/>
      </c>
      <c r="Y74" s="1" t="str">
        <f>IF(Person4!$D$6+ROW(A72)-1&lt;=Person4!$E$6, Person4!$D$6+ROW(A72)-1, "")</f>
        <v/>
      </c>
      <c r="Z74" s="1" t="str">
        <f>IF(Person4!$D$7+ROW(A72)-1&lt;=Person4!$E$7, Person4!$D$7+ROW(A72)-1, "")</f>
        <v/>
      </c>
      <c r="AA74" s="1" t="str">
        <f>IF(Person4!$D$8+ROW(A72)-1&lt;=Person4!$E$8, Person4!$D$8+ROW(A72)-1, "")</f>
        <v/>
      </c>
      <c r="AE74" s="1" t="str">
        <f>IF(Person4!$F$3+ROW(A72)-1&lt;=Person4!$G$3, Person4!$F$3+ROW(A72)-1, "")</f>
        <v/>
      </c>
      <c r="AF74" s="1" t="str">
        <f>IF(Person4!$F$4+ROW(A72)-1&lt;=Person4!$G$4, Person4!$F$4+ROW(A72)-1, "")</f>
        <v/>
      </c>
      <c r="AG74" s="1" t="str">
        <f>IF(Person4!$F$5+ROW(A72)-1&lt;=Person4!$G$5, Person4!$F$5+ROW(A72)-1, "")</f>
        <v/>
      </c>
      <c r="AH74" s="1" t="str">
        <f>IF(Person4!$F$6+ROW(A72)-1&lt;=Person4!$G$6, Person4!$F$6+ROW(A72)-1, "")</f>
        <v/>
      </c>
      <c r="AI74" s="1" t="str">
        <f>IF(Person4!$F$7+ROW(A72)-1&lt;=Person4!$G$7, Person4!$F$7+ROW(A72)-1, "")</f>
        <v/>
      </c>
    </row>
    <row r="75" spans="1:35" x14ac:dyDescent="0.3">
      <c r="A75" s="1" t="str">
        <f>IF(Person4!$B$3+ROW(A73)-1&lt;=Person4!$C$3, Person4!$B$3+ROW(A73)-1, "")</f>
        <v/>
      </c>
      <c r="B75" s="1" t="str">
        <f>IF(Person4!$B$4+ROW(B73)-1&lt;=Person4!$C$4, Person4!$B$4+ROW(B73)-1, "")</f>
        <v/>
      </c>
      <c r="C75" s="1" t="str">
        <f>IF(Person4!$B$5+ROW(B73)-1&lt;=Person4!$C$5, Person4!$B$5+ROW(B73)-1, "")</f>
        <v/>
      </c>
      <c r="D75" s="1" t="str">
        <f>IF(Person4!$B$6+ROW(B73)-1&lt;=Person4!$C$6, Person4!$B$6+ROW(B73)-1, "")</f>
        <v/>
      </c>
      <c r="E75" s="1" t="str">
        <f>IF(Person4!$B$7+ROW(B73)-1&lt;=Person4!$C$7, Person4!$B$7+ROW(B73)-1, "")</f>
        <v/>
      </c>
      <c r="F75" s="1" t="str">
        <f>IF(Person4!$B$8+ROW(B73)-1&lt;=Person4!$C$8, Person4!$B$8+ROW(B73)-1, "")</f>
        <v/>
      </c>
      <c r="G75" s="1" t="str">
        <f>IF(Person4!$B$9+ROW(B73)-1&lt;=Person4!$C$9, Person4!$B$9+ROW(B73)-1, "")</f>
        <v/>
      </c>
      <c r="H75" s="1" t="str">
        <f>IF(Person4!$B$10+ROW(B73)-1&lt;=Person4!$C$10, Person4!$B$10+ROW(B73)-1, "")</f>
        <v/>
      </c>
      <c r="I75" s="1" t="str">
        <f>IF(Person4!$B$11+ROW(B73)-1&lt;=Person4!$C$11, Person4!$B$11+ROW(B73)-1, "")</f>
        <v/>
      </c>
      <c r="J75" s="1" t="str">
        <f>IF(Person4!$B$12+ROW(B73)-1&lt;=Person4!$C$12, Person4!$B$12+ROW(B73)-1, "")</f>
        <v/>
      </c>
      <c r="K75" s="1" t="str">
        <f>IF(Person4!$B$13+ROW(B73)-1&lt;=Person4!$C$13, Person4!$B$13+ROW(B73)-1, "")</f>
        <v/>
      </c>
      <c r="L75" s="1" t="str">
        <f>IF(Person4!$B$14+ROW(B73)-1&lt;=Person4!$C$14, Person4!$B$14+ROW(B73)-1, "")</f>
        <v/>
      </c>
      <c r="M75" s="1" t="str">
        <f>IF(Person4!$B$15+ROW(B73)-1&lt;=Person4!$C$15, Person4!$B$15+ROW(B73)-1, "")</f>
        <v/>
      </c>
      <c r="N75" s="1" t="str">
        <f>IF(Person4!$B$16+ROW(B73)-1&lt;=Person4!$C$16, Person4!$B$16+ROW(B73)-1, "")</f>
        <v/>
      </c>
      <c r="O75" s="1" t="str">
        <f>IF(Person4!$B$17+ROW(B73)-1&lt;=Person4!$C$17, Person4!$B$17+ROW(B73)-1, "")</f>
        <v/>
      </c>
      <c r="V75" s="1" t="str">
        <f>IF(Person4!$D$3+ROW(A73)-1&lt;=Person4!$E$3, Person4!$D$3+ROW(A73)-1, "")</f>
        <v/>
      </c>
      <c r="W75" s="1" t="str">
        <f>IF(Person4!$D$4+ROW(A73)-1&lt;=Person4!$E$4, Person4!$D$4+ROW(A73)-1, "")</f>
        <v/>
      </c>
      <c r="X75" s="1" t="str">
        <f>IF(Person4!$D$5+ROW(A73)-1&lt;=Person4!$E$5, Person4!$D$5+ROW(A73)-1, "")</f>
        <v/>
      </c>
      <c r="Y75" s="1" t="str">
        <f>IF(Person4!$D$6+ROW(A73)-1&lt;=Person4!$E$6, Person4!$D$6+ROW(A73)-1, "")</f>
        <v/>
      </c>
      <c r="Z75" s="1" t="str">
        <f>IF(Person4!$D$7+ROW(A73)-1&lt;=Person4!$E$7, Person4!$D$7+ROW(A73)-1, "")</f>
        <v/>
      </c>
      <c r="AA75" s="1" t="str">
        <f>IF(Person4!$D$8+ROW(A73)-1&lt;=Person4!$E$8, Person4!$D$8+ROW(A73)-1, "")</f>
        <v/>
      </c>
      <c r="AE75" s="1" t="str">
        <f>IF(Person4!$F$3+ROW(A73)-1&lt;=Person4!$G$3, Person4!$F$3+ROW(A73)-1, "")</f>
        <v/>
      </c>
      <c r="AF75" s="1" t="str">
        <f>IF(Person4!$F$4+ROW(A73)-1&lt;=Person4!$G$4, Person4!$F$4+ROW(A73)-1, "")</f>
        <v/>
      </c>
      <c r="AG75" s="1" t="str">
        <f>IF(Person4!$F$5+ROW(A73)-1&lt;=Person4!$G$5, Person4!$F$5+ROW(A73)-1, "")</f>
        <v/>
      </c>
      <c r="AH75" s="1" t="str">
        <f>IF(Person4!$F$6+ROW(A73)-1&lt;=Person4!$G$6, Person4!$F$6+ROW(A73)-1, "")</f>
        <v/>
      </c>
      <c r="AI75" s="1" t="str">
        <f>IF(Person4!$F$7+ROW(A73)-1&lt;=Person4!$G$7, Person4!$F$7+ROW(A73)-1, "")</f>
        <v/>
      </c>
    </row>
    <row r="76" spans="1:35" x14ac:dyDescent="0.3">
      <c r="A76" s="1" t="str">
        <f>IF(Person4!$B$3+ROW(A74)-1&lt;=Person4!$C$3, Person4!$B$3+ROW(A74)-1, "")</f>
        <v/>
      </c>
      <c r="B76" s="1" t="str">
        <f>IF(Person4!$B$4+ROW(B74)-1&lt;=Person4!$C$4, Person4!$B$4+ROW(B74)-1, "")</f>
        <v/>
      </c>
      <c r="C76" s="1" t="str">
        <f>IF(Person4!$B$5+ROW(B74)-1&lt;=Person4!$C$5, Person4!$B$5+ROW(B74)-1, "")</f>
        <v/>
      </c>
      <c r="D76" s="1" t="str">
        <f>IF(Person4!$B$6+ROW(B74)-1&lt;=Person4!$C$6, Person4!$B$6+ROW(B74)-1, "")</f>
        <v/>
      </c>
      <c r="E76" s="1" t="str">
        <f>IF(Person4!$B$7+ROW(B74)-1&lt;=Person4!$C$7, Person4!$B$7+ROW(B74)-1, "")</f>
        <v/>
      </c>
      <c r="F76" s="1" t="str">
        <f>IF(Person4!$B$8+ROW(B74)-1&lt;=Person4!$C$8, Person4!$B$8+ROW(B74)-1, "")</f>
        <v/>
      </c>
      <c r="G76" s="1" t="str">
        <f>IF(Person4!$B$9+ROW(B74)-1&lt;=Person4!$C$9, Person4!$B$9+ROW(B74)-1, "")</f>
        <v/>
      </c>
      <c r="H76" s="1" t="str">
        <f>IF(Person4!$B$10+ROW(B74)-1&lt;=Person4!$C$10, Person4!$B$10+ROW(B74)-1, "")</f>
        <v/>
      </c>
      <c r="I76" s="1" t="str">
        <f>IF(Person4!$B$11+ROW(B74)-1&lt;=Person4!$C$11, Person4!$B$11+ROW(B74)-1, "")</f>
        <v/>
      </c>
      <c r="J76" s="1" t="str">
        <f>IF(Person4!$B$12+ROW(B74)-1&lt;=Person4!$C$12, Person4!$B$12+ROW(B74)-1, "")</f>
        <v/>
      </c>
      <c r="K76" s="1" t="str">
        <f>IF(Person4!$B$13+ROW(B74)-1&lt;=Person4!$C$13, Person4!$B$13+ROW(B74)-1, "")</f>
        <v/>
      </c>
      <c r="L76" s="1" t="str">
        <f>IF(Person4!$B$14+ROW(B74)-1&lt;=Person4!$C$14, Person4!$B$14+ROW(B74)-1, "")</f>
        <v/>
      </c>
      <c r="M76" s="1" t="str">
        <f>IF(Person4!$B$15+ROW(B74)-1&lt;=Person4!$C$15, Person4!$B$15+ROW(B74)-1, "")</f>
        <v/>
      </c>
      <c r="N76" s="1" t="str">
        <f>IF(Person4!$B$16+ROW(B74)-1&lt;=Person4!$C$16, Person4!$B$16+ROW(B74)-1, "")</f>
        <v/>
      </c>
      <c r="O76" s="1" t="str">
        <f>IF(Person4!$B$17+ROW(B74)-1&lt;=Person4!$C$17, Person4!$B$17+ROW(B74)-1, "")</f>
        <v/>
      </c>
      <c r="V76" s="1" t="str">
        <f>IF(Person4!$D$3+ROW(A74)-1&lt;=Person4!$E$3, Person4!$D$3+ROW(A74)-1, "")</f>
        <v/>
      </c>
      <c r="W76" s="1" t="str">
        <f>IF(Person4!$D$4+ROW(A74)-1&lt;=Person4!$E$4, Person4!$D$4+ROW(A74)-1, "")</f>
        <v/>
      </c>
      <c r="X76" s="1" t="str">
        <f>IF(Person4!$D$5+ROW(A74)-1&lt;=Person4!$E$5, Person4!$D$5+ROW(A74)-1, "")</f>
        <v/>
      </c>
      <c r="Y76" s="1" t="str">
        <f>IF(Person4!$D$6+ROW(A74)-1&lt;=Person4!$E$6, Person4!$D$6+ROW(A74)-1, "")</f>
        <v/>
      </c>
      <c r="Z76" s="1" t="str">
        <f>IF(Person4!$D$7+ROW(A74)-1&lt;=Person4!$E$7, Person4!$D$7+ROW(A74)-1, "")</f>
        <v/>
      </c>
      <c r="AA76" s="1" t="str">
        <f>IF(Person4!$D$8+ROW(A74)-1&lt;=Person4!$E$8, Person4!$D$8+ROW(A74)-1, "")</f>
        <v/>
      </c>
      <c r="AE76" s="1" t="str">
        <f>IF(Person4!$F$3+ROW(A74)-1&lt;=Person4!$G$3, Person4!$F$3+ROW(A74)-1, "")</f>
        <v/>
      </c>
      <c r="AF76" s="1" t="str">
        <f>IF(Person4!$F$4+ROW(A74)-1&lt;=Person4!$G$4, Person4!$F$4+ROW(A74)-1, "")</f>
        <v/>
      </c>
      <c r="AG76" s="1" t="str">
        <f>IF(Person4!$F$5+ROW(A74)-1&lt;=Person4!$G$5, Person4!$F$5+ROW(A74)-1, "")</f>
        <v/>
      </c>
      <c r="AH76" s="1" t="str">
        <f>IF(Person4!$F$6+ROW(A74)-1&lt;=Person4!$G$6, Person4!$F$6+ROW(A74)-1, "")</f>
        <v/>
      </c>
      <c r="AI76" s="1" t="str">
        <f>IF(Person4!$F$7+ROW(A74)-1&lt;=Person4!$G$7, Person4!$F$7+ROW(A74)-1, "")</f>
        <v/>
      </c>
    </row>
    <row r="77" spans="1:35" x14ac:dyDescent="0.3">
      <c r="A77" s="1" t="str">
        <f>IF(Person4!$B$3+ROW(A75)-1&lt;=Person4!$C$3, Person4!$B$3+ROW(A75)-1, "")</f>
        <v/>
      </c>
      <c r="B77" s="1" t="str">
        <f>IF(Person4!$B$4+ROW(B75)-1&lt;=Person4!$C$4, Person4!$B$4+ROW(B75)-1, "")</f>
        <v/>
      </c>
      <c r="C77" s="1" t="str">
        <f>IF(Person4!$B$5+ROW(B75)-1&lt;=Person4!$C$5, Person4!$B$5+ROW(B75)-1, "")</f>
        <v/>
      </c>
      <c r="D77" s="1" t="str">
        <f>IF(Person4!$B$6+ROW(B75)-1&lt;=Person4!$C$6, Person4!$B$6+ROW(B75)-1, "")</f>
        <v/>
      </c>
      <c r="E77" s="1" t="str">
        <f>IF(Person4!$B$7+ROW(B75)-1&lt;=Person4!$C$7, Person4!$B$7+ROW(B75)-1, "")</f>
        <v/>
      </c>
      <c r="F77" s="1" t="str">
        <f>IF(Person4!$B$8+ROW(B75)-1&lt;=Person4!$C$8, Person4!$B$8+ROW(B75)-1, "")</f>
        <v/>
      </c>
      <c r="G77" s="1" t="str">
        <f>IF(Person4!$B$9+ROW(B75)-1&lt;=Person4!$C$9, Person4!$B$9+ROW(B75)-1, "")</f>
        <v/>
      </c>
      <c r="H77" s="1" t="str">
        <f>IF(Person4!$B$10+ROW(B75)-1&lt;=Person4!$C$10, Person4!$B$10+ROW(B75)-1, "")</f>
        <v/>
      </c>
      <c r="I77" s="1" t="str">
        <f>IF(Person4!$B$11+ROW(B75)-1&lt;=Person4!$C$11, Person4!$B$11+ROW(B75)-1, "")</f>
        <v/>
      </c>
      <c r="J77" s="1" t="str">
        <f>IF(Person4!$B$12+ROW(B75)-1&lt;=Person4!$C$12, Person4!$B$12+ROW(B75)-1, "")</f>
        <v/>
      </c>
      <c r="K77" s="1" t="str">
        <f>IF(Person4!$B$13+ROW(B75)-1&lt;=Person4!$C$13, Person4!$B$13+ROW(B75)-1, "")</f>
        <v/>
      </c>
      <c r="L77" s="1" t="str">
        <f>IF(Person4!$B$14+ROW(B75)-1&lt;=Person4!$C$14, Person4!$B$14+ROW(B75)-1, "")</f>
        <v/>
      </c>
      <c r="M77" s="1" t="str">
        <f>IF(Person4!$B$15+ROW(B75)-1&lt;=Person4!$C$15, Person4!$B$15+ROW(B75)-1, "")</f>
        <v/>
      </c>
      <c r="N77" s="1" t="str">
        <f>IF(Person4!$B$16+ROW(B75)-1&lt;=Person4!$C$16, Person4!$B$16+ROW(B75)-1, "")</f>
        <v/>
      </c>
      <c r="O77" s="1" t="str">
        <f>IF(Person4!$B$17+ROW(B75)-1&lt;=Person4!$C$17, Person4!$B$17+ROW(B75)-1, "")</f>
        <v/>
      </c>
      <c r="V77" s="1" t="str">
        <f>IF(Person4!$D$3+ROW(A75)-1&lt;=Person4!$E$3, Person4!$D$3+ROW(A75)-1, "")</f>
        <v/>
      </c>
      <c r="W77" s="1" t="str">
        <f>IF(Person4!$D$4+ROW(A75)-1&lt;=Person4!$E$4, Person4!$D$4+ROW(A75)-1, "")</f>
        <v/>
      </c>
      <c r="X77" s="1" t="str">
        <f>IF(Person4!$D$5+ROW(A75)-1&lt;=Person4!$E$5, Person4!$D$5+ROW(A75)-1, "")</f>
        <v/>
      </c>
      <c r="Y77" s="1" t="str">
        <f>IF(Person4!$D$6+ROW(A75)-1&lt;=Person4!$E$6, Person4!$D$6+ROW(A75)-1, "")</f>
        <v/>
      </c>
      <c r="Z77" s="1" t="str">
        <f>IF(Person4!$D$7+ROW(A75)-1&lt;=Person4!$E$7, Person4!$D$7+ROW(A75)-1, "")</f>
        <v/>
      </c>
      <c r="AA77" s="1" t="str">
        <f>IF(Person4!$D$8+ROW(A75)-1&lt;=Person4!$E$8, Person4!$D$8+ROW(A75)-1, "")</f>
        <v/>
      </c>
      <c r="AE77" s="1" t="str">
        <f>IF(Person4!$F$3+ROW(A75)-1&lt;=Person4!$G$3, Person4!$F$3+ROW(A75)-1, "")</f>
        <v/>
      </c>
      <c r="AF77" s="1" t="str">
        <f>IF(Person4!$F$4+ROW(A75)-1&lt;=Person4!$G$4, Person4!$F$4+ROW(A75)-1, "")</f>
        <v/>
      </c>
      <c r="AG77" s="1" t="str">
        <f>IF(Person4!$F$5+ROW(A75)-1&lt;=Person4!$G$5, Person4!$F$5+ROW(A75)-1, "")</f>
        <v/>
      </c>
      <c r="AH77" s="1" t="str">
        <f>IF(Person4!$F$6+ROW(A75)-1&lt;=Person4!$G$6, Person4!$F$6+ROW(A75)-1, "")</f>
        <v/>
      </c>
      <c r="AI77" s="1" t="str">
        <f>IF(Person4!$F$7+ROW(A75)-1&lt;=Person4!$G$7, Person4!$F$7+ROW(A75)-1, "")</f>
        <v/>
      </c>
    </row>
    <row r="78" spans="1:35" x14ac:dyDescent="0.3">
      <c r="A78" s="1" t="str">
        <f>IF(Person4!$B$3+ROW(A76)-1&lt;=Person4!$C$3, Person4!$B$3+ROW(A76)-1, "")</f>
        <v/>
      </c>
      <c r="B78" s="1" t="str">
        <f>IF(Person4!$B$4+ROW(B76)-1&lt;=Person4!$C$4, Person4!$B$4+ROW(B76)-1, "")</f>
        <v/>
      </c>
      <c r="C78" s="1" t="str">
        <f>IF(Person4!$B$5+ROW(B76)-1&lt;=Person4!$C$5, Person4!$B$5+ROW(B76)-1, "")</f>
        <v/>
      </c>
      <c r="D78" s="1" t="str">
        <f>IF(Person4!$B$6+ROW(B76)-1&lt;=Person4!$C$6, Person4!$B$6+ROW(B76)-1, "")</f>
        <v/>
      </c>
      <c r="E78" s="1" t="str">
        <f>IF(Person4!$B$7+ROW(B76)-1&lt;=Person4!$C$7, Person4!$B$7+ROW(B76)-1, "")</f>
        <v/>
      </c>
      <c r="F78" s="1" t="str">
        <f>IF(Person4!$B$8+ROW(B76)-1&lt;=Person4!$C$8, Person4!$B$8+ROW(B76)-1, "")</f>
        <v/>
      </c>
      <c r="G78" s="1" t="str">
        <f>IF(Person4!$B$9+ROW(B76)-1&lt;=Person4!$C$9, Person4!$B$9+ROW(B76)-1, "")</f>
        <v/>
      </c>
      <c r="H78" s="1" t="str">
        <f>IF(Person4!$B$10+ROW(B76)-1&lt;=Person4!$C$10, Person4!$B$10+ROW(B76)-1, "")</f>
        <v/>
      </c>
      <c r="I78" s="1" t="str">
        <f>IF(Person4!$B$11+ROW(B76)-1&lt;=Person4!$C$11, Person4!$B$11+ROW(B76)-1, "")</f>
        <v/>
      </c>
      <c r="J78" s="1" t="str">
        <f>IF(Person4!$B$12+ROW(B76)-1&lt;=Person4!$C$12, Person4!$B$12+ROW(B76)-1, "")</f>
        <v/>
      </c>
      <c r="K78" s="1" t="str">
        <f>IF(Person4!$B$13+ROW(B76)-1&lt;=Person4!$C$13, Person4!$B$13+ROW(B76)-1, "")</f>
        <v/>
      </c>
      <c r="L78" s="1" t="str">
        <f>IF(Person4!$B$14+ROW(B76)-1&lt;=Person4!$C$14, Person4!$B$14+ROW(B76)-1, "")</f>
        <v/>
      </c>
      <c r="M78" s="1" t="str">
        <f>IF(Person4!$B$15+ROW(B76)-1&lt;=Person4!$C$15, Person4!$B$15+ROW(B76)-1, "")</f>
        <v/>
      </c>
      <c r="N78" s="1" t="str">
        <f>IF(Person4!$B$16+ROW(B76)-1&lt;=Person4!$C$16, Person4!$B$16+ROW(B76)-1, "")</f>
        <v/>
      </c>
      <c r="O78" s="1" t="str">
        <f>IF(Person4!$B$17+ROW(B76)-1&lt;=Person4!$C$17, Person4!$B$17+ROW(B76)-1, "")</f>
        <v/>
      </c>
      <c r="V78" s="1" t="str">
        <f>IF(Person4!$D$3+ROW(A76)-1&lt;=Person4!$E$3, Person4!$D$3+ROW(A76)-1, "")</f>
        <v/>
      </c>
      <c r="W78" s="1" t="str">
        <f>IF(Person4!$D$4+ROW(A76)-1&lt;=Person4!$E$4, Person4!$D$4+ROW(A76)-1, "")</f>
        <v/>
      </c>
      <c r="X78" s="1" t="str">
        <f>IF(Person4!$D$5+ROW(A76)-1&lt;=Person4!$E$5, Person4!$D$5+ROW(A76)-1, "")</f>
        <v/>
      </c>
      <c r="Y78" s="1" t="str">
        <f>IF(Person4!$D$6+ROW(A76)-1&lt;=Person4!$E$6, Person4!$D$6+ROW(A76)-1, "")</f>
        <v/>
      </c>
      <c r="Z78" s="1" t="str">
        <f>IF(Person4!$D$7+ROW(A76)-1&lt;=Person4!$E$7, Person4!$D$7+ROW(A76)-1, "")</f>
        <v/>
      </c>
      <c r="AA78" s="1" t="str">
        <f>IF(Person4!$D$8+ROW(A76)-1&lt;=Person4!$E$8, Person4!$D$8+ROW(A76)-1, "")</f>
        <v/>
      </c>
      <c r="AE78" s="1" t="str">
        <f>IF(Person4!$F$3+ROW(A76)-1&lt;=Person4!$G$3, Person4!$F$3+ROW(A76)-1, "")</f>
        <v/>
      </c>
      <c r="AF78" s="1" t="str">
        <f>IF(Person4!$F$4+ROW(A76)-1&lt;=Person4!$G$4, Person4!$F$4+ROW(A76)-1, "")</f>
        <v/>
      </c>
      <c r="AG78" s="1" t="str">
        <f>IF(Person4!$F$5+ROW(A76)-1&lt;=Person4!$G$5, Person4!$F$5+ROW(A76)-1, "")</f>
        <v/>
      </c>
      <c r="AH78" s="1" t="str">
        <f>IF(Person4!$F$6+ROW(A76)-1&lt;=Person4!$G$6, Person4!$F$6+ROW(A76)-1, "")</f>
        <v/>
      </c>
      <c r="AI78" s="1" t="str">
        <f>IF(Person4!$F$7+ROW(A76)-1&lt;=Person4!$G$7, Person4!$F$7+ROW(A76)-1, "")</f>
        <v/>
      </c>
    </row>
    <row r="79" spans="1:35" x14ac:dyDescent="0.3">
      <c r="A79" s="1" t="str">
        <f>IF(Person4!$B$3+ROW(A77)-1&lt;=Person4!$C$3, Person4!$B$3+ROW(A77)-1, "")</f>
        <v/>
      </c>
      <c r="B79" s="1" t="str">
        <f>IF(Person4!$B$4+ROW(B77)-1&lt;=Person4!$C$4, Person4!$B$4+ROW(B77)-1, "")</f>
        <v/>
      </c>
      <c r="C79" s="1" t="str">
        <f>IF(Person4!$B$5+ROW(B77)-1&lt;=Person4!$C$5, Person4!$B$5+ROW(B77)-1, "")</f>
        <v/>
      </c>
      <c r="D79" s="1" t="str">
        <f>IF(Person4!$B$6+ROW(B77)-1&lt;=Person4!$C$6, Person4!$B$6+ROW(B77)-1, "")</f>
        <v/>
      </c>
      <c r="E79" s="1" t="str">
        <f>IF(Person4!$B$7+ROW(B77)-1&lt;=Person4!$C$7, Person4!$B$7+ROW(B77)-1, "")</f>
        <v/>
      </c>
      <c r="F79" s="1" t="str">
        <f>IF(Person4!$B$8+ROW(B77)-1&lt;=Person4!$C$8, Person4!$B$8+ROW(B77)-1, "")</f>
        <v/>
      </c>
      <c r="G79" s="1" t="str">
        <f>IF(Person4!$B$9+ROW(B77)-1&lt;=Person4!$C$9, Person4!$B$9+ROW(B77)-1, "")</f>
        <v/>
      </c>
      <c r="H79" s="1" t="str">
        <f>IF(Person4!$B$10+ROW(B77)-1&lt;=Person4!$C$10, Person4!$B$10+ROW(B77)-1, "")</f>
        <v/>
      </c>
      <c r="I79" s="1" t="str">
        <f>IF(Person4!$B$11+ROW(B77)-1&lt;=Person4!$C$11, Person4!$B$11+ROW(B77)-1, "")</f>
        <v/>
      </c>
      <c r="J79" s="1" t="str">
        <f>IF(Person4!$B$12+ROW(B77)-1&lt;=Person4!$C$12, Person4!$B$12+ROW(B77)-1, "")</f>
        <v/>
      </c>
      <c r="K79" s="1" t="str">
        <f>IF(Person4!$B$13+ROW(B77)-1&lt;=Person4!$C$13, Person4!$B$13+ROW(B77)-1, "")</f>
        <v/>
      </c>
      <c r="L79" s="1" t="str">
        <f>IF(Person4!$B$14+ROW(B77)-1&lt;=Person4!$C$14, Person4!$B$14+ROW(B77)-1, "")</f>
        <v/>
      </c>
      <c r="M79" s="1" t="str">
        <f>IF(Person4!$B$15+ROW(B77)-1&lt;=Person4!$C$15, Person4!$B$15+ROW(B77)-1, "")</f>
        <v/>
      </c>
      <c r="N79" s="1" t="str">
        <f>IF(Person4!$B$16+ROW(B77)-1&lt;=Person4!$C$16, Person4!$B$16+ROW(B77)-1, "")</f>
        <v/>
      </c>
      <c r="O79" s="1" t="str">
        <f>IF(Person4!$B$17+ROW(B77)-1&lt;=Person4!$C$17, Person4!$B$17+ROW(B77)-1, "")</f>
        <v/>
      </c>
      <c r="V79" s="1" t="str">
        <f>IF(Person4!$D$3+ROW(A77)-1&lt;=Person4!$E$3, Person4!$D$3+ROW(A77)-1, "")</f>
        <v/>
      </c>
      <c r="W79" s="1" t="str">
        <f>IF(Person4!$D$4+ROW(A77)-1&lt;=Person4!$E$4, Person4!$D$4+ROW(A77)-1, "")</f>
        <v/>
      </c>
      <c r="X79" s="1" t="str">
        <f>IF(Person4!$D$5+ROW(A77)-1&lt;=Person4!$E$5, Person4!$D$5+ROW(A77)-1, "")</f>
        <v/>
      </c>
      <c r="Y79" s="1" t="str">
        <f>IF(Person4!$D$6+ROW(A77)-1&lt;=Person4!$E$6, Person4!$D$6+ROW(A77)-1, "")</f>
        <v/>
      </c>
      <c r="Z79" s="1" t="str">
        <f>IF(Person4!$D$7+ROW(A77)-1&lt;=Person4!$E$7, Person4!$D$7+ROW(A77)-1, "")</f>
        <v/>
      </c>
      <c r="AA79" s="1" t="str">
        <f>IF(Person4!$D$8+ROW(A77)-1&lt;=Person4!$E$8, Person4!$D$8+ROW(A77)-1, "")</f>
        <v/>
      </c>
      <c r="AE79" s="1" t="str">
        <f>IF(Person4!$F$3+ROW(A77)-1&lt;=Person4!$G$3, Person4!$F$3+ROW(A77)-1, "")</f>
        <v/>
      </c>
      <c r="AF79" s="1" t="str">
        <f>IF(Person4!$F$4+ROW(A77)-1&lt;=Person4!$G$4, Person4!$F$4+ROW(A77)-1, "")</f>
        <v/>
      </c>
      <c r="AG79" s="1" t="str">
        <f>IF(Person4!$F$5+ROW(A77)-1&lt;=Person4!$G$5, Person4!$F$5+ROW(A77)-1, "")</f>
        <v/>
      </c>
      <c r="AH79" s="1" t="str">
        <f>IF(Person4!$F$6+ROW(A77)-1&lt;=Person4!$G$6, Person4!$F$6+ROW(A77)-1, "")</f>
        <v/>
      </c>
      <c r="AI79" s="1" t="str">
        <f>IF(Person4!$F$7+ROW(A77)-1&lt;=Person4!$G$7, Person4!$F$7+ROW(A77)-1, "")</f>
        <v/>
      </c>
    </row>
    <row r="80" spans="1:35" x14ac:dyDescent="0.3">
      <c r="A80" s="1" t="str">
        <f>IF(Person4!$B$3+ROW(A78)-1&lt;=Person4!$C$3, Person4!$B$3+ROW(A78)-1, "")</f>
        <v/>
      </c>
      <c r="B80" s="1" t="str">
        <f>IF(Person4!$B$4+ROW(B78)-1&lt;=Person4!$C$4, Person4!$B$4+ROW(B78)-1, "")</f>
        <v/>
      </c>
      <c r="C80" s="1" t="str">
        <f>IF(Person4!$B$5+ROW(B78)-1&lt;=Person4!$C$5, Person4!$B$5+ROW(B78)-1, "")</f>
        <v/>
      </c>
      <c r="D80" s="1" t="str">
        <f>IF(Person4!$B$6+ROW(B78)-1&lt;=Person4!$C$6, Person4!$B$6+ROW(B78)-1, "")</f>
        <v/>
      </c>
      <c r="E80" s="1" t="str">
        <f>IF(Person4!$B$7+ROW(B78)-1&lt;=Person4!$C$7, Person4!$B$7+ROW(B78)-1, "")</f>
        <v/>
      </c>
      <c r="F80" s="1" t="str">
        <f>IF(Person4!$B$8+ROW(B78)-1&lt;=Person4!$C$8, Person4!$B$8+ROW(B78)-1, "")</f>
        <v/>
      </c>
      <c r="G80" s="1" t="str">
        <f>IF(Person4!$B$9+ROW(B78)-1&lt;=Person4!$C$9, Person4!$B$9+ROW(B78)-1, "")</f>
        <v/>
      </c>
      <c r="H80" s="1" t="str">
        <f>IF(Person4!$B$10+ROW(B78)-1&lt;=Person4!$C$10, Person4!$B$10+ROW(B78)-1, "")</f>
        <v/>
      </c>
      <c r="I80" s="1" t="str">
        <f>IF(Person4!$B$11+ROW(B78)-1&lt;=Person4!$C$11, Person4!$B$11+ROW(B78)-1, "")</f>
        <v/>
      </c>
      <c r="J80" s="1" t="str">
        <f>IF(Person4!$B$12+ROW(B78)-1&lt;=Person4!$C$12, Person4!$B$12+ROW(B78)-1, "")</f>
        <v/>
      </c>
      <c r="K80" s="1" t="str">
        <f>IF(Person4!$B$13+ROW(B78)-1&lt;=Person4!$C$13, Person4!$B$13+ROW(B78)-1, "")</f>
        <v/>
      </c>
      <c r="L80" s="1" t="str">
        <f>IF(Person4!$B$14+ROW(B78)-1&lt;=Person4!$C$14, Person4!$B$14+ROW(B78)-1, "")</f>
        <v/>
      </c>
      <c r="M80" s="1" t="str">
        <f>IF(Person4!$B$15+ROW(B78)-1&lt;=Person4!$C$15, Person4!$B$15+ROW(B78)-1, "")</f>
        <v/>
      </c>
      <c r="N80" s="1" t="str">
        <f>IF(Person4!$B$16+ROW(B78)-1&lt;=Person4!$C$16, Person4!$B$16+ROW(B78)-1, "")</f>
        <v/>
      </c>
      <c r="O80" s="1" t="str">
        <f>IF(Person4!$B$17+ROW(B78)-1&lt;=Person4!$C$17, Person4!$B$17+ROW(B78)-1, "")</f>
        <v/>
      </c>
      <c r="V80" s="1" t="str">
        <f>IF(Person4!$D$3+ROW(A78)-1&lt;=Person4!$E$3, Person4!$D$3+ROW(A78)-1, "")</f>
        <v/>
      </c>
      <c r="W80" s="1" t="str">
        <f>IF(Person4!$D$4+ROW(A78)-1&lt;=Person4!$E$4, Person4!$D$4+ROW(A78)-1, "")</f>
        <v/>
      </c>
      <c r="X80" s="1" t="str">
        <f>IF(Person4!$D$5+ROW(A78)-1&lt;=Person4!$E$5, Person4!$D$5+ROW(A78)-1, "")</f>
        <v/>
      </c>
      <c r="Y80" s="1" t="str">
        <f>IF(Person4!$D$6+ROW(A78)-1&lt;=Person4!$E$6, Person4!$D$6+ROW(A78)-1, "")</f>
        <v/>
      </c>
      <c r="Z80" s="1" t="str">
        <f>IF(Person4!$D$7+ROW(A78)-1&lt;=Person4!$E$7, Person4!$D$7+ROW(A78)-1, "")</f>
        <v/>
      </c>
      <c r="AA80" s="1" t="str">
        <f>IF(Person4!$D$8+ROW(A78)-1&lt;=Person4!$E$8, Person4!$D$8+ROW(A78)-1, "")</f>
        <v/>
      </c>
      <c r="AE80" s="1" t="str">
        <f>IF(Person4!$F$3+ROW(A78)-1&lt;=Person4!$G$3, Person4!$F$3+ROW(A78)-1, "")</f>
        <v/>
      </c>
      <c r="AF80" s="1" t="str">
        <f>IF(Person4!$F$4+ROW(A78)-1&lt;=Person4!$G$4, Person4!$F$4+ROW(A78)-1, "")</f>
        <v/>
      </c>
      <c r="AG80" s="1" t="str">
        <f>IF(Person4!$F$5+ROW(A78)-1&lt;=Person4!$G$5, Person4!$F$5+ROW(A78)-1, "")</f>
        <v/>
      </c>
      <c r="AH80" s="1" t="str">
        <f>IF(Person4!$F$6+ROW(A78)-1&lt;=Person4!$G$6, Person4!$F$6+ROW(A78)-1, "")</f>
        <v/>
      </c>
      <c r="AI80" s="1" t="str">
        <f>IF(Person4!$F$7+ROW(A78)-1&lt;=Person4!$G$7, Person4!$F$7+ROW(A78)-1, "")</f>
        <v/>
      </c>
    </row>
    <row r="81" spans="1:35" x14ac:dyDescent="0.3">
      <c r="A81" s="1" t="str">
        <f>IF(Person4!$B$3+ROW(A79)-1&lt;=Person4!$C$3, Person4!$B$3+ROW(A79)-1, "")</f>
        <v/>
      </c>
      <c r="B81" s="1" t="str">
        <f>IF(Person4!$B$4+ROW(B79)-1&lt;=Person4!$C$4, Person4!$B$4+ROW(B79)-1, "")</f>
        <v/>
      </c>
      <c r="C81" s="1" t="str">
        <f>IF(Person4!$B$5+ROW(B79)-1&lt;=Person4!$C$5, Person4!$B$5+ROW(B79)-1, "")</f>
        <v/>
      </c>
      <c r="D81" s="1" t="str">
        <f>IF(Person4!$B$6+ROW(B79)-1&lt;=Person4!$C$6, Person4!$B$6+ROW(B79)-1, "")</f>
        <v/>
      </c>
      <c r="E81" s="1" t="str">
        <f>IF(Person4!$B$7+ROW(B79)-1&lt;=Person4!$C$7, Person4!$B$7+ROW(B79)-1, "")</f>
        <v/>
      </c>
      <c r="F81" s="1" t="str">
        <f>IF(Person4!$B$8+ROW(B79)-1&lt;=Person4!$C$8, Person4!$B$8+ROW(B79)-1, "")</f>
        <v/>
      </c>
      <c r="G81" s="1" t="str">
        <f>IF(Person4!$B$9+ROW(B79)-1&lt;=Person4!$C$9, Person4!$B$9+ROW(B79)-1, "")</f>
        <v/>
      </c>
      <c r="H81" s="1" t="str">
        <f>IF(Person4!$B$10+ROW(B79)-1&lt;=Person4!$C$10, Person4!$B$10+ROW(B79)-1, "")</f>
        <v/>
      </c>
      <c r="I81" s="1" t="str">
        <f>IF(Person4!$B$11+ROW(B79)-1&lt;=Person4!$C$11, Person4!$B$11+ROW(B79)-1, "")</f>
        <v/>
      </c>
      <c r="J81" s="1" t="str">
        <f>IF(Person4!$B$12+ROW(B79)-1&lt;=Person4!$C$12, Person4!$B$12+ROW(B79)-1, "")</f>
        <v/>
      </c>
      <c r="K81" s="1" t="str">
        <f>IF(Person4!$B$13+ROW(B79)-1&lt;=Person4!$C$13, Person4!$B$13+ROW(B79)-1, "")</f>
        <v/>
      </c>
      <c r="L81" s="1" t="str">
        <f>IF(Person4!$B$14+ROW(B79)-1&lt;=Person4!$C$14, Person4!$B$14+ROW(B79)-1, "")</f>
        <v/>
      </c>
      <c r="M81" s="1" t="str">
        <f>IF(Person4!$B$15+ROW(B79)-1&lt;=Person4!$C$15, Person4!$B$15+ROW(B79)-1, "")</f>
        <v/>
      </c>
      <c r="N81" s="1" t="str">
        <f>IF(Person4!$B$16+ROW(B79)-1&lt;=Person4!$C$16, Person4!$B$16+ROW(B79)-1, "")</f>
        <v/>
      </c>
      <c r="O81" s="1" t="str">
        <f>IF(Person4!$B$17+ROW(B79)-1&lt;=Person4!$C$17, Person4!$B$17+ROW(B79)-1, "")</f>
        <v/>
      </c>
      <c r="V81" s="1" t="str">
        <f>IF(Person4!$D$3+ROW(A79)-1&lt;=Person4!$E$3, Person4!$D$3+ROW(A79)-1, "")</f>
        <v/>
      </c>
      <c r="W81" s="1" t="str">
        <f>IF(Person4!$D$4+ROW(A79)-1&lt;=Person4!$E$4, Person4!$D$4+ROW(A79)-1, "")</f>
        <v/>
      </c>
      <c r="X81" s="1" t="str">
        <f>IF(Person4!$D$5+ROW(A79)-1&lt;=Person4!$E$5, Person4!$D$5+ROW(A79)-1, "")</f>
        <v/>
      </c>
      <c r="Y81" s="1" t="str">
        <f>IF(Person4!$D$6+ROW(A79)-1&lt;=Person4!$E$6, Person4!$D$6+ROW(A79)-1, "")</f>
        <v/>
      </c>
      <c r="Z81" s="1" t="str">
        <f>IF(Person4!$D$7+ROW(A79)-1&lt;=Person4!$E$7, Person4!$D$7+ROW(A79)-1, "")</f>
        <v/>
      </c>
      <c r="AA81" s="1" t="str">
        <f>IF(Person4!$D$8+ROW(A79)-1&lt;=Person4!$E$8, Person4!$D$8+ROW(A79)-1, "")</f>
        <v/>
      </c>
      <c r="AE81" s="1" t="str">
        <f>IF(Person4!$F$3+ROW(A79)-1&lt;=Person4!$G$3, Person4!$F$3+ROW(A79)-1, "")</f>
        <v/>
      </c>
      <c r="AF81" s="1" t="str">
        <f>IF(Person4!$F$4+ROW(A79)-1&lt;=Person4!$G$4, Person4!$F$4+ROW(A79)-1, "")</f>
        <v/>
      </c>
      <c r="AG81" s="1" t="str">
        <f>IF(Person4!$F$5+ROW(A79)-1&lt;=Person4!$G$5, Person4!$F$5+ROW(A79)-1, "")</f>
        <v/>
      </c>
      <c r="AH81" s="1" t="str">
        <f>IF(Person4!$F$6+ROW(A79)-1&lt;=Person4!$G$6, Person4!$F$6+ROW(A79)-1, "")</f>
        <v/>
      </c>
      <c r="AI81" s="1" t="str">
        <f>IF(Person4!$F$7+ROW(A79)-1&lt;=Person4!$G$7, Person4!$F$7+ROW(A79)-1, "")</f>
        <v/>
      </c>
    </row>
    <row r="82" spans="1:35" x14ac:dyDescent="0.3">
      <c r="A82" s="1" t="str">
        <f>IF(Person4!$B$3+ROW(A80)-1&lt;=Person4!$C$3, Person4!$B$3+ROW(A80)-1, "")</f>
        <v/>
      </c>
      <c r="B82" s="1" t="str">
        <f>IF(Person4!$B$4+ROW(B80)-1&lt;=Person4!$C$4, Person4!$B$4+ROW(B80)-1, "")</f>
        <v/>
      </c>
      <c r="C82" s="1" t="str">
        <f>IF(Person4!$B$5+ROW(B80)-1&lt;=Person4!$C$5, Person4!$B$5+ROW(B80)-1, "")</f>
        <v/>
      </c>
      <c r="D82" s="1" t="str">
        <f>IF(Person4!$B$6+ROW(B80)-1&lt;=Person4!$C$6, Person4!$B$6+ROW(B80)-1, "")</f>
        <v/>
      </c>
      <c r="E82" s="1" t="str">
        <f>IF(Person4!$B$7+ROW(B80)-1&lt;=Person4!$C$7, Person4!$B$7+ROW(B80)-1, "")</f>
        <v/>
      </c>
      <c r="F82" s="1" t="str">
        <f>IF(Person4!$B$8+ROW(B80)-1&lt;=Person4!$C$8, Person4!$B$8+ROW(B80)-1, "")</f>
        <v/>
      </c>
      <c r="G82" s="1" t="str">
        <f>IF(Person4!$B$9+ROW(B80)-1&lt;=Person4!$C$9, Person4!$B$9+ROW(B80)-1, "")</f>
        <v/>
      </c>
      <c r="H82" s="1" t="str">
        <f>IF(Person4!$B$10+ROW(B80)-1&lt;=Person4!$C$10, Person4!$B$10+ROW(B80)-1, "")</f>
        <v/>
      </c>
      <c r="I82" s="1" t="str">
        <f>IF(Person4!$B$11+ROW(B80)-1&lt;=Person4!$C$11, Person4!$B$11+ROW(B80)-1, "")</f>
        <v/>
      </c>
      <c r="J82" s="1" t="str">
        <f>IF(Person4!$B$12+ROW(B80)-1&lt;=Person4!$C$12, Person4!$B$12+ROW(B80)-1, "")</f>
        <v/>
      </c>
      <c r="K82" s="1" t="str">
        <f>IF(Person4!$B$13+ROW(B80)-1&lt;=Person4!$C$13, Person4!$B$13+ROW(B80)-1, "")</f>
        <v/>
      </c>
      <c r="L82" s="1" t="str">
        <f>IF(Person4!$B$14+ROW(B80)-1&lt;=Person4!$C$14, Person4!$B$14+ROW(B80)-1, "")</f>
        <v/>
      </c>
      <c r="M82" s="1" t="str">
        <f>IF(Person4!$B$15+ROW(B80)-1&lt;=Person4!$C$15, Person4!$B$15+ROW(B80)-1, "")</f>
        <v/>
      </c>
      <c r="N82" s="1" t="str">
        <f>IF(Person4!$B$16+ROW(B80)-1&lt;=Person4!$C$16, Person4!$B$16+ROW(B80)-1, "")</f>
        <v/>
      </c>
      <c r="O82" s="1" t="str">
        <f>IF(Person4!$B$17+ROW(B80)-1&lt;=Person4!$C$17, Person4!$B$17+ROW(B80)-1, "")</f>
        <v/>
      </c>
      <c r="V82" s="1" t="str">
        <f>IF(Person4!$D$3+ROW(A80)-1&lt;=Person4!$E$3, Person4!$D$3+ROW(A80)-1, "")</f>
        <v/>
      </c>
      <c r="W82" s="1" t="str">
        <f>IF(Person4!$D$4+ROW(A80)-1&lt;=Person4!$E$4, Person4!$D$4+ROW(A80)-1, "")</f>
        <v/>
      </c>
      <c r="X82" s="1" t="str">
        <f>IF(Person4!$D$5+ROW(A80)-1&lt;=Person4!$E$5, Person4!$D$5+ROW(A80)-1, "")</f>
        <v/>
      </c>
      <c r="Y82" s="1" t="str">
        <f>IF(Person4!$D$6+ROW(A80)-1&lt;=Person4!$E$6, Person4!$D$6+ROW(A80)-1, "")</f>
        <v/>
      </c>
      <c r="Z82" s="1" t="str">
        <f>IF(Person4!$D$7+ROW(A80)-1&lt;=Person4!$E$7, Person4!$D$7+ROW(A80)-1, "")</f>
        <v/>
      </c>
      <c r="AA82" s="1" t="str">
        <f>IF(Person4!$D$8+ROW(A80)-1&lt;=Person4!$E$8, Person4!$D$8+ROW(A80)-1, "")</f>
        <v/>
      </c>
      <c r="AE82" s="1" t="str">
        <f>IF(Person4!$F$3+ROW(A80)-1&lt;=Person4!$G$3, Person4!$F$3+ROW(A80)-1, "")</f>
        <v/>
      </c>
      <c r="AF82" s="1" t="str">
        <f>IF(Person4!$F$4+ROW(A80)-1&lt;=Person4!$G$4, Person4!$F$4+ROW(A80)-1, "")</f>
        <v/>
      </c>
      <c r="AG82" s="1" t="str">
        <f>IF(Person4!$F$5+ROW(A80)-1&lt;=Person4!$G$5, Person4!$F$5+ROW(A80)-1, "")</f>
        <v/>
      </c>
      <c r="AH82" s="1" t="str">
        <f>IF(Person4!$F$6+ROW(A80)-1&lt;=Person4!$G$6, Person4!$F$6+ROW(A80)-1, "")</f>
        <v/>
      </c>
      <c r="AI82" s="1" t="str">
        <f>IF(Person4!$F$7+ROW(A80)-1&lt;=Person4!$G$7, Person4!$F$7+ROW(A80)-1, "")</f>
        <v/>
      </c>
    </row>
    <row r="83" spans="1:35" x14ac:dyDescent="0.3">
      <c r="A83" s="1" t="str">
        <f>IF(Person4!$B$3+ROW(A81)-1&lt;=Person4!$C$3, Person4!$B$3+ROW(A81)-1, "")</f>
        <v/>
      </c>
      <c r="B83" s="1" t="str">
        <f>IF(Person4!$B$4+ROW(B81)-1&lt;=Person4!$C$4, Person4!$B$4+ROW(B81)-1, "")</f>
        <v/>
      </c>
      <c r="C83" s="1" t="str">
        <f>IF(Person4!$B$5+ROW(B81)-1&lt;=Person4!$C$5, Person4!$B$5+ROW(B81)-1, "")</f>
        <v/>
      </c>
      <c r="D83" s="1" t="str">
        <f>IF(Person4!$B$6+ROW(B81)-1&lt;=Person4!$C$6, Person4!$B$6+ROW(B81)-1, "")</f>
        <v/>
      </c>
      <c r="E83" s="1" t="str">
        <f>IF(Person4!$B$7+ROW(B81)-1&lt;=Person4!$C$7, Person4!$B$7+ROW(B81)-1, "")</f>
        <v/>
      </c>
      <c r="F83" s="1" t="str">
        <f>IF(Person4!$B$8+ROW(B81)-1&lt;=Person4!$C$8, Person4!$B$8+ROW(B81)-1, "")</f>
        <v/>
      </c>
      <c r="G83" s="1" t="str">
        <f>IF(Person4!$B$9+ROW(B81)-1&lt;=Person4!$C$9, Person4!$B$9+ROW(B81)-1, "")</f>
        <v/>
      </c>
      <c r="H83" s="1" t="str">
        <f>IF(Person4!$B$10+ROW(B81)-1&lt;=Person4!$C$10, Person4!$B$10+ROW(B81)-1, "")</f>
        <v/>
      </c>
      <c r="I83" s="1" t="str">
        <f>IF(Person4!$B$11+ROW(B81)-1&lt;=Person4!$C$11, Person4!$B$11+ROW(B81)-1, "")</f>
        <v/>
      </c>
      <c r="J83" s="1" t="str">
        <f>IF(Person4!$B$12+ROW(B81)-1&lt;=Person4!$C$12, Person4!$B$12+ROW(B81)-1, "")</f>
        <v/>
      </c>
      <c r="K83" s="1" t="str">
        <f>IF(Person4!$B$13+ROW(B81)-1&lt;=Person4!$C$13, Person4!$B$13+ROW(B81)-1, "")</f>
        <v/>
      </c>
      <c r="L83" s="1" t="str">
        <f>IF(Person4!$B$14+ROW(B81)-1&lt;=Person4!$C$14, Person4!$B$14+ROW(B81)-1, "")</f>
        <v/>
      </c>
      <c r="M83" s="1" t="str">
        <f>IF(Person4!$B$15+ROW(B81)-1&lt;=Person4!$C$15, Person4!$B$15+ROW(B81)-1, "")</f>
        <v/>
      </c>
      <c r="N83" s="1" t="str">
        <f>IF(Person4!$B$16+ROW(B81)-1&lt;=Person4!$C$16, Person4!$B$16+ROW(B81)-1, "")</f>
        <v/>
      </c>
      <c r="O83" s="1" t="str">
        <f>IF(Person4!$B$17+ROW(B81)-1&lt;=Person4!$C$17, Person4!$B$17+ROW(B81)-1, "")</f>
        <v/>
      </c>
      <c r="V83" s="1" t="str">
        <f>IF(Person4!$D$3+ROW(A81)-1&lt;=Person4!$E$3, Person4!$D$3+ROW(A81)-1, "")</f>
        <v/>
      </c>
      <c r="W83" s="1" t="str">
        <f>IF(Person4!$D$4+ROW(A81)-1&lt;=Person4!$E$4, Person4!$D$4+ROW(A81)-1, "")</f>
        <v/>
      </c>
      <c r="X83" s="1" t="str">
        <f>IF(Person4!$D$5+ROW(A81)-1&lt;=Person4!$E$5, Person4!$D$5+ROW(A81)-1, "")</f>
        <v/>
      </c>
      <c r="Y83" s="1" t="str">
        <f>IF(Person4!$D$6+ROW(A81)-1&lt;=Person4!$E$6, Person4!$D$6+ROW(A81)-1, "")</f>
        <v/>
      </c>
      <c r="Z83" s="1" t="str">
        <f>IF(Person4!$D$7+ROW(A81)-1&lt;=Person4!$E$7, Person4!$D$7+ROW(A81)-1, "")</f>
        <v/>
      </c>
      <c r="AA83" s="1" t="str">
        <f>IF(Person4!$D$8+ROW(A81)-1&lt;=Person4!$E$8, Person4!$D$8+ROW(A81)-1, "")</f>
        <v/>
      </c>
      <c r="AE83" s="1" t="str">
        <f>IF(Person4!$F$3+ROW(A81)-1&lt;=Person4!$G$3, Person4!$F$3+ROW(A81)-1, "")</f>
        <v/>
      </c>
      <c r="AF83" s="1" t="str">
        <f>IF(Person4!$F$4+ROW(A81)-1&lt;=Person4!$G$4, Person4!$F$4+ROW(A81)-1, "")</f>
        <v/>
      </c>
      <c r="AG83" s="1" t="str">
        <f>IF(Person4!$F$5+ROW(A81)-1&lt;=Person4!$G$5, Person4!$F$5+ROW(A81)-1, "")</f>
        <v/>
      </c>
      <c r="AH83" s="1" t="str">
        <f>IF(Person4!$F$6+ROW(A81)-1&lt;=Person4!$G$6, Person4!$F$6+ROW(A81)-1, "")</f>
        <v/>
      </c>
      <c r="AI83" s="1" t="str">
        <f>IF(Person4!$F$7+ROW(A81)-1&lt;=Person4!$G$7, Person4!$F$7+ROW(A81)-1, "")</f>
        <v/>
      </c>
    </row>
    <row r="84" spans="1:35" x14ac:dyDescent="0.3">
      <c r="A84" s="1" t="str">
        <f>IF(Person4!$B$3+ROW(A82)-1&lt;=Person4!$C$3, Person4!$B$3+ROW(A82)-1, "")</f>
        <v/>
      </c>
      <c r="B84" s="1" t="str">
        <f>IF(Person4!$B$4+ROW(B82)-1&lt;=Person4!$C$4, Person4!$B$4+ROW(B82)-1, "")</f>
        <v/>
      </c>
      <c r="C84" s="1" t="str">
        <f>IF(Person4!$B$5+ROW(B82)-1&lt;=Person4!$C$5, Person4!$B$5+ROW(B82)-1, "")</f>
        <v/>
      </c>
      <c r="D84" s="1" t="str">
        <f>IF(Person4!$B$6+ROW(B82)-1&lt;=Person4!$C$6, Person4!$B$6+ROW(B82)-1, "")</f>
        <v/>
      </c>
      <c r="E84" s="1" t="str">
        <f>IF(Person4!$B$7+ROW(B82)-1&lt;=Person4!$C$7, Person4!$B$7+ROW(B82)-1, "")</f>
        <v/>
      </c>
      <c r="F84" s="1" t="str">
        <f>IF(Person4!$B$8+ROW(B82)-1&lt;=Person4!$C$8, Person4!$B$8+ROW(B82)-1, "")</f>
        <v/>
      </c>
      <c r="G84" s="1" t="str">
        <f>IF(Person4!$B$9+ROW(B82)-1&lt;=Person4!$C$9, Person4!$B$9+ROW(B82)-1, "")</f>
        <v/>
      </c>
      <c r="H84" s="1" t="str">
        <f>IF(Person4!$B$10+ROW(B82)-1&lt;=Person4!$C$10, Person4!$B$10+ROW(B82)-1, "")</f>
        <v/>
      </c>
      <c r="I84" s="1" t="str">
        <f>IF(Person4!$B$11+ROW(B82)-1&lt;=Person4!$C$11, Person4!$B$11+ROW(B82)-1, "")</f>
        <v/>
      </c>
      <c r="J84" s="1" t="str">
        <f>IF(Person4!$B$12+ROW(B82)-1&lt;=Person4!$C$12, Person4!$B$12+ROW(B82)-1, "")</f>
        <v/>
      </c>
      <c r="K84" s="1" t="str">
        <f>IF(Person4!$B$13+ROW(B82)-1&lt;=Person4!$C$13, Person4!$B$13+ROW(B82)-1, "")</f>
        <v/>
      </c>
      <c r="L84" s="1" t="str">
        <f>IF(Person4!$B$14+ROW(B82)-1&lt;=Person4!$C$14, Person4!$B$14+ROW(B82)-1, "")</f>
        <v/>
      </c>
      <c r="M84" s="1" t="str">
        <f>IF(Person4!$B$15+ROW(B82)-1&lt;=Person4!$C$15, Person4!$B$15+ROW(B82)-1, "")</f>
        <v/>
      </c>
      <c r="N84" s="1" t="str">
        <f>IF(Person4!$B$16+ROW(B82)-1&lt;=Person4!$C$16, Person4!$B$16+ROW(B82)-1, "")</f>
        <v/>
      </c>
      <c r="O84" s="1" t="str">
        <f>IF(Person4!$B$17+ROW(B82)-1&lt;=Person4!$C$17, Person4!$B$17+ROW(B82)-1, "")</f>
        <v/>
      </c>
      <c r="V84" s="1" t="str">
        <f>IF(Person4!$D$3+ROW(A82)-1&lt;=Person4!$E$3, Person4!$D$3+ROW(A82)-1, "")</f>
        <v/>
      </c>
      <c r="W84" s="1" t="str">
        <f>IF(Person4!$D$4+ROW(A82)-1&lt;=Person4!$E$4, Person4!$D$4+ROW(A82)-1, "")</f>
        <v/>
      </c>
      <c r="X84" s="1" t="str">
        <f>IF(Person4!$D$5+ROW(A82)-1&lt;=Person4!$E$5, Person4!$D$5+ROW(A82)-1, "")</f>
        <v/>
      </c>
      <c r="Y84" s="1" t="str">
        <f>IF(Person4!$D$6+ROW(A82)-1&lt;=Person4!$E$6, Person4!$D$6+ROW(A82)-1, "")</f>
        <v/>
      </c>
      <c r="Z84" s="1" t="str">
        <f>IF(Person4!$D$7+ROW(A82)-1&lt;=Person4!$E$7, Person4!$D$7+ROW(A82)-1, "")</f>
        <v/>
      </c>
      <c r="AA84" s="1" t="str">
        <f>IF(Person4!$D$8+ROW(A82)-1&lt;=Person4!$E$8, Person4!$D$8+ROW(A82)-1, "")</f>
        <v/>
      </c>
      <c r="AE84" s="1" t="str">
        <f>IF(Person4!$F$3+ROW(A82)-1&lt;=Person4!$G$3, Person4!$F$3+ROW(A82)-1, "")</f>
        <v/>
      </c>
      <c r="AF84" s="1" t="str">
        <f>IF(Person4!$F$4+ROW(A82)-1&lt;=Person4!$G$4, Person4!$F$4+ROW(A82)-1, "")</f>
        <v/>
      </c>
      <c r="AG84" s="1" t="str">
        <f>IF(Person4!$F$5+ROW(A82)-1&lt;=Person4!$G$5, Person4!$F$5+ROW(A82)-1, "")</f>
        <v/>
      </c>
      <c r="AH84" s="1" t="str">
        <f>IF(Person4!$F$6+ROW(A82)-1&lt;=Person4!$G$6, Person4!$F$6+ROW(A82)-1, "")</f>
        <v/>
      </c>
      <c r="AI84" s="1" t="str">
        <f>IF(Person4!$F$7+ROW(A82)-1&lt;=Person4!$G$7, Person4!$F$7+ROW(A82)-1, "")</f>
        <v/>
      </c>
    </row>
    <row r="85" spans="1:35" x14ac:dyDescent="0.3">
      <c r="A85" s="1" t="str">
        <f>IF(Person4!$B$3+ROW(A83)-1&lt;=Person4!$C$3, Person4!$B$3+ROW(A83)-1, "")</f>
        <v/>
      </c>
      <c r="B85" s="1" t="str">
        <f>IF(Person4!$B$4+ROW(B83)-1&lt;=Person4!$C$4, Person4!$B$4+ROW(B83)-1, "")</f>
        <v/>
      </c>
      <c r="C85" s="1" t="str">
        <f>IF(Person4!$B$5+ROW(B83)-1&lt;=Person4!$C$5, Person4!$B$5+ROW(B83)-1, "")</f>
        <v/>
      </c>
      <c r="D85" s="1" t="str">
        <f>IF(Person4!$B$6+ROW(B83)-1&lt;=Person4!$C$6, Person4!$B$6+ROW(B83)-1, "")</f>
        <v/>
      </c>
      <c r="E85" s="1" t="str">
        <f>IF(Person4!$B$7+ROW(B83)-1&lt;=Person4!$C$7, Person4!$B$7+ROW(B83)-1, "")</f>
        <v/>
      </c>
      <c r="F85" s="1" t="str">
        <f>IF(Person4!$B$8+ROW(B83)-1&lt;=Person4!$C$8, Person4!$B$8+ROW(B83)-1, "")</f>
        <v/>
      </c>
      <c r="G85" s="1" t="str">
        <f>IF(Person4!$B$9+ROW(B83)-1&lt;=Person4!$C$9, Person4!$B$9+ROW(B83)-1, "")</f>
        <v/>
      </c>
      <c r="H85" s="1" t="str">
        <f>IF(Person4!$B$10+ROW(B83)-1&lt;=Person4!$C$10, Person4!$B$10+ROW(B83)-1, "")</f>
        <v/>
      </c>
      <c r="I85" s="1" t="str">
        <f>IF(Person4!$B$11+ROW(B83)-1&lt;=Person4!$C$11, Person4!$B$11+ROW(B83)-1, "")</f>
        <v/>
      </c>
      <c r="J85" s="1" t="str">
        <f>IF(Person4!$B$12+ROW(B83)-1&lt;=Person4!$C$12, Person4!$B$12+ROW(B83)-1, "")</f>
        <v/>
      </c>
      <c r="K85" s="1" t="str">
        <f>IF(Person4!$B$13+ROW(B83)-1&lt;=Person4!$C$13, Person4!$B$13+ROW(B83)-1, "")</f>
        <v/>
      </c>
      <c r="L85" s="1" t="str">
        <f>IF(Person4!$B$14+ROW(B83)-1&lt;=Person4!$C$14, Person4!$B$14+ROW(B83)-1, "")</f>
        <v/>
      </c>
      <c r="M85" s="1" t="str">
        <f>IF(Person4!$B$15+ROW(B83)-1&lt;=Person4!$C$15, Person4!$B$15+ROW(B83)-1, "")</f>
        <v/>
      </c>
      <c r="N85" s="1" t="str">
        <f>IF(Person4!$B$16+ROW(B83)-1&lt;=Person4!$C$16, Person4!$B$16+ROW(B83)-1, "")</f>
        <v/>
      </c>
      <c r="O85" s="1" t="str">
        <f>IF(Person4!$B$17+ROW(B83)-1&lt;=Person4!$C$17, Person4!$B$17+ROW(B83)-1, "")</f>
        <v/>
      </c>
      <c r="V85" s="1" t="str">
        <f>IF(Person4!$D$3+ROW(A83)-1&lt;=Person4!$E$3, Person4!$D$3+ROW(A83)-1, "")</f>
        <v/>
      </c>
      <c r="W85" s="1" t="str">
        <f>IF(Person4!$D$4+ROW(A83)-1&lt;=Person4!$E$4, Person4!$D$4+ROW(A83)-1, "")</f>
        <v/>
      </c>
      <c r="X85" s="1" t="str">
        <f>IF(Person4!$D$5+ROW(A83)-1&lt;=Person4!$E$5, Person4!$D$5+ROW(A83)-1, "")</f>
        <v/>
      </c>
      <c r="Y85" s="1" t="str">
        <f>IF(Person4!$D$6+ROW(A83)-1&lt;=Person4!$E$6, Person4!$D$6+ROW(A83)-1, "")</f>
        <v/>
      </c>
      <c r="Z85" s="1" t="str">
        <f>IF(Person4!$D$7+ROW(A83)-1&lt;=Person4!$E$7, Person4!$D$7+ROW(A83)-1, "")</f>
        <v/>
      </c>
      <c r="AA85" s="1" t="str">
        <f>IF(Person4!$D$8+ROW(A83)-1&lt;=Person4!$E$8, Person4!$D$8+ROW(A83)-1, "")</f>
        <v/>
      </c>
      <c r="AE85" s="1" t="str">
        <f>IF(Person4!$F$3+ROW(A83)-1&lt;=Person4!$G$3, Person4!$F$3+ROW(A83)-1, "")</f>
        <v/>
      </c>
      <c r="AF85" s="1" t="str">
        <f>IF(Person4!$F$4+ROW(A83)-1&lt;=Person4!$G$4, Person4!$F$4+ROW(A83)-1, "")</f>
        <v/>
      </c>
      <c r="AG85" s="1" t="str">
        <f>IF(Person4!$F$5+ROW(A83)-1&lt;=Person4!$G$5, Person4!$F$5+ROW(A83)-1, "")</f>
        <v/>
      </c>
      <c r="AH85" s="1" t="str">
        <f>IF(Person4!$F$6+ROW(A83)-1&lt;=Person4!$G$6, Person4!$F$6+ROW(A83)-1, "")</f>
        <v/>
      </c>
      <c r="AI85" s="1" t="str">
        <f>IF(Person4!$F$7+ROW(A83)-1&lt;=Person4!$G$7, Person4!$F$7+ROW(A83)-1, "")</f>
        <v/>
      </c>
    </row>
    <row r="86" spans="1:35" x14ac:dyDescent="0.3">
      <c r="A86" s="1" t="str">
        <f>IF(Person4!$B$3+ROW(A84)-1&lt;=Person4!$C$3, Person4!$B$3+ROW(A84)-1, "")</f>
        <v/>
      </c>
      <c r="B86" s="1" t="str">
        <f>IF(Person4!$B$4+ROW(B84)-1&lt;=Person4!$C$4, Person4!$B$4+ROW(B84)-1, "")</f>
        <v/>
      </c>
      <c r="C86" s="1" t="str">
        <f>IF(Person4!$B$5+ROW(B84)-1&lt;=Person4!$C$5, Person4!$B$5+ROW(B84)-1, "")</f>
        <v/>
      </c>
      <c r="D86" s="1" t="str">
        <f>IF(Person4!$B$6+ROW(B84)-1&lt;=Person4!$C$6, Person4!$B$6+ROW(B84)-1, "")</f>
        <v/>
      </c>
      <c r="E86" s="1" t="str">
        <f>IF(Person4!$B$7+ROW(B84)-1&lt;=Person4!$C$7, Person4!$B$7+ROW(B84)-1, "")</f>
        <v/>
      </c>
      <c r="F86" s="1" t="str">
        <f>IF(Person4!$B$8+ROW(B84)-1&lt;=Person4!$C$8, Person4!$B$8+ROW(B84)-1, "")</f>
        <v/>
      </c>
      <c r="G86" s="1" t="str">
        <f>IF(Person4!$B$9+ROW(B84)-1&lt;=Person4!$C$9, Person4!$B$9+ROW(B84)-1, "")</f>
        <v/>
      </c>
      <c r="H86" s="1" t="str">
        <f>IF(Person4!$B$10+ROW(B84)-1&lt;=Person4!$C$10, Person4!$B$10+ROW(B84)-1, "")</f>
        <v/>
      </c>
      <c r="I86" s="1" t="str">
        <f>IF(Person4!$B$11+ROW(B84)-1&lt;=Person4!$C$11, Person4!$B$11+ROW(B84)-1, "")</f>
        <v/>
      </c>
      <c r="J86" s="1" t="str">
        <f>IF(Person4!$B$12+ROW(B84)-1&lt;=Person4!$C$12, Person4!$B$12+ROW(B84)-1, "")</f>
        <v/>
      </c>
      <c r="K86" s="1" t="str">
        <f>IF(Person4!$B$13+ROW(B84)-1&lt;=Person4!$C$13, Person4!$B$13+ROW(B84)-1, "")</f>
        <v/>
      </c>
      <c r="L86" s="1" t="str">
        <f>IF(Person4!$B$14+ROW(B84)-1&lt;=Person4!$C$14, Person4!$B$14+ROW(B84)-1, "")</f>
        <v/>
      </c>
      <c r="M86" s="1" t="str">
        <f>IF(Person4!$B$15+ROW(B84)-1&lt;=Person4!$C$15, Person4!$B$15+ROW(B84)-1, "")</f>
        <v/>
      </c>
      <c r="N86" s="1" t="str">
        <f>IF(Person4!$B$16+ROW(B84)-1&lt;=Person4!$C$16, Person4!$B$16+ROW(B84)-1, "")</f>
        <v/>
      </c>
      <c r="O86" s="1" t="str">
        <f>IF(Person4!$B$17+ROW(B84)-1&lt;=Person4!$C$17, Person4!$B$17+ROW(B84)-1, "")</f>
        <v/>
      </c>
      <c r="V86" s="1" t="str">
        <f>IF(Person4!$D$3+ROW(A84)-1&lt;=Person4!$E$3, Person4!$D$3+ROW(A84)-1, "")</f>
        <v/>
      </c>
      <c r="W86" s="1" t="str">
        <f>IF(Person4!$D$4+ROW(A84)-1&lt;=Person4!$E$4, Person4!$D$4+ROW(A84)-1, "")</f>
        <v/>
      </c>
      <c r="X86" s="1" t="str">
        <f>IF(Person4!$D$5+ROW(A84)-1&lt;=Person4!$E$5, Person4!$D$5+ROW(A84)-1, "")</f>
        <v/>
      </c>
      <c r="Y86" s="1" t="str">
        <f>IF(Person4!$D$6+ROW(A84)-1&lt;=Person4!$E$6, Person4!$D$6+ROW(A84)-1, "")</f>
        <v/>
      </c>
      <c r="Z86" s="1" t="str">
        <f>IF(Person4!$D$7+ROW(A84)-1&lt;=Person4!$E$7, Person4!$D$7+ROW(A84)-1, "")</f>
        <v/>
      </c>
      <c r="AA86" s="1" t="str">
        <f>IF(Person4!$D$8+ROW(A84)-1&lt;=Person4!$E$8, Person4!$D$8+ROW(A84)-1, "")</f>
        <v/>
      </c>
      <c r="AE86" s="1" t="str">
        <f>IF(Person4!$F$3+ROW(A84)-1&lt;=Person4!$G$3, Person4!$F$3+ROW(A84)-1, "")</f>
        <v/>
      </c>
      <c r="AF86" s="1" t="str">
        <f>IF(Person4!$F$4+ROW(A84)-1&lt;=Person4!$G$4, Person4!$F$4+ROW(A84)-1, "")</f>
        <v/>
      </c>
      <c r="AG86" s="1" t="str">
        <f>IF(Person4!$F$5+ROW(A84)-1&lt;=Person4!$G$5, Person4!$F$5+ROW(A84)-1, "")</f>
        <v/>
      </c>
      <c r="AH86" s="1" t="str">
        <f>IF(Person4!$F$6+ROW(A84)-1&lt;=Person4!$G$6, Person4!$F$6+ROW(A84)-1, "")</f>
        <v/>
      </c>
      <c r="AI86" s="1" t="str">
        <f>IF(Person4!$F$7+ROW(A84)-1&lt;=Person4!$G$7, Person4!$F$7+ROW(A84)-1, "")</f>
        <v/>
      </c>
    </row>
    <row r="87" spans="1:35" x14ac:dyDescent="0.3">
      <c r="A87" s="1" t="str">
        <f>IF(Person4!$B$3+ROW(A85)-1&lt;=Person4!$C$3, Person4!$B$3+ROW(A85)-1, "")</f>
        <v/>
      </c>
      <c r="B87" s="1" t="str">
        <f>IF(Person4!$B$4+ROW(B85)-1&lt;=Person4!$C$4, Person4!$B$4+ROW(B85)-1, "")</f>
        <v/>
      </c>
      <c r="C87" s="1" t="str">
        <f>IF(Person4!$B$5+ROW(B85)-1&lt;=Person4!$C$5, Person4!$B$5+ROW(B85)-1, "")</f>
        <v/>
      </c>
      <c r="D87" s="1" t="str">
        <f>IF(Person4!$B$6+ROW(B85)-1&lt;=Person4!$C$6, Person4!$B$6+ROW(B85)-1, "")</f>
        <v/>
      </c>
      <c r="E87" s="1" t="str">
        <f>IF(Person4!$B$7+ROW(B85)-1&lt;=Person4!$C$7, Person4!$B$7+ROW(B85)-1, "")</f>
        <v/>
      </c>
      <c r="F87" s="1" t="str">
        <f>IF(Person4!$B$8+ROW(B85)-1&lt;=Person4!$C$8, Person4!$B$8+ROW(B85)-1, "")</f>
        <v/>
      </c>
      <c r="G87" s="1" t="str">
        <f>IF(Person4!$B$9+ROW(B85)-1&lt;=Person4!$C$9, Person4!$B$9+ROW(B85)-1, "")</f>
        <v/>
      </c>
      <c r="H87" s="1" t="str">
        <f>IF(Person4!$B$10+ROW(B85)-1&lt;=Person4!$C$10, Person4!$B$10+ROW(B85)-1, "")</f>
        <v/>
      </c>
      <c r="I87" s="1" t="str">
        <f>IF(Person4!$B$11+ROW(B85)-1&lt;=Person4!$C$11, Person4!$B$11+ROW(B85)-1, "")</f>
        <v/>
      </c>
      <c r="J87" s="1" t="str">
        <f>IF(Person4!$B$12+ROW(B85)-1&lt;=Person4!$C$12, Person4!$B$12+ROW(B85)-1, "")</f>
        <v/>
      </c>
      <c r="K87" s="1" t="str">
        <f>IF(Person4!$B$13+ROW(B85)-1&lt;=Person4!$C$13, Person4!$B$13+ROW(B85)-1, "")</f>
        <v/>
      </c>
      <c r="L87" s="1" t="str">
        <f>IF(Person4!$B$14+ROW(B85)-1&lt;=Person4!$C$14, Person4!$B$14+ROW(B85)-1, "")</f>
        <v/>
      </c>
      <c r="M87" s="1" t="str">
        <f>IF(Person4!$B$15+ROW(B85)-1&lt;=Person4!$C$15, Person4!$B$15+ROW(B85)-1, "")</f>
        <v/>
      </c>
      <c r="N87" s="1" t="str">
        <f>IF(Person4!$B$16+ROW(B85)-1&lt;=Person4!$C$16, Person4!$B$16+ROW(B85)-1, "")</f>
        <v/>
      </c>
      <c r="O87" s="1" t="str">
        <f>IF(Person4!$B$17+ROW(B85)-1&lt;=Person4!$C$17, Person4!$B$17+ROW(B85)-1, "")</f>
        <v/>
      </c>
      <c r="V87" s="1" t="str">
        <f>IF(Person4!$D$3+ROW(A85)-1&lt;=Person4!$E$3, Person4!$D$3+ROW(A85)-1, "")</f>
        <v/>
      </c>
      <c r="W87" s="1" t="str">
        <f>IF(Person4!$D$4+ROW(A85)-1&lt;=Person4!$E$4, Person4!$D$4+ROW(A85)-1, "")</f>
        <v/>
      </c>
      <c r="X87" s="1" t="str">
        <f>IF(Person4!$D$5+ROW(A85)-1&lt;=Person4!$E$5, Person4!$D$5+ROW(A85)-1, "")</f>
        <v/>
      </c>
      <c r="Y87" s="1" t="str">
        <f>IF(Person4!$D$6+ROW(A85)-1&lt;=Person4!$E$6, Person4!$D$6+ROW(A85)-1, "")</f>
        <v/>
      </c>
      <c r="Z87" s="1" t="str">
        <f>IF(Person4!$D$7+ROW(A85)-1&lt;=Person4!$E$7, Person4!$D$7+ROW(A85)-1, "")</f>
        <v/>
      </c>
      <c r="AA87" s="1" t="str">
        <f>IF(Person4!$D$8+ROW(A85)-1&lt;=Person4!$E$8, Person4!$D$8+ROW(A85)-1, "")</f>
        <v/>
      </c>
      <c r="AE87" s="1" t="str">
        <f>IF(Person4!$F$3+ROW(A85)-1&lt;=Person4!$G$3, Person4!$F$3+ROW(A85)-1, "")</f>
        <v/>
      </c>
      <c r="AF87" s="1" t="str">
        <f>IF(Person4!$F$4+ROW(A85)-1&lt;=Person4!$G$4, Person4!$F$4+ROW(A85)-1, "")</f>
        <v/>
      </c>
      <c r="AG87" s="1" t="str">
        <f>IF(Person4!$F$5+ROW(A85)-1&lt;=Person4!$G$5, Person4!$F$5+ROW(A85)-1, "")</f>
        <v/>
      </c>
      <c r="AH87" s="1" t="str">
        <f>IF(Person4!$F$6+ROW(A85)-1&lt;=Person4!$G$6, Person4!$F$6+ROW(A85)-1, "")</f>
        <v/>
      </c>
      <c r="AI87" s="1" t="str">
        <f>IF(Person4!$F$7+ROW(A85)-1&lt;=Person4!$G$7, Person4!$F$7+ROW(A85)-1, "")</f>
        <v/>
      </c>
    </row>
    <row r="88" spans="1:35" x14ac:dyDescent="0.3">
      <c r="A88" s="1" t="str">
        <f>IF(Person4!$B$3+ROW(A86)-1&lt;=Person4!$C$3, Person4!$B$3+ROW(A86)-1, "")</f>
        <v/>
      </c>
      <c r="B88" s="1" t="str">
        <f>IF(Person4!$B$4+ROW(B86)-1&lt;=Person4!$C$4, Person4!$B$4+ROW(B86)-1, "")</f>
        <v/>
      </c>
      <c r="C88" s="1" t="str">
        <f>IF(Person4!$B$5+ROW(B86)-1&lt;=Person4!$C$5, Person4!$B$5+ROW(B86)-1, "")</f>
        <v/>
      </c>
      <c r="D88" s="1" t="str">
        <f>IF(Person4!$B$6+ROW(B86)-1&lt;=Person4!$C$6, Person4!$B$6+ROW(B86)-1, "")</f>
        <v/>
      </c>
      <c r="E88" s="1" t="str">
        <f>IF(Person4!$B$7+ROW(B86)-1&lt;=Person4!$C$7, Person4!$B$7+ROW(B86)-1, "")</f>
        <v/>
      </c>
      <c r="F88" s="1" t="str">
        <f>IF(Person4!$B$8+ROW(B86)-1&lt;=Person4!$C$8, Person4!$B$8+ROW(B86)-1, "")</f>
        <v/>
      </c>
      <c r="G88" s="1" t="str">
        <f>IF(Person4!$B$9+ROW(B86)-1&lt;=Person4!$C$9, Person4!$B$9+ROW(B86)-1, "")</f>
        <v/>
      </c>
      <c r="H88" s="1" t="str">
        <f>IF(Person4!$B$10+ROW(B86)-1&lt;=Person4!$C$10, Person4!$B$10+ROW(B86)-1, "")</f>
        <v/>
      </c>
      <c r="I88" s="1" t="str">
        <f>IF(Person4!$B$11+ROW(B86)-1&lt;=Person4!$C$11, Person4!$B$11+ROW(B86)-1, "")</f>
        <v/>
      </c>
      <c r="J88" s="1" t="str">
        <f>IF(Person4!$B$12+ROW(B86)-1&lt;=Person4!$C$12, Person4!$B$12+ROW(B86)-1, "")</f>
        <v/>
      </c>
      <c r="K88" s="1" t="str">
        <f>IF(Person4!$B$13+ROW(B86)-1&lt;=Person4!$C$13, Person4!$B$13+ROW(B86)-1, "")</f>
        <v/>
      </c>
      <c r="L88" s="1" t="str">
        <f>IF(Person4!$B$14+ROW(B86)-1&lt;=Person4!$C$14, Person4!$B$14+ROW(B86)-1, "")</f>
        <v/>
      </c>
      <c r="M88" s="1" t="str">
        <f>IF(Person4!$B$15+ROW(B86)-1&lt;=Person4!$C$15, Person4!$B$15+ROW(B86)-1, "")</f>
        <v/>
      </c>
      <c r="N88" s="1" t="str">
        <f>IF(Person4!$B$16+ROW(B86)-1&lt;=Person4!$C$16, Person4!$B$16+ROW(B86)-1, "")</f>
        <v/>
      </c>
      <c r="O88" s="1" t="str">
        <f>IF(Person4!$B$17+ROW(B86)-1&lt;=Person4!$C$17, Person4!$B$17+ROW(B86)-1, "")</f>
        <v/>
      </c>
      <c r="V88" s="1" t="str">
        <f>IF(Person4!$D$3+ROW(A86)-1&lt;=Person4!$E$3, Person4!$D$3+ROW(A86)-1, "")</f>
        <v/>
      </c>
      <c r="W88" s="1" t="str">
        <f>IF(Person4!$D$4+ROW(A86)-1&lt;=Person4!$E$4, Person4!$D$4+ROW(A86)-1, "")</f>
        <v/>
      </c>
      <c r="X88" s="1" t="str">
        <f>IF(Person4!$D$5+ROW(A86)-1&lt;=Person4!$E$5, Person4!$D$5+ROW(A86)-1, "")</f>
        <v/>
      </c>
      <c r="Y88" s="1" t="str">
        <f>IF(Person4!$D$6+ROW(A86)-1&lt;=Person4!$E$6, Person4!$D$6+ROW(A86)-1, "")</f>
        <v/>
      </c>
      <c r="Z88" s="1" t="str">
        <f>IF(Person4!$D$7+ROW(A86)-1&lt;=Person4!$E$7, Person4!$D$7+ROW(A86)-1, "")</f>
        <v/>
      </c>
      <c r="AA88" s="1" t="str">
        <f>IF(Person4!$D$8+ROW(A86)-1&lt;=Person4!$E$8, Person4!$D$8+ROW(A86)-1, "")</f>
        <v/>
      </c>
      <c r="AE88" s="1" t="str">
        <f>IF(Person4!$F$3+ROW(A86)-1&lt;=Person4!$G$3, Person4!$F$3+ROW(A86)-1, "")</f>
        <v/>
      </c>
      <c r="AF88" s="1" t="str">
        <f>IF(Person4!$F$4+ROW(A86)-1&lt;=Person4!$G$4, Person4!$F$4+ROW(A86)-1, "")</f>
        <v/>
      </c>
      <c r="AG88" s="1" t="str">
        <f>IF(Person4!$F$5+ROW(A86)-1&lt;=Person4!$G$5, Person4!$F$5+ROW(A86)-1, "")</f>
        <v/>
      </c>
      <c r="AH88" s="1" t="str">
        <f>IF(Person4!$F$6+ROW(A86)-1&lt;=Person4!$G$6, Person4!$F$6+ROW(A86)-1, "")</f>
        <v/>
      </c>
      <c r="AI88" s="1" t="str">
        <f>IF(Person4!$F$7+ROW(A86)-1&lt;=Person4!$G$7, Person4!$F$7+ROW(A86)-1, "")</f>
        <v/>
      </c>
    </row>
    <row r="89" spans="1:35" x14ac:dyDescent="0.3">
      <c r="A89" s="1" t="str">
        <f>IF(Person4!$B$3+ROW(A87)-1&lt;=Person4!$C$3, Person4!$B$3+ROW(A87)-1, "")</f>
        <v/>
      </c>
      <c r="B89" s="1" t="str">
        <f>IF(Person4!$B$4+ROW(B87)-1&lt;=Person4!$C$4, Person4!$B$4+ROW(B87)-1, "")</f>
        <v/>
      </c>
      <c r="C89" s="1" t="str">
        <f>IF(Person4!$B$5+ROW(B87)-1&lt;=Person4!$C$5, Person4!$B$5+ROW(B87)-1, "")</f>
        <v/>
      </c>
      <c r="D89" s="1" t="str">
        <f>IF(Person4!$B$6+ROW(B87)-1&lt;=Person4!$C$6, Person4!$B$6+ROW(B87)-1, "")</f>
        <v/>
      </c>
      <c r="E89" s="1" t="str">
        <f>IF(Person4!$B$7+ROW(B87)-1&lt;=Person4!$C$7, Person4!$B$7+ROW(B87)-1, "")</f>
        <v/>
      </c>
      <c r="F89" s="1" t="str">
        <f>IF(Person4!$B$8+ROW(B87)-1&lt;=Person4!$C$8, Person4!$B$8+ROW(B87)-1, "")</f>
        <v/>
      </c>
      <c r="G89" s="1" t="str">
        <f>IF(Person4!$B$9+ROW(B87)-1&lt;=Person4!$C$9, Person4!$B$9+ROW(B87)-1, "")</f>
        <v/>
      </c>
      <c r="H89" s="1" t="str">
        <f>IF(Person4!$B$10+ROW(B87)-1&lt;=Person4!$C$10, Person4!$B$10+ROW(B87)-1, "")</f>
        <v/>
      </c>
      <c r="I89" s="1" t="str">
        <f>IF(Person4!$B$11+ROW(B87)-1&lt;=Person4!$C$11, Person4!$B$11+ROW(B87)-1, "")</f>
        <v/>
      </c>
      <c r="J89" s="1" t="str">
        <f>IF(Person4!$B$12+ROW(B87)-1&lt;=Person4!$C$12, Person4!$B$12+ROW(B87)-1, "")</f>
        <v/>
      </c>
      <c r="K89" s="1" t="str">
        <f>IF(Person4!$B$13+ROW(B87)-1&lt;=Person4!$C$13, Person4!$B$13+ROW(B87)-1, "")</f>
        <v/>
      </c>
      <c r="L89" s="1" t="str">
        <f>IF(Person4!$B$14+ROW(B87)-1&lt;=Person4!$C$14, Person4!$B$14+ROW(B87)-1, "")</f>
        <v/>
      </c>
      <c r="M89" s="1" t="str">
        <f>IF(Person4!$B$15+ROW(B87)-1&lt;=Person4!$C$15, Person4!$B$15+ROW(B87)-1, "")</f>
        <v/>
      </c>
      <c r="N89" s="1" t="str">
        <f>IF(Person4!$B$16+ROW(B87)-1&lt;=Person4!$C$16, Person4!$B$16+ROW(B87)-1, "")</f>
        <v/>
      </c>
      <c r="O89" s="1" t="str">
        <f>IF(Person4!$B$17+ROW(B87)-1&lt;=Person4!$C$17, Person4!$B$17+ROW(B87)-1, "")</f>
        <v/>
      </c>
      <c r="V89" s="1" t="str">
        <f>IF(Person4!$D$3+ROW(A87)-1&lt;=Person4!$E$3, Person4!$D$3+ROW(A87)-1, "")</f>
        <v/>
      </c>
      <c r="W89" s="1" t="str">
        <f>IF(Person4!$D$4+ROW(A87)-1&lt;=Person4!$E$4, Person4!$D$4+ROW(A87)-1, "")</f>
        <v/>
      </c>
      <c r="X89" s="1" t="str">
        <f>IF(Person4!$D$5+ROW(A87)-1&lt;=Person4!$E$5, Person4!$D$5+ROW(A87)-1, "")</f>
        <v/>
      </c>
      <c r="Y89" s="1" t="str">
        <f>IF(Person4!$D$6+ROW(A87)-1&lt;=Person4!$E$6, Person4!$D$6+ROW(A87)-1, "")</f>
        <v/>
      </c>
      <c r="Z89" s="1" t="str">
        <f>IF(Person4!$D$7+ROW(A87)-1&lt;=Person4!$E$7, Person4!$D$7+ROW(A87)-1, "")</f>
        <v/>
      </c>
      <c r="AA89" s="1" t="str">
        <f>IF(Person4!$D$8+ROW(A87)-1&lt;=Person4!$E$8, Person4!$D$8+ROW(A87)-1, "")</f>
        <v/>
      </c>
      <c r="AE89" s="1" t="str">
        <f>IF(Person4!$F$3+ROW(A87)-1&lt;=Person4!$G$3, Person4!$F$3+ROW(A87)-1, "")</f>
        <v/>
      </c>
      <c r="AF89" s="1" t="str">
        <f>IF(Person4!$F$4+ROW(A87)-1&lt;=Person4!$G$4, Person4!$F$4+ROW(A87)-1, "")</f>
        <v/>
      </c>
      <c r="AG89" s="1" t="str">
        <f>IF(Person4!$F$5+ROW(A87)-1&lt;=Person4!$G$5, Person4!$F$5+ROW(A87)-1, "")</f>
        <v/>
      </c>
      <c r="AH89" s="1" t="str">
        <f>IF(Person4!$F$6+ROW(A87)-1&lt;=Person4!$G$6, Person4!$F$6+ROW(A87)-1, "")</f>
        <v/>
      </c>
      <c r="AI89" s="1" t="str">
        <f>IF(Person4!$F$7+ROW(A87)-1&lt;=Person4!$G$7, Person4!$F$7+ROW(A87)-1, "")</f>
        <v/>
      </c>
    </row>
    <row r="90" spans="1:35" x14ac:dyDescent="0.3">
      <c r="A90" s="1" t="str">
        <f>IF(Person4!$B$3+ROW(A88)-1&lt;=Person4!$C$3, Person4!$B$3+ROW(A88)-1, "")</f>
        <v/>
      </c>
      <c r="B90" s="1" t="str">
        <f>IF(Person4!$B$4+ROW(B88)-1&lt;=Person4!$C$4, Person4!$B$4+ROW(B88)-1, "")</f>
        <v/>
      </c>
      <c r="C90" s="1" t="str">
        <f>IF(Person4!$B$5+ROW(B88)-1&lt;=Person4!$C$5, Person4!$B$5+ROW(B88)-1, "")</f>
        <v/>
      </c>
      <c r="D90" s="1" t="str">
        <f>IF(Person4!$B$6+ROW(B88)-1&lt;=Person4!$C$6, Person4!$B$6+ROW(B88)-1, "")</f>
        <v/>
      </c>
      <c r="E90" s="1" t="str">
        <f>IF(Person4!$B$7+ROW(B88)-1&lt;=Person4!$C$7, Person4!$B$7+ROW(B88)-1, "")</f>
        <v/>
      </c>
      <c r="F90" s="1" t="str">
        <f>IF(Person4!$B$8+ROW(B88)-1&lt;=Person4!$C$8, Person4!$B$8+ROW(B88)-1, "")</f>
        <v/>
      </c>
      <c r="G90" s="1" t="str">
        <f>IF(Person4!$B$9+ROW(B88)-1&lt;=Person4!$C$9, Person4!$B$9+ROW(B88)-1, "")</f>
        <v/>
      </c>
      <c r="H90" s="1" t="str">
        <f>IF(Person4!$B$10+ROW(B88)-1&lt;=Person4!$C$10, Person4!$B$10+ROW(B88)-1, "")</f>
        <v/>
      </c>
      <c r="I90" s="1" t="str">
        <f>IF(Person4!$B$11+ROW(B88)-1&lt;=Person4!$C$11, Person4!$B$11+ROW(B88)-1, "")</f>
        <v/>
      </c>
      <c r="J90" s="1" t="str">
        <f>IF(Person4!$B$12+ROW(B88)-1&lt;=Person4!$C$12, Person4!$B$12+ROW(B88)-1, "")</f>
        <v/>
      </c>
      <c r="K90" s="1" t="str">
        <f>IF(Person4!$B$13+ROW(B88)-1&lt;=Person4!$C$13, Person4!$B$13+ROW(B88)-1, "")</f>
        <v/>
      </c>
      <c r="L90" s="1" t="str">
        <f>IF(Person4!$B$14+ROW(B88)-1&lt;=Person4!$C$14, Person4!$B$14+ROW(B88)-1, "")</f>
        <v/>
      </c>
      <c r="M90" s="1" t="str">
        <f>IF(Person4!$B$15+ROW(B88)-1&lt;=Person4!$C$15, Person4!$B$15+ROW(B88)-1, "")</f>
        <v/>
      </c>
      <c r="N90" s="1" t="str">
        <f>IF(Person4!$B$16+ROW(B88)-1&lt;=Person4!$C$16, Person4!$B$16+ROW(B88)-1, "")</f>
        <v/>
      </c>
      <c r="O90" s="1" t="str">
        <f>IF(Person4!$B$17+ROW(B88)-1&lt;=Person4!$C$17, Person4!$B$17+ROW(B88)-1, "")</f>
        <v/>
      </c>
      <c r="V90" s="1" t="str">
        <f>IF(Person4!$D$3+ROW(A88)-1&lt;=Person4!$E$3, Person4!$D$3+ROW(A88)-1, "")</f>
        <v/>
      </c>
      <c r="W90" s="1" t="str">
        <f>IF(Person4!$D$4+ROW(A88)-1&lt;=Person4!$E$4, Person4!$D$4+ROW(A88)-1, "")</f>
        <v/>
      </c>
      <c r="X90" s="1" t="str">
        <f>IF(Person4!$D$5+ROW(A88)-1&lt;=Person4!$E$5, Person4!$D$5+ROW(A88)-1, "")</f>
        <v/>
      </c>
      <c r="Y90" s="1" t="str">
        <f>IF(Person4!$D$6+ROW(A88)-1&lt;=Person4!$E$6, Person4!$D$6+ROW(A88)-1, "")</f>
        <v/>
      </c>
      <c r="Z90" s="1" t="str">
        <f>IF(Person4!$D$7+ROW(A88)-1&lt;=Person4!$E$7, Person4!$D$7+ROW(A88)-1, "")</f>
        <v/>
      </c>
      <c r="AA90" s="1" t="str">
        <f>IF(Person4!$D$8+ROW(A88)-1&lt;=Person4!$E$8, Person4!$D$8+ROW(A88)-1, "")</f>
        <v/>
      </c>
      <c r="AE90" s="1" t="str">
        <f>IF(Person4!$F$3+ROW(A88)-1&lt;=Person4!$G$3, Person4!$F$3+ROW(A88)-1, "")</f>
        <v/>
      </c>
      <c r="AF90" s="1" t="str">
        <f>IF(Person4!$F$4+ROW(A88)-1&lt;=Person4!$G$4, Person4!$F$4+ROW(A88)-1, "")</f>
        <v/>
      </c>
      <c r="AG90" s="1" t="str">
        <f>IF(Person4!$F$5+ROW(A88)-1&lt;=Person4!$G$5, Person4!$F$5+ROW(A88)-1, "")</f>
        <v/>
      </c>
      <c r="AH90" s="1" t="str">
        <f>IF(Person4!$F$6+ROW(A88)-1&lt;=Person4!$G$6, Person4!$F$6+ROW(A88)-1, "")</f>
        <v/>
      </c>
      <c r="AI90" s="1" t="str">
        <f>IF(Person4!$F$7+ROW(A88)-1&lt;=Person4!$G$7, Person4!$F$7+ROW(A88)-1, "")</f>
        <v/>
      </c>
    </row>
    <row r="91" spans="1:35" x14ac:dyDescent="0.3">
      <c r="A91" s="1" t="str">
        <f>IF(Person4!$B$3+ROW(A89)-1&lt;=Person4!$C$3, Person4!$B$3+ROW(A89)-1, "")</f>
        <v/>
      </c>
      <c r="B91" s="1" t="str">
        <f>IF(Person4!$B$4+ROW(B89)-1&lt;=Person4!$C$4, Person4!$B$4+ROW(B89)-1, "")</f>
        <v/>
      </c>
      <c r="C91" s="1" t="str">
        <f>IF(Person4!$B$5+ROW(B89)-1&lt;=Person4!$C$5, Person4!$B$5+ROW(B89)-1, "")</f>
        <v/>
      </c>
      <c r="D91" s="1" t="str">
        <f>IF(Person4!$B$6+ROW(B89)-1&lt;=Person4!$C$6, Person4!$B$6+ROW(B89)-1, "")</f>
        <v/>
      </c>
      <c r="E91" s="1" t="str">
        <f>IF(Person4!$B$7+ROW(B89)-1&lt;=Person4!$C$7, Person4!$B$7+ROW(B89)-1, "")</f>
        <v/>
      </c>
      <c r="F91" s="1" t="str">
        <f>IF(Person4!$B$8+ROW(B89)-1&lt;=Person4!$C$8, Person4!$B$8+ROW(B89)-1, "")</f>
        <v/>
      </c>
      <c r="G91" s="1" t="str">
        <f>IF(Person4!$B$9+ROW(B89)-1&lt;=Person4!$C$9, Person4!$B$9+ROW(B89)-1, "")</f>
        <v/>
      </c>
      <c r="H91" s="1" t="str">
        <f>IF(Person4!$B$10+ROW(B89)-1&lt;=Person4!$C$10, Person4!$B$10+ROW(B89)-1, "")</f>
        <v/>
      </c>
      <c r="I91" s="1" t="str">
        <f>IF(Person4!$B$11+ROW(B89)-1&lt;=Person4!$C$11, Person4!$B$11+ROW(B89)-1, "")</f>
        <v/>
      </c>
      <c r="J91" s="1" t="str">
        <f>IF(Person4!$B$12+ROW(B89)-1&lt;=Person4!$C$12, Person4!$B$12+ROW(B89)-1, "")</f>
        <v/>
      </c>
      <c r="K91" s="1" t="str">
        <f>IF(Person4!$B$13+ROW(B89)-1&lt;=Person4!$C$13, Person4!$B$13+ROW(B89)-1, "")</f>
        <v/>
      </c>
      <c r="L91" s="1" t="str">
        <f>IF(Person4!$B$14+ROW(B89)-1&lt;=Person4!$C$14, Person4!$B$14+ROW(B89)-1, "")</f>
        <v/>
      </c>
      <c r="M91" s="1" t="str">
        <f>IF(Person4!$B$15+ROW(B89)-1&lt;=Person4!$C$15, Person4!$B$15+ROW(B89)-1, "")</f>
        <v/>
      </c>
      <c r="N91" s="1" t="str">
        <f>IF(Person4!$B$16+ROW(B89)-1&lt;=Person4!$C$16, Person4!$B$16+ROW(B89)-1, "")</f>
        <v/>
      </c>
      <c r="O91" s="1" t="str">
        <f>IF(Person4!$B$17+ROW(B89)-1&lt;=Person4!$C$17, Person4!$B$17+ROW(B89)-1, "")</f>
        <v/>
      </c>
      <c r="V91" s="1" t="str">
        <f>IF(Person4!$D$3+ROW(A89)-1&lt;=Person4!$E$3, Person4!$D$3+ROW(A89)-1, "")</f>
        <v/>
      </c>
      <c r="W91" s="1" t="str">
        <f>IF(Person4!$D$4+ROW(A89)-1&lt;=Person4!$E$4, Person4!$D$4+ROW(A89)-1, "")</f>
        <v/>
      </c>
      <c r="X91" s="1" t="str">
        <f>IF(Person4!$D$5+ROW(A89)-1&lt;=Person4!$E$5, Person4!$D$5+ROW(A89)-1, "")</f>
        <v/>
      </c>
      <c r="Y91" s="1" t="str">
        <f>IF(Person4!$D$6+ROW(A89)-1&lt;=Person4!$E$6, Person4!$D$6+ROW(A89)-1, "")</f>
        <v/>
      </c>
      <c r="Z91" s="1" t="str">
        <f>IF(Person4!$D$7+ROW(A89)-1&lt;=Person4!$E$7, Person4!$D$7+ROW(A89)-1, "")</f>
        <v/>
      </c>
      <c r="AA91" s="1" t="str">
        <f>IF(Person4!$D$8+ROW(A89)-1&lt;=Person4!$E$8, Person4!$D$8+ROW(A89)-1, "")</f>
        <v/>
      </c>
      <c r="AE91" s="1" t="str">
        <f>IF(Person4!$F$3+ROW(A89)-1&lt;=Person4!$G$3, Person4!$F$3+ROW(A89)-1, "")</f>
        <v/>
      </c>
      <c r="AF91" s="1" t="str">
        <f>IF(Person4!$F$4+ROW(A89)-1&lt;=Person4!$G$4, Person4!$F$4+ROW(A89)-1, "")</f>
        <v/>
      </c>
      <c r="AG91" s="1" t="str">
        <f>IF(Person4!$F$5+ROW(A89)-1&lt;=Person4!$G$5, Person4!$F$5+ROW(A89)-1, "")</f>
        <v/>
      </c>
      <c r="AH91" s="1" t="str">
        <f>IF(Person4!$F$6+ROW(A89)-1&lt;=Person4!$G$6, Person4!$F$6+ROW(A89)-1, "")</f>
        <v/>
      </c>
      <c r="AI91" s="1" t="str">
        <f>IF(Person4!$F$7+ROW(A89)-1&lt;=Person4!$G$7, Person4!$F$7+ROW(A89)-1, "")</f>
        <v/>
      </c>
    </row>
    <row r="92" spans="1:35" x14ac:dyDescent="0.3">
      <c r="A92" s="1" t="str">
        <f>IF(Person4!$B$3+ROW(A90)-1&lt;=Person4!$C$3, Person4!$B$3+ROW(A90)-1, "")</f>
        <v/>
      </c>
      <c r="B92" s="1" t="str">
        <f>IF(Person4!$B$4+ROW(B90)-1&lt;=Person4!$C$4, Person4!$B$4+ROW(B90)-1, "")</f>
        <v/>
      </c>
      <c r="C92" s="1" t="str">
        <f>IF(Person4!$B$5+ROW(B90)-1&lt;=Person4!$C$5, Person4!$B$5+ROW(B90)-1, "")</f>
        <v/>
      </c>
      <c r="D92" s="1" t="str">
        <f>IF(Person4!$B$6+ROW(B90)-1&lt;=Person4!$C$6, Person4!$B$6+ROW(B90)-1, "")</f>
        <v/>
      </c>
      <c r="E92" s="1" t="str">
        <f>IF(Person4!$B$7+ROW(B90)-1&lt;=Person4!$C$7, Person4!$B$7+ROW(B90)-1, "")</f>
        <v/>
      </c>
      <c r="F92" s="1" t="str">
        <f>IF(Person4!$B$8+ROW(B90)-1&lt;=Person4!$C$8, Person4!$B$8+ROW(B90)-1, "")</f>
        <v/>
      </c>
      <c r="G92" s="1" t="str">
        <f>IF(Person4!$B$9+ROW(B90)-1&lt;=Person4!$C$9, Person4!$B$9+ROW(B90)-1, "")</f>
        <v/>
      </c>
      <c r="H92" s="1" t="str">
        <f>IF(Person4!$B$10+ROW(B90)-1&lt;=Person4!$C$10, Person4!$B$10+ROW(B90)-1, "")</f>
        <v/>
      </c>
      <c r="I92" s="1" t="str">
        <f>IF(Person4!$B$11+ROW(B90)-1&lt;=Person4!$C$11, Person4!$B$11+ROW(B90)-1, "")</f>
        <v/>
      </c>
      <c r="J92" s="1" t="str">
        <f>IF(Person4!$B$12+ROW(B90)-1&lt;=Person4!$C$12, Person4!$B$12+ROW(B90)-1, "")</f>
        <v/>
      </c>
      <c r="K92" s="1" t="str">
        <f>IF(Person4!$B$13+ROW(B90)-1&lt;=Person4!$C$13, Person4!$B$13+ROW(B90)-1, "")</f>
        <v/>
      </c>
      <c r="L92" s="1" t="str">
        <f>IF(Person4!$B$14+ROW(B90)-1&lt;=Person4!$C$14, Person4!$B$14+ROW(B90)-1, "")</f>
        <v/>
      </c>
      <c r="M92" s="1" t="str">
        <f>IF(Person4!$B$15+ROW(B90)-1&lt;=Person4!$C$15, Person4!$B$15+ROW(B90)-1, "")</f>
        <v/>
      </c>
      <c r="N92" s="1" t="str">
        <f>IF(Person4!$B$16+ROW(B90)-1&lt;=Person4!$C$16, Person4!$B$16+ROW(B90)-1, "")</f>
        <v/>
      </c>
      <c r="O92" s="1" t="str">
        <f>IF(Person4!$B$17+ROW(B90)-1&lt;=Person4!$C$17, Person4!$B$17+ROW(B90)-1, "")</f>
        <v/>
      </c>
      <c r="V92" s="1" t="str">
        <f>IF(Person4!$D$3+ROW(A90)-1&lt;=Person4!$E$3, Person4!$D$3+ROW(A90)-1, "")</f>
        <v/>
      </c>
      <c r="W92" s="1" t="str">
        <f>IF(Person4!$D$4+ROW(A90)-1&lt;=Person4!$E$4, Person4!$D$4+ROW(A90)-1, "")</f>
        <v/>
      </c>
      <c r="X92" s="1" t="str">
        <f>IF(Person4!$D$5+ROW(A90)-1&lt;=Person4!$E$5, Person4!$D$5+ROW(A90)-1, "")</f>
        <v/>
      </c>
      <c r="Y92" s="1" t="str">
        <f>IF(Person4!$D$6+ROW(A90)-1&lt;=Person4!$E$6, Person4!$D$6+ROW(A90)-1, "")</f>
        <v/>
      </c>
      <c r="Z92" s="1" t="str">
        <f>IF(Person4!$D$7+ROW(A90)-1&lt;=Person4!$E$7, Person4!$D$7+ROW(A90)-1, "")</f>
        <v/>
      </c>
      <c r="AA92" s="1" t="str">
        <f>IF(Person4!$D$8+ROW(A90)-1&lt;=Person4!$E$8, Person4!$D$8+ROW(A90)-1, "")</f>
        <v/>
      </c>
      <c r="AE92" s="1" t="str">
        <f>IF(Person4!$F$3+ROW(A90)-1&lt;=Person4!$G$3, Person4!$F$3+ROW(A90)-1, "")</f>
        <v/>
      </c>
      <c r="AF92" s="1" t="str">
        <f>IF(Person4!$F$4+ROW(A90)-1&lt;=Person4!$G$4, Person4!$F$4+ROW(A90)-1, "")</f>
        <v/>
      </c>
      <c r="AG92" s="1" t="str">
        <f>IF(Person4!$F$5+ROW(A90)-1&lt;=Person4!$G$5, Person4!$F$5+ROW(A90)-1, "")</f>
        <v/>
      </c>
      <c r="AH92" s="1" t="str">
        <f>IF(Person4!$F$6+ROW(A90)-1&lt;=Person4!$G$6, Person4!$F$6+ROW(A90)-1, "")</f>
        <v/>
      </c>
      <c r="AI92" s="1" t="str">
        <f>IF(Person4!$F$7+ROW(A90)-1&lt;=Person4!$G$7, Person4!$F$7+ROW(A90)-1, "")</f>
        <v/>
      </c>
    </row>
    <row r="93" spans="1:35" x14ac:dyDescent="0.3">
      <c r="A93" s="1" t="str">
        <f>IF(Person4!$B$3+ROW(A91)-1&lt;=Person4!$C$3, Person4!$B$3+ROW(A91)-1, "")</f>
        <v/>
      </c>
      <c r="B93" s="1" t="str">
        <f>IF(Person4!$B$4+ROW(B91)-1&lt;=Person4!$C$4, Person4!$B$4+ROW(B91)-1, "")</f>
        <v/>
      </c>
      <c r="C93" s="1" t="str">
        <f>IF(Person4!$B$5+ROW(B91)-1&lt;=Person4!$C$5, Person4!$B$5+ROW(B91)-1, "")</f>
        <v/>
      </c>
      <c r="D93" s="1" t="str">
        <f>IF(Person4!$B$6+ROW(B91)-1&lt;=Person4!$C$6, Person4!$B$6+ROW(B91)-1, "")</f>
        <v/>
      </c>
      <c r="E93" s="1" t="str">
        <f>IF(Person4!$B$7+ROW(B91)-1&lt;=Person4!$C$7, Person4!$B$7+ROW(B91)-1, "")</f>
        <v/>
      </c>
      <c r="F93" s="1" t="str">
        <f>IF(Person4!$B$8+ROW(B91)-1&lt;=Person4!$C$8, Person4!$B$8+ROW(B91)-1, "")</f>
        <v/>
      </c>
      <c r="G93" s="1" t="str">
        <f>IF(Person4!$B$9+ROW(B91)-1&lt;=Person4!$C$9, Person4!$B$9+ROW(B91)-1, "")</f>
        <v/>
      </c>
      <c r="H93" s="1" t="str">
        <f>IF(Person4!$B$10+ROW(B91)-1&lt;=Person4!$C$10, Person4!$B$10+ROW(B91)-1, "")</f>
        <v/>
      </c>
      <c r="I93" s="1" t="str">
        <f>IF(Person4!$B$11+ROW(B91)-1&lt;=Person4!$C$11, Person4!$B$11+ROW(B91)-1, "")</f>
        <v/>
      </c>
      <c r="J93" s="1" t="str">
        <f>IF(Person4!$B$12+ROW(B91)-1&lt;=Person4!$C$12, Person4!$B$12+ROW(B91)-1, "")</f>
        <v/>
      </c>
      <c r="K93" s="1" t="str">
        <f>IF(Person4!$B$13+ROW(B91)-1&lt;=Person4!$C$13, Person4!$B$13+ROW(B91)-1, "")</f>
        <v/>
      </c>
      <c r="L93" s="1" t="str">
        <f>IF(Person4!$B$14+ROW(B91)-1&lt;=Person4!$C$14, Person4!$B$14+ROW(B91)-1, "")</f>
        <v/>
      </c>
      <c r="M93" s="1" t="str">
        <f>IF(Person4!$B$15+ROW(B91)-1&lt;=Person4!$C$15, Person4!$B$15+ROW(B91)-1, "")</f>
        <v/>
      </c>
      <c r="N93" s="1" t="str">
        <f>IF(Person4!$B$16+ROW(B91)-1&lt;=Person4!$C$16, Person4!$B$16+ROW(B91)-1, "")</f>
        <v/>
      </c>
      <c r="O93" s="1" t="str">
        <f>IF(Person4!$B$17+ROW(B91)-1&lt;=Person4!$C$17, Person4!$B$17+ROW(B91)-1, "")</f>
        <v/>
      </c>
      <c r="V93" s="1" t="str">
        <f>IF(Person4!$D$3+ROW(A91)-1&lt;=Person4!$E$3, Person4!$D$3+ROW(A91)-1, "")</f>
        <v/>
      </c>
      <c r="W93" s="1" t="str">
        <f>IF(Person4!$D$4+ROW(A91)-1&lt;=Person4!$E$4, Person4!$D$4+ROW(A91)-1, "")</f>
        <v/>
      </c>
      <c r="X93" s="1" t="str">
        <f>IF(Person4!$D$5+ROW(A91)-1&lt;=Person4!$E$5, Person4!$D$5+ROW(A91)-1, "")</f>
        <v/>
      </c>
      <c r="Y93" s="1" t="str">
        <f>IF(Person4!$D$6+ROW(A91)-1&lt;=Person4!$E$6, Person4!$D$6+ROW(A91)-1, "")</f>
        <v/>
      </c>
      <c r="Z93" s="1" t="str">
        <f>IF(Person4!$D$7+ROW(A91)-1&lt;=Person4!$E$7, Person4!$D$7+ROW(A91)-1, "")</f>
        <v/>
      </c>
      <c r="AA93" s="1" t="str">
        <f>IF(Person4!$D$8+ROW(A91)-1&lt;=Person4!$E$8, Person4!$D$8+ROW(A91)-1, "")</f>
        <v/>
      </c>
      <c r="AE93" s="1" t="str">
        <f>IF(Person4!$F$3+ROW(A91)-1&lt;=Person4!$G$3, Person4!$F$3+ROW(A91)-1, "")</f>
        <v/>
      </c>
      <c r="AF93" s="1" t="str">
        <f>IF(Person4!$F$4+ROW(A91)-1&lt;=Person4!$G$4, Person4!$F$4+ROW(A91)-1, "")</f>
        <v/>
      </c>
      <c r="AG93" s="1" t="str">
        <f>IF(Person4!$F$5+ROW(A91)-1&lt;=Person4!$G$5, Person4!$F$5+ROW(A91)-1, "")</f>
        <v/>
      </c>
      <c r="AH93" s="1" t="str">
        <f>IF(Person4!$F$6+ROW(A91)-1&lt;=Person4!$G$6, Person4!$F$6+ROW(A91)-1, "")</f>
        <v/>
      </c>
      <c r="AI93" s="1" t="str">
        <f>IF(Person4!$F$7+ROW(A91)-1&lt;=Person4!$G$7, Person4!$F$7+ROW(A91)-1, "")</f>
        <v/>
      </c>
    </row>
    <row r="94" spans="1:35" x14ac:dyDescent="0.3">
      <c r="A94" s="1" t="str">
        <f>IF(Person4!$B$3+ROW(A92)-1&lt;=Person4!$C$3, Person4!$B$3+ROW(A92)-1, "")</f>
        <v/>
      </c>
      <c r="B94" s="1" t="str">
        <f>IF(Person4!$B$4+ROW(B92)-1&lt;=Person4!$C$4, Person4!$B$4+ROW(B92)-1, "")</f>
        <v/>
      </c>
      <c r="C94" s="1" t="str">
        <f>IF(Person4!$B$5+ROW(B92)-1&lt;=Person4!$C$5, Person4!$B$5+ROW(B92)-1, "")</f>
        <v/>
      </c>
      <c r="D94" s="1" t="str">
        <f>IF(Person4!$B$6+ROW(B92)-1&lt;=Person4!$C$6, Person4!$B$6+ROW(B92)-1, "")</f>
        <v/>
      </c>
      <c r="E94" s="1" t="str">
        <f>IF(Person4!$B$7+ROW(B92)-1&lt;=Person4!$C$7, Person4!$B$7+ROW(B92)-1, "")</f>
        <v/>
      </c>
      <c r="F94" s="1" t="str">
        <f>IF(Person4!$B$8+ROW(B92)-1&lt;=Person4!$C$8, Person4!$B$8+ROW(B92)-1, "")</f>
        <v/>
      </c>
      <c r="G94" s="1" t="str">
        <f>IF(Person4!$B$9+ROW(B92)-1&lt;=Person4!$C$9, Person4!$B$9+ROW(B92)-1, "")</f>
        <v/>
      </c>
      <c r="H94" s="1" t="str">
        <f>IF(Person4!$B$10+ROW(B92)-1&lt;=Person4!$C$10, Person4!$B$10+ROW(B92)-1, "")</f>
        <v/>
      </c>
      <c r="I94" s="1" t="str">
        <f>IF(Person4!$B$11+ROW(B92)-1&lt;=Person4!$C$11, Person4!$B$11+ROW(B92)-1, "")</f>
        <v/>
      </c>
      <c r="J94" s="1" t="str">
        <f>IF(Person4!$B$12+ROW(B92)-1&lt;=Person4!$C$12, Person4!$B$12+ROW(B92)-1, "")</f>
        <v/>
      </c>
      <c r="K94" s="1" t="str">
        <f>IF(Person4!$B$13+ROW(B92)-1&lt;=Person4!$C$13, Person4!$B$13+ROW(B92)-1, "")</f>
        <v/>
      </c>
      <c r="L94" s="1" t="str">
        <f>IF(Person4!$B$14+ROW(B92)-1&lt;=Person4!$C$14, Person4!$B$14+ROW(B92)-1, "")</f>
        <v/>
      </c>
      <c r="M94" s="1" t="str">
        <f>IF(Person4!$B$15+ROW(B92)-1&lt;=Person4!$C$15, Person4!$B$15+ROW(B92)-1, "")</f>
        <v/>
      </c>
      <c r="N94" s="1" t="str">
        <f>IF(Person4!$B$16+ROW(B92)-1&lt;=Person4!$C$16, Person4!$B$16+ROW(B92)-1, "")</f>
        <v/>
      </c>
      <c r="O94" s="1" t="str">
        <f>IF(Person4!$B$17+ROW(B92)-1&lt;=Person4!$C$17, Person4!$B$17+ROW(B92)-1, "")</f>
        <v/>
      </c>
      <c r="V94" s="1" t="str">
        <f>IF(Person4!$D$3+ROW(A92)-1&lt;=Person4!$E$3, Person4!$D$3+ROW(A92)-1, "")</f>
        <v/>
      </c>
      <c r="W94" s="1" t="str">
        <f>IF(Person4!$D$4+ROW(A92)-1&lt;=Person4!$E$4, Person4!$D$4+ROW(A92)-1, "")</f>
        <v/>
      </c>
      <c r="X94" s="1" t="str">
        <f>IF(Person4!$D$5+ROW(A92)-1&lt;=Person4!$E$5, Person4!$D$5+ROW(A92)-1, "")</f>
        <v/>
      </c>
      <c r="Y94" s="1" t="str">
        <f>IF(Person4!$D$6+ROW(A92)-1&lt;=Person4!$E$6, Person4!$D$6+ROW(A92)-1, "")</f>
        <v/>
      </c>
      <c r="Z94" s="1" t="str">
        <f>IF(Person4!$D$7+ROW(A92)-1&lt;=Person4!$E$7, Person4!$D$7+ROW(A92)-1, "")</f>
        <v/>
      </c>
      <c r="AA94" s="1" t="str">
        <f>IF(Person4!$D$8+ROW(A92)-1&lt;=Person4!$E$8, Person4!$D$8+ROW(A92)-1, "")</f>
        <v/>
      </c>
      <c r="AE94" s="1" t="str">
        <f>IF(Person4!$F$3+ROW(A92)-1&lt;=Person4!$G$3, Person4!$F$3+ROW(A92)-1, "")</f>
        <v/>
      </c>
      <c r="AF94" s="1" t="str">
        <f>IF(Person4!$F$4+ROW(A92)-1&lt;=Person4!$G$4, Person4!$F$4+ROW(A92)-1, "")</f>
        <v/>
      </c>
      <c r="AG94" s="1" t="str">
        <f>IF(Person4!$F$5+ROW(A92)-1&lt;=Person4!$G$5, Person4!$F$5+ROW(A92)-1, "")</f>
        <v/>
      </c>
      <c r="AH94" s="1" t="str">
        <f>IF(Person4!$F$6+ROW(A92)-1&lt;=Person4!$G$6, Person4!$F$6+ROW(A92)-1, "")</f>
        <v/>
      </c>
      <c r="AI94" s="1" t="str">
        <f>IF(Person4!$F$7+ROW(A92)-1&lt;=Person4!$G$7, Person4!$F$7+ROW(A92)-1, "")</f>
        <v/>
      </c>
    </row>
    <row r="95" spans="1:35" x14ac:dyDescent="0.3">
      <c r="A95" s="1" t="str">
        <f>IF(Person4!$B$3+ROW(A93)-1&lt;=Person4!$C$3, Person4!$B$3+ROW(A93)-1, "")</f>
        <v/>
      </c>
      <c r="B95" s="1" t="str">
        <f>IF(Person4!$B$4+ROW(B93)-1&lt;=Person4!$C$4, Person4!$B$4+ROW(B93)-1, "")</f>
        <v/>
      </c>
      <c r="C95" s="1" t="str">
        <f>IF(Person4!$B$5+ROW(B93)-1&lt;=Person4!$C$5, Person4!$B$5+ROW(B93)-1, "")</f>
        <v/>
      </c>
      <c r="D95" s="1" t="str">
        <f>IF(Person4!$B$6+ROW(B93)-1&lt;=Person4!$C$6, Person4!$B$6+ROW(B93)-1, "")</f>
        <v/>
      </c>
      <c r="E95" s="1" t="str">
        <f>IF(Person4!$B$7+ROW(B93)-1&lt;=Person4!$C$7, Person4!$B$7+ROW(B93)-1, "")</f>
        <v/>
      </c>
      <c r="F95" s="1" t="str">
        <f>IF(Person4!$B$8+ROW(B93)-1&lt;=Person4!$C$8, Person4!$B$8+ROW(B93)-1, "")</f>
        <v/>
      </c>
      <c r="G95" s="1" t="str">
        <f>IF(Person4!$B$9+ROW(B93)-1&lt;=Person4!$C$9, Person4!$B$9+ROW(B93)-1, "")</f>
        <v/>
      </c>
      <c r="H95" s="1" t="str">
        <f>IF(Person4!$B$10+ROW(B93)-1&lt;=Person4!$C$10, Person4!$B$10+ROW(B93)-1, "")</f>
        <v/>
      </c>
      <c r="I95" s="1" t="str">
        <f>IF(Person4!$B$11+ROW(B93)-1&lt;=Person4!$C$11, Person4!$B$11+ROW(B93)-1, "")</f>
        <v/>
      </c>
      <c r="J95" s="1" t="str">
        <f>IF(Person4!$B$12+ROW(B93)-1&lt;=Person4!$C$12, Person4!$B$12+ROW(B93)-1, "")</f>
        <v/>
      </c>
      <c r="K95" s="1" t="str">
        <f>IF(Person4!$B$13+ROW(B93)-1&lt;=Person4!$C$13, Person4!$B$13+ROW(B93)-1, "")</f>
        <v/>
      </c>
      <c r="L95" s="1" t="str">
        <f>IF(Person4!$B$14+ROW(B93)-1&lt;=Person4!$C$14, Person4!$B$14+ROW(B93)-1, "")</f>
        <v/>
      </c>
      <c r="M95" s="1" t="str">
        <f>IF(Person4!$B$15+ROW(B93)-1&lt;=Person4!$C$15, Person4!$B$15+ROW(B93)-1, "")</f>
        <v/>
      </c>
      <c r="N95" s="1" t="str">
        <f>IF(Person4!$B$16+ROW(B93)-1&lt;=Person4!$C$16, Person4!$B$16+ROW(B93)-1, "")</f>
        <v/>
      </c>
      <c r="O95" s="1" t="str">
        <f>IF(Person4!$B$17+ROW(B93)-1&lt;=Person4!$C$17, Person4!$B$17+ROW(B93)-1, "")</f>
        <v/>
      </c>
      <c r="V95" s="1" t="str">
        <f>IF(Person4!$D$3+ROW(A93)-1&lt;=Person4!$E$3, Person4!$D$3+ROW(A93)-1, "")</f>
        <v/>
      </c>
      <c r="W95" s="1" t="str">
        <f>IF(Person4!$D$4+ROW(A93)-1&lt;=Person4!$E$4, Person4!$D$4+ROW(A93)-1, "")</f>
        <v/>
      </c>
      <c r="X95" s="1" t="str">
        <f>IF(Person4!$D$5+ROW(A93)-1&lt;=Person4!$E$5, Person4!$D$5+ROW(A93)-1, "")</f>
        <v/>
      </c>
      <c r="Y95" s="1" t="str">
        <f>IF(Person4!$D$6+ROW(A93)-1&lt;=Person4!$E$6, Person4!$D$6+ROW(A93)-1, "")</f>
        <v/>
      </c>
      <c r="Z95" s="1" t="str">
        <f>IF(Person4!$D$7+ROW(A93)-1&lt;=Person4!$E$7, Person4!$D$7+ROW(A93)-1, "")</f>
        <v/>
      </c>
      <c r="AA95" s="1" t="str">
        <f>IF(Person4!$D$8+ROW(A93)-1&lt;=Person4!$E$8, Person4!$D$8+ROW(A93)-1, "")</f>
        <v/>
      </c>
      <c r="AE95" s="1" t="str">
        <f>IF(Person4!$F$3+ROW(A93)-1&lt;=Person4!$G$3, Person4!$F$3+ROW(A93)-1, "")</f>
        <v/>
      </c>
      <c r="AF95" s="1" t="str">
        <f>IF(Person4!$F$4+ROW(A93)-1&lt;=Person4!$G$4, Person4!$F$4+ROW(A93)-1, "")</f>
        <v/>
      </c>
      <c r="AG95" s="1" t="str">
        <f>IF(Person4!$F$5+ROW(A93)-1&lt;=Person4!$G$5, Person4!$F$5+ROW(A93)-1, "")</f>
        <v/>
      </c>
      <c r="AH95" s="1" t="str">
        <f>IF(Person4!$F$6+ROW(A93)-1&lt;=Person4!$G$6, Person4!$F$6+ROW(A93)-1, "")</f>
        <v/>
      </c>
      <c r="AI95" s="1" t="str">
        <f>IF(Person4!$F$7+ROW(A93)-1&lt;=Person4!$G$7, Person4!$F$7+ROW(A93)-1, "")</f>
        <v/>
      </c>
    </row>
    <row r="96" spans="1:35" x14ac:dyDescent="0.3">
      <c r="A96" s="1" t="str">
        <f>IF(Person4!$B$3+ROW(A94)-1&lt;=Person4!$C$3, Person4!$B$3+ROW(A94)-1, "")</f>
        <v/>
      </c>
      <c r="B96" s="1" t="str">
        <f>IF(Person4!$B$4+ROW(B94)-1&lt;=Person4!$C$4, Person4!$B$4+ROW(B94)-1, "")</f>
        <v/>
      </c>
      <c r="C96" s="1" t="str">
        <f>IF(Person4!$B$5+ROW(B94)-1&lt;=Person4!$C$5, Person4!$B$5+ROW(B94)-1, "")</f>
        <v/>
      </c>
      <c r="D96" s="1" t="str">
        <f>IF(Person4!$B$6+ROW(B94)-1&lt;=Person4!$C$6, Person4!$B$6+ROW(B94)-1, "")</f>
        <v/>
      </c>
      <c r="E96" s="1" t="str">
        <f>IF(Person4!$B$7+ROW(B94)-1&lt;=Person4!$C$7, Person4!$B$7+ROW(B94)-1, "")</f>
        <v/>
      </c>
      <c r="F96" s="1" t="str">
        <f>IF(Person4!$B$8+ROW(B94)-1&lt;=Person4!$C$8, Person4!$B$8+ROW(B94)-1, "")</f>
        <v/>
      </c>
      <c r="G96" s="1" t="str">
        <f>IF(Person4!$B$9+ROW(B94)-1&lt;=Person4!$C$9, Person4!$B$9+ROW(B94)-1, "")</f>
        <v/>
      </c>
      <c r="H96" s="1" t="str">
        <f>IF(Person4!$B$10+ROW(B94)-1&lt;=Person4!$C$10, Person4!$B$10+ROW(B94)-1, "")</f>
        <v/>
      </c>
      <c r="I96" s="1" t="str">
        <f>IF(Person4!$B$11+ROW(B94)-1&lt;=Person4!$C$11, Person4!$B$11+ROW(B94)-1, "")</f>
        <v/>
      </c>
      <c r="J96" s="1" t="str">
        <f>IF(Person4!$B$12+ROW(B94)-1&lt;=Person4!$C$12, Person4!$B$12+ROW(B94)-1, "")</f>
        <v/>
      </c>
      <c r="K96" s="1" t="str">
        <f>IF(Person4!$B$13+ROW(B94)-1&lt;=Person4!$C$13, Person4!$B$13+ROW(B94)-1, "")</f>
        <v/>
      </c>
      <c r="L96" s="1" t="str">
        <f>IF(Person4!$B$14+ROW(B94)-1&lt;=Person4!$C$14, Person4!$B$14+ROW(B94)-1, "")</f>
        <v/>
      </c>
      <c r="M96" s="1" t="str">
        <f>IF(Person4!$B$15+ROW(B94)-1&lt;=Person4!$C$15, Person4!$B$15+ROW(B94)-1, "")</f>
        <v/>
      </c>
      <c r="N96" s="1" t="str">
        <f>IF(Person4!$B$16+ROW(B94)-1&lt;=Person4!$C$16, Person4!$B$16+ROW(B94)-1, "")</f>
        <v/>
      </c>
      <c r="O96" s="1" t="str">
        <f>IF(Person4!$B$17+ROW(B94)-1&lt;=Person4!$C$17, Person4!$B$17+ROW(B94)-1, "")</f>
        <v/>
      </c>
      <c r="V96" s="1" t="str">
        <f>IF(Person4!$D$3+ROW(A94)-1&lt;=Person4!$E$3, Person4!$D$3+ROW(A94)-1, "")</f>
        <v/>
      </c>
      <c r="W96" s="1" t="str">
        <f>IF(Person4!$D$4+ROW(A94)-1&lt;=Person4!$E$4, Person4!$D$4+ROW(A94)-1, "")</f>
        <v/>
      </c>
      <c r="X96" s="1" t="str">
        <f>IF(Person4!$D$5+ROW(A94)-1&lt;=Person4!$E$5, Person4!$D$5+ROW(A94)-1, "")</f>
        <v/>
      </c>
      <c r="Y96" s="1" t="str">
        <f>IF(Person4!$D$6+ROW(A94)-1&lt;=Person4!$E$6, Person4!$D$6+ROW(A94)-1, "")</f>
        <v/>
      </c>
      <c r="Z96" s="1" t="str">
        <f>IF(Person4!$D$7+ROW(A94)-1&lt;=Person4!$E$7, Person4!$D$7+ROW(A94)-1, "")</f>
        <v/>
      </c>
      <c r="AA96" s="1" t="str">
        <f>IF(Person4!$D$8+ROW(A94)-1&lt;=Person4!$E$8, Person4!$D$8+ROW(A94)-1, "")</f>
        <v/>
      </c>
      <c r="AE96" s="1" t="str">
        <f>IF(Person4!$F$3+ROW(A94)-1&lt;=Person4!$G$3, Person4!$F$3+ROW(A94)-1, "")</f>
        <v/>
      </c>
      <c r="AF96" s="1" t="str">
        <f>IF(Person4!$F$4+ROW(A94)-1&lt;=Person4!$G$4, Person4!$F$4+ROW(A94)-1, "")</f>
        <v/>
      </c>
      <c r="AG96" s="1" t="str">
        <f>IF(Person4!$F$5+ROW(A94)-1&lt;=Person4!$G$5, Person4!$F$5+ROW(A94)-1, "")</f>
        <v/>
      </c>
      <c r="AH96" s="1" t="str">
        <f>IF(Person4!$F$6+ROW(A94)-1&lt;=Person4!$G$6, Person4!$F$6+ROW(A94)-1, "")</f>
        <v/>
      </c>
      <c r="AI96" s="1" t="str">
        <f>IF(Person4!$F$7+ROW(A94)-1&lt;=Person4!$G$7, Person4!$F$7+ROW(A94)-1, "")</f>
        <v/>
      </c>
    </row>
    <row r="97" spans="1:35" x14ac:dyDescent="0.3">
      <c r="A97" s="1" t="str">
        <f>IF(Person4!$B$3+ROW(A95)-1&lt;=Person4!$C$3, Person4!$B$3+ROW(A95)-1, "")</f>
        <v/>
      </c>
      <c r="B97" s="1" t="str">
        <f>IF(Person4!$B$4+ROW(B95)-1&lt;=Person4!$C$4, Person4!$B$4+ROW(B95)-1, "")</f>
        <v/>
      </c>
      <c r="C97" s="1" t="str">
        <f>IF(Person4!$B$5+ROW(B95)-1&lt;=Person4!$C$5, Person4!$B$5+ROW(B95)-1, "")</f>
        <v/>
      </c>
      <c r="D97" s="1" t="str">
        <f>IF(Person4!$B$6+ROW(B95)-1&lt;=Person4!$C$6, Person4!$B$6+ROW(B95)-1, "")</f>
        <v/>
      </c>
      <c r="E97" s="1" t="str">
        <f>IF(Person4!$B$7+ROW(B95)-1&lt;=Person4!$C$7, Person4!$B$7+ROW(B95)-1, "")</f>
        <v/>
      </c>
      <c r="F97" s="1" t="str">
        <f>IF(Person4!$B$8+ROW(B95)-1&lt;=Person4!$C$8, Person4!$B$8+ROW(B95)-1, "")</f>
        <v/>
      </c>
      <c r="G97" s="1" t="str">
        <f>IF(Person4!$B$9+ROW(B95)-1&lt;=Person4!$C$9, Person4!$B$9+ROW(B95)-1, "")</f>
        <v/>
      </c>
      <c r="H97" s="1" t="str">
        <f>IF(Person4!$B$10+ROW(B95)-1&lt;=Person4!$C$10, Person4!$B$10+ROW(B95)-1, "")</f>
        <v/>
      </c>
      <c r="I97" s="1" t="str">
        <f>IF(Person4!$B$11+ROW(B95)-1&lt;=Person4!$C$11, Person4!$B$11+ROW(B95)-1, "")</f>
        <v/>
      </c>
      <c r="J97" s="1" t="str">
        <f>IF(Person4!$B$12+ROW(B95)-1&lt;=Person4!$C$12, Person4!$B$12+ROW(B95)-1, "")</f>
        <v/>
      </c>
      <c r="K97" s="1" t="str">
        <f>IF(Person4!$B$13+ROW(B95)-1&lt;=Person4!$C$13, Person4!$B$13+ROW(B95)-1, "")</f>
        <v/>
      </c>
      <c r="L97" s="1" t="str">
        <f>IF(Person4!$B$14+ROW(B95)-1&lt;=Person4!$C$14, Person4!$B$14+ROW(B95)-1, "")</f>
        <v/>
      </c>
      <c r="M97" s="1" t="str">
        <f>IF(Person4!$B$15+ROW(B95)-1&lt;=Person4!$C$15, Person4!$B$15+ROW(B95)-1, "")</f>
        <v/>
      </c>
      <c r="N97" s="1" t="str">
        <f>IF(Person4!$B$16+ROW(B95)-1&lt;=Person4!$C$16, Person4!$B$16+ROW(B95)-1, "")</f>
        <v/>
      </c>
      <c r="O97" s="1" t="str">
        <f>IF(Person4!$B$17+ROW(B95)-1&lt;=Person4!$C$17, Person4!$B$17+ROW(B95)-1, "")</f>
        <v/>
      </c>
      <c r="V97" s="1" t="str">
        <f>IF(Person4!$D$3+ROW(A95)-1&lt;=Person4!$E$3, Person4!$D$3+ROW(A95)-1, "")</f>
        <v/>
      </c>
      <c r="W97" s="1" t="str">
        <f>IF(Person4!$D$4+ROW(A95)-1&lt;=Person4!$E$4, Person4!$D$4+ROW(A95)-1, "")</f>
        <v/>
      </c>
      <c r="X97" s="1" t="str">
        <f>IF(Person4!$D$5+ROW(A95)-1&lt;=Person4!$E$5, Person4!$D$5+ROW(A95)-1, "")</f>
        <v/>
      </c>
      <c r="Y97" s="1" t="str">
        <f>IF(Person4!$D$6+ROW(A95)-1&lt;=Person4!$E$6, Person4!$D$6+ROW(A95)-1, "")</f>
        <v/>
      </c>
      <c r="Z97" s="1" t="str">
        <f>IF(Person4!$D$7+ROW(A95)-1&lt;=Person4!$E$7, Person4!$D$7+ROW(A95)-1, "")</f>
        <v/>
      </c>
      <c r="AA97" s="1" t="str">
        <f>IF(Person4!$D$8+ROW(A95)-1&lt;=Person4!$E$8, Person4!$D$8+ROW(A95)-1, "")</f>
        <v/>
      </c>
      <c r="AE97" s="1" t="str">
        <f>IF(Person4!$F$3+ROW(A95)-1&lt;=Person4!$G$3, Person4!$F$3+ROW(A95)-1, "")</f>
        <v/>
      </c>
      <c r="AF97" s="1" t="str">
        <f>IF(Person4!$F$4+ROW(A95)-1&lt;=Person4!$G$4, Person4!$F$4+ROW(A95)-1, "")</f>
        <v/>
      </c>
      <c r="AG97" s="1" t="str">
        <f>IF(Person4!$F$5+ROW(A95)-1&lt;=Person4!$G$5, Person4!$F$5+ROW(A95)-1, "")</f>
        <v/>
      </c>
      <c r="AH97" s="1" t="str">
        <f>IF(Person4!$F$6+ROW(A95)-1&lt;=Person4!$G$6, Person4!$F$6+ROW(A95)-1, "")</f>
        <v/>
      </c>
      <c r="AI97" s="1" t="str">
        <f>IF(Person4!$F$7+ROW(A95)-1&lt;=Person4!$G$7, Person4!$F$7+ROW(A95)-1, "")</f>
        <v/>
      </c>
    </row>
    <row r="98" spans="1:35" x14ac:dyDescent="0.3">
      <c r="A98" s="1" t="str">
        <f>IF(Person4!$B$3+ROW(A96)-1&lt;=Person4!$C$3, Person4!$B$3+ROW(A96)-1, "")</f>
        <v/>
      </c>
      <c r="B98" s="1" t="str">
        <f>IF(Person4!$B$4+ROW(B96)-1&lt;=Person4!$C$4, Person4!$B$4+ROW(B96)-1, "")</f>
        <v/>
      </c>
      <c r="C98" s="1" t="str">
        <f>IF(Person4!$B$5+ROW(B96)-1&lt;=Person4!$C$5, Person4!$B$5+ROW(B96)-1, "")</f>
        <v/>
      </c>
      <c r="D98" s="1" t="str">
        <f>IF(Person4!$B$6+ROW(B96)-1&lt;=Person4!$C$6, Person4!$B$6+ROW(B96)-1, "")</f>
        <v/>
      </c>
      <c r="E98" s="1" t="str">
        <f>IF(Person4!$B$7+ROW(B96)-1&lt;=Person4!$C$7, Person4!$B$7+ROW(B96)-1, "")</f>
        <v/>
      </c>
      <c r="F98" s="1" t="str">
        <f>IF(Person4!$B$8+ROW(B96)-1&lt;=Person4!$C$8, Person4!$B$8+ROW(B96)-1, "")</f>
        <v/>
      </c>
      <c r="G98" s="1" t="str">
        <f>IF(Person4!$B$9+ROW(B96)-1&lt;=Person4!$C$9, Person4!$B$9+ROW(B96)-1, "")</f>
        <v/>
      </c>
      <c r="H98" s="1" t="str">
        <f>IF(Person4!$B$10+ROW(B96)-1&lt;=Person4!$C$10, Person4!$B$10+ROW(B96)-1, "")</f>
        <v/>
      </c>
      <c r="I98" s="1" t="str">
        <f>IF(Person4!$B$11+ROW(B96)-1&lt;=Person4!$C$11, Person4!$B$11+ROW(B96)-1, "")</f>
        <v/>
      </c>
      <c r="J98" s="1" t="str">
        <f>IF(Person4!$B$12+ROW(B96)-1&lt;=Person4!$C$12, Person4!$B$12+ROW(B96)-1, "")</f>
        <v/>
      </c>
      <c r="K98" s="1" t="str">
        <f>IF(Person4!$B$13+ROW(B96)-1&lt;=Person4!$C$13, Person4!$B$13+ROW(B96)-1, "")</f>
        <v/>
      </c>
      <c r="L98" s="1" t="str">
        <f>IF(Person4!$B$14+ROW(B96)-1&lt;=Person4!$C$14, Person4!$B$14+ROW(B96)-1, "")</f>
        <v/>
      </c>
      <c r="M98" s="1" t="str">
        <f>IF(Person4!$B$15+ROW(B96)-1&lt;=Person4!$C$15, Person4!$B$15+ROW(B96)-1, "")</f>
        <v/>
      </c>
      <c r="N98" s="1" t="str">
        <f>IF(Person4!$B$16+ROW(B96)-1&lt;=Person4!$C$16, Person4!$B$16+ROW(B96)-1, "")</f>
        <v/>
      </c>
      <c r="O98" s="1" t="str">
        <f>IF(Person4!$B$17+ROW(B96)-1&lt;=Person4!$C$17, Person4!$B$17+ROW(B96)-1, "")</f>
        <v/>
      </c>
      <c r="V98" s="1" t="str">
        <f>IF(Person4!$D$3+ROW(A96)-1&lt;=Person4!$E$3, Person4!$D$3+ROW(A96)-1, "")</f>
        <v/>
      </c>
      <c r="W98" s="1" t="str">
        <f>IF(Person4!$D$4+ROW(A96)-1&lt;=Person4!$E$4, Person4!$D$4+ROW(A96)-1, "")</f>
        <v/>
      </c>
      <c r="X98" s="1" t="str">
        <f>IF(Person4!$D$5+ROW(A96)-1&lt;=Person4!$E$5, Person4!$D$5+ROW(A96)-1, "")</f>
        <v/>
      </c>
      <c r="Y98" s="1" t="str">
        <f>IF(Person4!$D$6+ROW(A96)-1&lt;=Person4!$E$6, Person4!$D$6+ROW(A96)-1, "")</f>
        <v/>
      </c>
      <c r="Z98" s="1" t="str">
        <f>IF(Person4!$D$7+ROW(A96)-1&lt;=Person4!$E$7, Person4!$D$7+ROW(A96)-1, "")</f>
        <v/>
      </c>
      <c r="AA98" s="1" t="str">
        <f>IF(Person4!$D$8+ROW(A96)-1&lt;=Person4!$E$8, Person4!$D$8+ROW(A96)-1, "")</f>
        <v/>
      </c>
      <c r="AE98" s="1" t="str">
        <f>IF(Person4!$F$3+ROW(A96)-1&lt;=Person4!$G$3, Person4!$F$3+ROW(A96)-1, "")</f>
        <v/>
      </c>
      <c r="AF98" s="1" t="str">
        <f>IF(Person4!$F$4+ROW(A96)-1&lt;=Person4!$G$4, Person4!$F$4+ROW(A96)-1, "")</f>
        <v/>
      </c>
      <c r="AG98" s="1" t="str">
        <f>IF(Person4!$F$5+ROW(A96)-1&lt;=Person4!$G$5, Person4!$F$5+ROW(A96)-1, "")</f>
        <v/>
      </c>
      <c r="AH98" s="1" t="str">
        <f>IF(Person4!$F$6+ROW(A96)-1&lt;=Person4!$G$6, Person4!$F$6+ROW(A96)-1, "")</f>
        <v/>
      </c>
      <c r="AI98" s="1" t="str">
        <f>IF(Person4!$F$7+ROW(A96)-1&lt;=Person4!$G$7, Person4!$F$7+ROW(A96)-1, "")</f>
        <v/>
      </c>
    </row>
    <row r="99" spans="1:35" x14ac:dyDescent="0.3">
      <c r="A99" s="1" t="str">
        <f>IF(Person4!$B$3+ROW(A97)-1&lt;=Person4!$C$3, Person4!$B$3+ROW(A97)-1, "")</f>
        <v/>
      </c>
      <c r="B99" s="1" t="str">
        <f>IF(Person4!$B$4+ROW(B97)-1&lt;=Person4!$C$4, Person4!$B$4+ROW(B97)-1, "")</f>
        <v/>
      </c>
      <c r="C99" s="1" t="str">
        <f>IF(Person4!$B$5+ROW(B97)-1&lt;=Person4!$C$5, Person4!$B$5+ROW(B97)-1, "")</f>
        <v/>
      </c>
      <c r="D99" s="1" t="str">
        <f>IF(Person4!$B$6+ROW(B97)-1&lt;=Person4!$C$6, Person4!$B$6+ROW(B97)-1, "")</f>
        <v/>
      </c>
      <c r="E99" s="1" t="str">
        <f>IF(Person4!$B$7+ROW(B97)-1&lt;=Person4!$C$7, Person4!$B$7+ROW(B97)-1, "")</f>
        <v/>
      </c>
      <c r="F99" s="1" t="str">
        <f>IF(Person4!$B$8+ROW(B97)-1&lt;=Person4!$C$8, Person4!$B$8+ROW(B97)-1, "")</f>
        <v/>
      </c>
      <c r="G99" s="1" t="str">
        <f>IF(Person4!$B$9+ROW(B97)-1&lt;=Person4!$C$9, Person4!$B$9+ROW(B97)-1, "")</f>
        <v/>
      </c>
      <c r="H99" s="1" t="str">
        <f>IF(Person4!$B$10+ROW(B97)-1&lt;=Person4!$C$10, Person4!$B$10+ROW(B97)-1, "")</f>
        <v/>
      </c>
      <c r="I99" s="1" t="str">
        <f>IF(Person4!$B$11+ROW(B97)-1&lt;=Person4!$C$11, Person4!$B$11+ROW(B97)-1, "")</f>
        <v/>
      </c>
      <c r="J99" s="1" t="str">
        <f>IF(Person4!$B$12+ROW(B97)-1&lt;=Person4!$C$12, Person4!$B$12+ROW(B97)-1, "")</f>
        <v/>
      </c>
      <c r="K99" s="1" t="str">
        <f>IF(Person4!$B$13+ROW(B97)-1&lt;=Person4!$C$13, Person4!$B$13+ROW(B97)-1, "")</f>
        <v/>
      </c>
      <c r="L99" s="1" t="str">
        <f>IF(Person4!$B$14+ROW(B97)-1&lt;=Person4!$C$14, Person4!$B$14+ROW(B97)-1, "")</f>
        <v/>
      </c>
      <c r="M99" s="1" t="str">
        <f>IF(Person4!$B$15+ROW(B97)-1&lt;=Person4!$C$15, Person4!$B$15+ROW(B97)-1, "")</f>
        <v/>
      </c>
      <c r="N99" s="1" t="str">
        <f>IF(Person4!$B$16+ROW(B97)-1&lt;=Person4!$C$16, Person4!$B$16+ROW(B97)-1, "")</f>
        <v/>
      </c>
      <c r="O99" s="1" t="str">
        <f>IF(Person4!$B$17+ROW(B97)-1&lt;=Person4!$C$17, Person4!$B$17+ROW(B97)-1, "")</f>
        <v/>
      </c>
      <c r="V99" s="1" t="str">
        <f>IF(Person4!$D$3+ROW(A97)-1&lt;=Person4!$E$3, Person4!$D$3+ROW(A97)-1, "")</f>
        <v/>
      </c>
      <c r="W99" s="1" t="str">
        <f>IF(Person4!$D$4+ROW(A97)-1&lt;=Person4!$E$4, Person4!$D$4+ROW(A97)-1, "")</f>
        <v/>
      </c>
      <c r="X99" s="1" t="str">
        <f>IF(Person4!$D$5+ROW(A97)-1&lt;=Person4!$E$5, Person4!$D$5+ROW(A97)-1, "")</f>
        <v/>
      </c>
      <c r="Y99" s="1" t="str">
        <f>IF(Person4!$D$6+ROW(A97)-1&lt;=Person4!$E$6, Person4!$D$6+ROW(A97)-1, "")</f>
        <v/>
      </c>
      <c r="Z99" s="1" t="str">
        <f>IF(Person4!$D$7+ROW(A97)-1&lt;=Person4!$E$7, Person4!$D$7+ROW(A97)-1, "")</f>
        <v/>
      </c>
      <c r="AA99" s="1" t="str">
        <f>IF(Person4!$D$8+ROW(A97)-1&lt;=Person4!$E$8, Person4!$D$8+ROW(A97)-1, "")</f>
        <v/>
      </c>
      <c r="AE99" s="1" t="str">
        <f>IF(Person4!$F$3+ROW(A97)-1&lt;=Person4!$G$3, Person4!$F$3+ROW(A97)-1, "")</f>
        <v/>
      </c>
      <c r="AF99" s="1" t="str">
        <f>IF(Person4!$F$4+ROW(A97)-1&lt;=Person4!$G$4, Person4!$F$4+ROW(A97)-1, "")</f>
        <v/>
      </c>
      <c r="AG99" s="1" t="str">
        <f>IF(Person4!$F$5+ROW(A97)-1&lt;=Person4!$G$5, Person4!$F$5+ROW(A97)-1, "")</f>
        <v/>
      </c>
      <c r="AH99" s="1" t="str">
        <f>IF(Person4!$F$6+ROW(A97)-1&lt;=Person4!$G$6, Person4!$F$6+ROW(A97)-1, "")</f>
        <v/>
      </c>
      <c r="AI99" s="1" t="str">
        <f>IF(Person4!$F$7+ROW(A97)-1&lt;=Person4!$G$7, Person4!$F$7+ROW(A97)-1, "")</f>
        <v/>
      </c>
    </row>
    <row r="100" spans="1:35" x14ac:dyDescent="0.3">
      <c r="A100" s="1" t="str">
        <f>IF(Person4!$B$3+ROW(A98)-1&lt;=Person4!$C$3, Person4!$B$3+ROW(A98)-1, "")</f>
        <v/>
      </c>
      <c r="B100" s="1" t="str">
        <f>IF(Person4!$B$4+ROW(B98)-1&lt;=Person4!$C$4, Person4!$B$4+ROW(B98)-1, "")</f>
        <v/>
      </c>
      <c r="C100" s="1" t="str">
        <f>IF(Person4!$B$5+ROW(B98)-1&lt;=Person4!$C$5, Person4!$B$5+ROW(B98)-1, "")</f>
        <v/>
      </c>
      <c r="D100" s="1" t="str">
        <f>IF(Person4!$B$6+ROW(B98)-1&lt;=Person4!$C$6, Person4!$B$6+ROW(B98)-1, "")</f>
        <v/>
      </c>
      <c r="E100" s="1" t="str">
        <f>IF(Person4!$B$7+ROW(B98)-1&lt;=Person4!$C$7, Person4!$B$7+ROW(B98)-1, "")</f>
        <v/>
      </c>
      <c r="F100" s="1" t="str">
        <f>IF(Person4!$B$8+ROW(B98)-1&lt;=Person4!$C$8, Person4!$B$8+ROW(B98)-1, "")</f>
        <v/>
      </c>
      <c r="G100" s="1" t="str">
        <f>IF(Person4!$B$9+ROW(B98)-1&lt;=Person4!$C$9, Person4!$B$9+ROW(B98)-1, "")</f>
        <v/>
      </c>
      <c r="H100" s="1" t="str">
        <f>IF(Person4!$B$10+ROW(B98)-1&lt;=Person4!$C$10, Person4!$B$10+ROW(B98)-1, "")</f>
        <v/>
      </c>
      <c r="I100" s="1" t="str">
        <f>IF(Person4!$B$11+ROW(B98)-1&lt;=Person4!$C$11, Person4!$B$11+ROW(B98)-1, "")</f>
        <v/>
      </c>
      <c r="J100" s="1" t="str">
        <f>IF(Person4!$B$12+ROW(B98)-1&lt;=Person4!$C$12, Person4!$B$12+ROW(B98)-1, "")</f>
        <v/>
      </c>
      <c r="K100" s="1" t="str">
        <f>IF(Person4!$B$13+ROW(B98)-1&lt;=Person4!$C$13, Person4!$B$13+ROW(B98)-1, "")</f>
        <v/>
      </c>
      <c r="L100" s="1" t="str">
        <f>IF(Person4!$B$14+ROW(B98)-1&lt;=Person4!$C$14, Person4!$B$14+ROW(B98)-1, "")</f>
        <v/>
      </c>
      <c r="M100" s="1" t="str">
        <f>IF(Person4!$B$15+ROW(B98)-1&lt;=Person4!$C$15, Person4!$B$15+ROW(B98)-1, "")</f>
        <v/>
      </c>
      <c r="N100" s="1" t="str">
        <f>IF(Person4!$B$16+ROW(B98)-1&lt;=Person4!$C$16, Person4!$B$16+ROW(B98)-1, "")</f>
        <v/>
      </c>
      <c r="O100" s="1" t="str">
        <f>IF(Person4!$B$17+ROW(B98)-1&lt;=Person4!$C$17, Person4!$B$17+ROW(B98)-1, "")</f>
        <v/>
      </c>
      <c r="V100" s="1" t="str">
        <f>IF(Person4!$D$3+ROW(A98)-1&lt;=Person4!$E$3, Person4!$D$3+ROW(A98)-1, "")</f>
        <v/>
      </c>
      <c r="W100" s="1" t="str">
        <f>IF(Person4!$D$4+ROW(A98)-1&lt;=Person4!$E$4, Person4!$D$4+ROW(A98)-1, "")</f>
        <v/>
      </c>
      <c r="X100" s="1" t="str">
        <f>IF(Person4!$D$5+ROW(A98)-1&lt;=Person4!$E$5, Person4!$D$5+ROW(A98)-1, "")</f>
        <v/>
      </c>
      <c r="Y100" s="1" t="str">
        <f>IF(Person4!$D$6+ROW(A98)-1&lt;=Person4!$E$6, Person4!$D$6+ROW(A98)-1, "")</f>
        <v/>
      </c>
      <c r="Z100" s="1" t="str">
        <f>IF(Person4!$D$7+ROW(A98)-1&lt;=Person4!$E$7, Person4!$D$7+ROW(A98)-1, "")</f>
        <v/>
      </c>
      <c r="AA100" s="1" t="str">
        <f>IF(Person4!$D$8+ROW(A98)-1&lt;=Person4!$E$8, Person4!$D$8+ROW(A98)-1, "")</f>
        <v/>
      </c>
      <c r="AE100" s="1" t="str">
        <f>IF(Person4!$F$3+ROW(A98)-1&lt;=Person4!$G$3, Person4!$F$3+ROW(A98)-1, "")</f>
        <v/>
      </c>
      <c r="AF100" s="1" t="str">
        <f>IF(Person4!$F$4+ROW(A98)-1&lt;=Person4!$G$4, Person4!$F$4+ROW(A98)-1, "")</f>
        <v/>
      </c>
      <c r="AG100" s="1" t="str">
        <f>IF(Person4!$F$5+ROW(A98)-1&lt;=Person4!$G$5, Person4!$F$5+ROW(A98)-1, "")</f>
        <v/>
      </c>
      <c r="AH100" s="1" t="str">
        <f>IF(Person3!$F$6+ROW(A98)-1&lt;=Person3!$G$6, Person3!$F$6+ROW(A98)-1, "")</f>
        <v/>
      </c>
      <c r="AI100" s="1" t="str">
        <f>IF(Person4!$F$7+ROW(A98)-1&lt;=Person4!$G$7, Person4!$F$7+ROW(A98)-1, "")</f>
        <v/>
      </c>
    </row>
    <row r="101" spans="1:35" x14ac:dyDescent="0.3">
      <c r="A101" s="1" t="str">
        <f>IF(Person4!$B$3+ROW(A99)-1&lt;=Person4!$C$3, Person4!$B$3+ROW(A99)-1, "")</f>
        <v/>
      </c>
      <c r="B101" s="1" t="str">
        <f>IF(Person4!$B$4+ROW(B99)-1&lt;=Person4!$C$4, Person4!$B$4+ROW(B99)-1, "")</f>
        <v/>
      </c>
      <c r="C101" s="1" t="str">
        <f>IF(Person4!$B$5+ROW(B99)-1&lt;=Person4!$C$5, Person4!$B$5+ROW(B99)-1, "")</f>
        <v/>
      </c>
      <c r="D101" s="1" t="str">
        <f>IF(Person4!$B$6+ROW(B99)-1&lt;=Person4!$C$6, Person4!$B$6+ROW(B99)-1, "")</f>
        <v/>
      </c>
      <c r="E101" s="1" t="str">
        <f>IF(Person4!$B$7+ROW(B99)-1&lt;=Person4!$C$7, Person4!$B$7+ROW(B99)-1, "")</f>
        <v/>
      </c>
      <c r="F101" s="1" t="str">
        <f>IF(Person4!$B$8+ROW(B99)-1&lt;=Person4!$C$8, Person4!$B$8+ROW(B99)-1, "")</f>
        <v/>
      </c>
      <c r="G101" s="1" t="str">
        <f>IF(Person4!$B$9+ROW(B99)-1&lt;=Person4!$C$9, Person4!$B$9+ROW(B99)-1, "")</f>
        <v/>
      </c>
      <c r="H101" s="1" t="str">
        <f>IF(Person4!$B$10+ROW(B99)-1&lt;=Person4!$C$10, Person4!$B$10+ROW(B99)-1, "")</f>
        <v/>
      </c>
      <c r="I101" s="1" t="str">
        <f>IF(Person4!$B$11+ROW(B99)-1&lt;=Person4!$C$11, Person4!$B$11+ROW(B99)-1, "")</f>
        <v/>
      </c>
      <c r="J101" s="1" t="str">
        <f>IF(Person4!$B$12+ROW(B99)-1&lt;=Person4!$C$12, Person4!$B$12+ROW(B99)-1, "")</f>
        <v/>
      </c>
      <c r="K101" s="1" t="str">
        <f>IF(Person4!$B$13+ROW(B99)-1&lt;=Person4!$C$13, Person4!$B$13+ROW(B99)-1, "")</f>
        <v/>
      </c>
      <c r="L101" s="1" t="str">
        <f>IF(Person4!$B$14+ROW(B99)-1&lt;=Person4!$C$14, Person4!$B$14+ROW(B99)-1, "")</f>
        <v/>
      </c>
      <c r="M101" s="1" t="str">
        <f>IF(Person4!$B$15+ROW(B99)-1&lt;=Person4!$C$15, Person4!$B$15+ROW(B99)-1, "")</f>
        <v/>
      </c>
      <c r="N101" s="1" t="str">
        <f>IF(Person4!$B$16+ROW(B99)-1&lt;=Person4!$C$16, Person4!$B$16+ROW(B99)-1, "")</f>
        <v/>
      </c>
      <c r="O101" s="1" t="str">
        <f>IF(Person4!$B$17+ROW(B99)-1&lt;=Person4!$C$17, Person4!$B$17+ROW(B99)-1, "")</f>
        <v/>
      </c>
      <c r="V101" s="1" t="str">
        <f>IF(Person4!$D$3+ROW(A99)-1&lt;=Person4!$E$3, Person4!$D$3+ROW(A99)-1, "")</f>
        <v/>
      </c>
      <c r="W101" s="1" t="str">
        <f>IF(Person4!$D$4+ROW(A99)-1&lt;=Person4!$E$4, Person4!$D$4+ROW(A99)-1, "")</f>
        <v/>
      </c>
      <c r="X101" s="1" t="str">
        <f>IF(Person4!$D$5+ROW(A99)-1&lt;=Person4!$E$5, Person4!$D$5+ROW(A99)-1, "")</f>
        <v/>
      </c>
      <c r="Y101" s="1" t="str">
        <f>IF(Person4!$D$6+ROW(A99)-1&lt;=Person4!$E$6, Person4!$D$6+ROW(A99)-1, "")</f>
        <v/>
      </c>
      <c r="Z101" s="1" t="str">
        <f>IF(Person4!$D$7+ROW(A99)-1&lt;=Person4!$E$7, Person4!$D$7+ROW(A99)-1, "")</f>
        <v/>
      </c>
      <c r="AA101" s="1" t="str">
        <f>IF(Person4!$D$8+ROW(A99)-1&lt;=Person4!$E$8, Person4!$D$8+ROW(A99)-1, "")</f>
        <v/>
      </c>
      <c r="AE101" s="1" t="str">
        <f>IF(Person4!$F$3+ROW(A99)-1&lt;=Person4!$G$3, Person4!$F$3+ROW(A99)-1, "")</f>
        <v/>
      </c>
      <c r="AF101" s="1" t="str">
        <f>IF(Person4!$F$4+ROW(A99)-1&lt;=Person4!$G$4, Person4!$F$4+ROW(A99)-1, "")</f>
        <v/>
      </c>
      <c r="AG101" s="1" t="str">
        <f>IF(Person4!$F$5+ROW(A99)-1&lt;=Person4!$G$5, Person4!$F$5+ROW(A99)-1, "")</f>
        <v/>
      </c>
      <c r="AH101" s="1" t="str">
        <f>IF(Person3!$F$6+ROW(A99)-1&lt;=Person3!$G$6, Person3!$F$6+ROW(A99)-1, "")</f>
        <v/>
      </c>
      <c r="AI101" s="1" t="str">
        <f>IF(Person3!$F$7+ROW(A99)-1&lt;=Person3!$G$7, Person3!$F$7+ROW(A99)-1, "")</f>
        <v/>
      </c>
    </row>
    <row r="102" spans="1:35" x14ac:dyDescent="0.3">
      <c r="A102" s="1" t="str">
        <f>IF(Person4!$B$3+ROW(A100)-1&lt;=Person4!$C$3, Person4!$B$3+ROW(A100)-1, "")</f>
        <v/>
      </c>
      <c r="B102" s="1" t="str">
        <f>IF(Person4!$B$4+ROW(B100)-1&lt;=Person4!$C$4, Person4!$B$4+ROW(B100)-1, "")</f>
        <v/>
      </c>
      <c r="C102" s="1" t="str">
        <f>IF(Person4!$B$5+ROW(B100)-1&lt;=Person4!$C$5, Person4!$B$5+ROW(B100)-1, "")</f>
        <v/>
      </c>
      <c r="D102" s="1" t="str">
        <f>IF(Person4!$B$6+ROW(B100)-1&lt;=Person4!$C$6, Person4!$B$6+ROW(B100)-1, "")</f>
        <v/>
      </c>
      <c r="E102" s="1" t="str">
        <f>IF(Person4!$B$7+ROW(B100)-1&lt;=Person4!$C$7, Person4!$B$7+ROW(B100)-1, "")</f>
        <v/>
      </c>
      <c r="F102" s="1" t="str">
        <f>IF(Person4!$B$8+ROW(B100)-1&lt;=Person4!$C$8, Person4!$B$8+ROW(B100)-1, "")</f>
        <v/>
      </c>
      <c r="G102" s="1" t="str">
        <f>IF(Person4!$B$9+ROW(B100)-1&lt;=Person4!$C$9, Person4!$B$9+ROW(B100)-1, "")</f>
        <v/>
      </c>
      <c r="H102" s="1" t="str">
        <f>IF(Person4!$B$10+ROW(B100)-1&lt;=Person4!$C$10, Person4!$B$10+ROW(B100)-1, "")</f>
        <v/>
      </c>
      <c r="I102" s="1" t="str">
        <f>IF(Person4!$B$11+ROW(B100)-1&lt;=Person4!$C$11, Person4!$B$11+ROW(B100)-1, "")</f>
        <v/>
      </c>
      <c r="J102" s="1" t="str">
        <f>IF(Person4!$B$12+ROW(B100)-1&lt;=Person4!$C$12, Person4!$B$12+ROW(B100)-1, "")</f>
        <v/>
      </c>
      <c r="K102" s="1" t="str">
        <f>IF(Person4!$B$13+ROW(B100)-1&lt;=Person4!$C$13, Person4!$B$13+ROW(B100)-1, "")</f>
        <v/>
      </c>
      <c r="L102" s="1" t="str">
        <f>IF(Person4!$B$14+ROW(B100)-1&lt;=Person4!$C$14, Person4!$B$14+ROW(B100)-1, "")</f>
        <v/>
      </c>
      <c r="M102" s="1" t="str">
        <f>IF(Person4!$B$15+ROW(B100)-1&lt;=Person4!$C$15, Person4!$B$15+ROW(B100)-1, "")</f>
        <v/>
      </c>
      <c r="N102" s="1" t="str">
        <f>IF(Person4!$B$16+ROW(B100)-1&lt;=Person4!$C$16, Person4!$B$16+ROW(B100)-1, "")</f>
        <v/>
      </c>
      <c r="O102" s="1" t="str">
        <f>IF(Person4!$B$17+ROW(B100)-1&lt;=Person4!$C$17, Person4!$B$17+ROW(B100)-1, "")</f>
        <v/>
      </c>
      <c r="V102" s="1" t="str">
        <f>IF(Person4!$D$3+ROW(A100)-1&lt;=Person4!$E$3, Person4!$D$3+ROW(A100)-1, "")</f>
        <v/>
      </c>
      <c r="W102" s="1" t="str">
        <f>IF(Person4!$D$4+ROW(A100)-1&lt;=Person4!$E$4, Person4!$D$4+ROW(A100)-1, "")</f>
        <v/>
      </c>
      <c r="X102" s="1" t="str">
        <f>IF(Person4!$D$5+ROW(A100)-1&lt;=Person4!$E$5, Person4!$D$5+ROW(A100)-1, "")</f>
        <v/>
      </c>
      <c r="Y102" s="1" t="str">
        <f>IF(Person4!$D$6+ROW(A100)-1&lt;=Person4!$E$6, Person4!$D$6+ROW(A100)-1, "")</f>
        <v/>
      </c>
      <c r="Z102" s="1" t="str">
        <f>IF(Person4!$D$7+ROW(A100)-1&lt;=Person4!$E$7, Person4!$D$7+ROW(A100)-1, "")</f>
        <v/>
      </c>
      <c r="AA102" s="1" t="str">
        <f>IF(Person4!$D$8+ROW(A100)-1&lt;=Person4!$E$8, Person4!$D$8+ROW(A100)-1, "")</f>
        <v/>
      </c>
      <c r="AE102" s="1" t="str">
        <f>IF(Person4!$F$3+ROW(A100)-1&lt;=Person4!$G$3, Person4!$F$3+ROW(A100)-1, "")</f>
        <v/>
      </c>
      <c r="AF102" s="1" t="str">
        <f>IF(Person4!$F$4+ROW(A100)-1&lt;=Person4!$G$4, Person4!$F$4+ROW(A100)-1, "")</f>
        <v/>
      </c>
      <c r="AG102" s="1" t="str">
        <f>IF(Person4!$F$5+ROW(A100)-1&lt;=Person4!$G$5, Person4!$F$5+ROW(A100)-1, "")</f>
        <v/>
      </c>
      <c r="AH102" s="1" t="str">
        <f>IF(Person3!$F$6+ROW(A100)-1&lt;=Person3!$G$6, Person3!$F$6+ROW(A100)-1, "")</f>
        <v/>
      </c>
      <c r="AI102" s="1" t="str">
        <f>IF(Person3!$F$7+ROW(A100)-1&lt;=Person3!$G$7, Person3!$F$7+ROW(A100)-1, "")</f>
        <v/>
      </c>
    </row>
    <row r="103" spans="1:35" x14ac:dyDescent="0.3">
      <c r="A103" s="1" t="str">
        <f>IF(Person4!$B$3+ROW(A101)-1&lt;=Person4!$C$3, Person4!$B$3+ROW(A101)-1, "")</f>
        <v/>
      </c>
      <c r="B103" s="1" t="str">
        <f>IF(Person4!$B$4+ROW(B101)-1&lt;=Person4!$C$4, Person4!$B$4+ROW(B101)-1, "")</f>
        <v/>
      </c>
      <c r="C103" s="1" t="str">
        <f>IF(Person4!$B$5+ROW(B101)-1&lt;=Person4!$C$5, Person4!$B$5+ROW(B101)-1, "")</f>
        <v/>
      </c>
      <c r="D103" s="1" t="str">
        <f>IF(Person4!$B$6+ROW(B101)-1&lt;=Person4!$C$6, Person4!$B$6+ROW(B101)-1, "")</f>
        <v/>
      </c>
      <c r="E103" s="1" t="str">
        <f>IF(Person4!$B$7+ROW(B101)-1&lt;=Person4!$C$7, Person4!$B$7+ROW(B101)-1, "")</f>
        <v/>
      </c>
      <c r="F103" s="1" t="str">
        <f>IF(Person4!$B$8+ROW(B101)-1&lt;=Person4!$C$8, Person4!$B$8+ROW(B101)-1, "")</f>
        <v/>
      </c>
      <c r="G103" s="1" t="str">
        <f>IF(Person4!$B$9+ROW(B101)-1&lt;=Person4!$C$9, Person4!$B$9+ROW(B101)-1, "")</f>
        <v/>
      </c>
      <c r="H103" s="1" t="str">
        <f>IF(Person4!$B$10+ROW(B101)-1&lt;=Person4!$C$10, Person4!$B$10+ROW(B101)-1, "")</f>
        <v/>
      </c>
      <c r="I103" s="1" t="str">
        <f>IF(Person4!$B$11+ROW(B101)-1&lt;=Person4!$C$11, Person4!$B$11+ROW(B101)-1, "")</f>
        <v/>
      </c>
      <c r="J103" s="1" t="str">
        <f>IF(Person4!$B$12+ROW(B101)-1&lt;=Person4!$C$12, Person4!$B$12+ROW(B101)-1, "")</f>
        <v/>
      </c>
      <c r="K103" s="1" t="str">
        <f>IF(Person4!$B$13+ROW(B101)-1&lt;=Person4!$C$13, Person4!$B$13+ROW(B101)-1, "")</f>
        <v/>
      </c>
      <c r="L103" s="1" t="str">
        <f>IF(Person4!$B$14+ROW(B101)-1&lt;=Person4!$C$14, Person4!$B$14+ROW(B101)-1, "")</f>
        <v/>
      </c>
      <c r="M103" s="1" t="str">
        <f>IF(Person4!$B$15+ROW(B101)-1&lt;=Person4!$C$15, Person4!$B$15+ROW(B101)-1, "")</f>
        <v/>
      </c>
      <c r="N103" s="1" t="str">
        <f>IF(Person4!$B$16+ROW(B101)-1&lt;=Person4!$C$16, Person4!$B$16+ROW(B101)-1, "")</f>
        <v/>
      </c>
      <c r="O103" s="1" t="str">
        <f>IF(Person4!$B$17+ROW(B101)-1&lt;=Person4!$C$17, Person4!$B$17+ROW(B101)-1, "")</f>
        <v/>
      </c>
      <c r="V103" s="1" t="str">
        <f>IF(Person4!$D$3+ROW(A101)-1&lt;=Person4!$E$3, Person4!$D$3+ROW(A101)-1, "")</f>
        <v/>
      </c>
      <c r="W103" s="1" t="str">
        <f>IF(Person4!$D$4+ROW(A101)-1&lt;=Person4!$E$4, Person4!$D$4+ROW(A101)-1, "")</f>
        <v/>
      </c>
      <c r="X103" s="1" t="str">
        <f>IF(Person4!$D$5+ROW(A101)-1&lt;=Person4!$E$5, Person4!$D$5+ROW(A101)-1, "")</f>
        <v/>
      </c>
      <c r="Y103" s="1" t="str">
        <f>IF(Person4!$D$6+ROW(A101)-1&lt;=Person4!$E$6, Person4!$D$6+ROW(A101)-1, "")</f>
        <v/>
      </c>
      <c r="Z103" s="1" t="str">
        <f>IF(Person4!$D$7+ROW(A101)-1&lt;=Person4!$E$7, Person4!$D$7+ROW(A101)-1, "")</f>
        <v/>
      </c>
      <c r="AA103" s="1" t="str">
        <f>IF(Person4!$D$8+ROW(A101)-1&lt;=Person4!$E$8, Person4!$D$8+ROW(A101)-1, "")</f>
        <v/>
      </c>
      <c r="AE103" s="1" t="str">
        <f>IF(Person4!$F$3+ROW(A101)-1&lt;=Person4!$G$3, Person4!$F$3+ROW(A101)-1, "")</f>
        <v/>
      </c>
    </row>
    <row r="104" spans="1:35" x14ac:dyDescent="0.3">
      <c r="A104" s="1" t="str">
        <f>IF(Person4!$B$3+ROW(A102)-1&lt;=Person4!$C$3, Person4!$B$3+ROW(A102)-1, "")</f>
        <v/>
      </c>
      <c r="B104" s="1" t="str">
        <f>IF(Person4!$B$4+ROW(B102)-1&lt;=Person4!$C$4, Person4!$B$4+ROW(B102)-1, "")</f>
        <v/>
      </c>
      <c r="C104" s="1" t="str">
        <f>IF(Person4!$B$5+ROW(B102)-1&lt;=Person4!$C$5, Person4!$B$5+ROW(B102)-1, "")</f>
        <v/>
      </c>
      <c r="D104" s="1" t="str">
        <f>IF(Person4!$B$6+ROW(B102)-1&lt;=Person4!$C$6, Person4!$B$6+ROW(B102)-1, "")</f>
        <v/>
      </c>
      <c r="E104" s="1" t="str">
        <f>IF(Person4!$B$7+ROW(B102)-1&lt;=Person4!$C$7, Person4!$B$7+ROW(B102)-1, "")</f>
        <v/>
      </c>
      <c r="F104" s="1" t="str">
        <f>IF(Person4!$B$8+ROW(B102)-1&lt;=Person4!$C$8, Person4!$B$8+ROW(B102)-1, "")</f>
        <v/>
      </c>
      <c r="G104" s="1" t="str">
        <f>IF(Person4!$B$9+ROW(B102)-1&lt;=Person4!$C$9, Person4!$B$9+ROW(B102)-1, "")</f>
        <v/>
      </c>
      <c r="H104" s="1" t="str">
        <f>IF(Person4!$B$10+ROW(B102)-1&lt;=Person4!$C$10, Person4!$B$10+ROW(B102)-1, "")</f>
        <v/>
      </c>
      <c r="I104" s="1" t="str">
        <f>IF(Person4!$B$11+ROW(B102)-1&lt;=Person4!$C$11, Person4!$B$11+ROW(B102)-1, "")</f>
        <v/>
      </c>
      <c r="J104" s="1" t="str">
        <f>IF(Person4!$B$12+ROW(B102)-1&lt;=Person4!$C$12, Person4!$B$12+ROW(B102)-1, "")</f>
        <v/>
      </c>
      <c r="K104" s="1" t="str">
        <f>IF(Person4!$B$13+ROW(B102)-1&lt;=Person4!$C$13, Person4!$B$13+ROW(B102)-1, "")</f>
        <v/>
      </c>
      <c r="L104" s="1" t="str">
        <f>IF(Person4!$B$14+ROW(B102)-1&lt;=Person4!$C$14, Person4!$B$14+ROW(B102)-1, "")</f>
        <v/>
      </c>
      <c r="M104" s="1" t="str">
        <f>IF(Person4!$B$15+ROW(B102)-1&lt;=Person4!$C$15, Person4!$B$15+ROW(B102)-1, "")</f>
        <v/>
      </c>
      <c r="N104" s="1" t="str">
        <f>IF(Person4!$B$16+ROW(B102)-1&lt;=Person4!$C$16, Person4!$B$16+ROW(B102)-1, "")</f>
        <v/>
      </c>
      <c r="O104" s="1" t="str">
        <f>IF(Person4!$B$17+ROW(B102)-1&lt;=Person4!$C$17, Person4!$B$17+ROW(B102)-1, "")</f>
        <v/>
      </c>
      <c r="AE104" s="1" t="str">
        <f>IF(Person4!$F$3+ROW(A102)-1&lt;=Person4!$G$3, Person4!$F$3+ROW(A102)-1, "")</f>
        <v/>
      </c>
    </row>
    <row r="105" spans="1:35" x14ac:dyDescent="0.3">
      <c r="A105" s="1" t="str">
        <f>IF(Person4!$B$3+ROW(A103)-1&lt;=Person4!$C$3, Person4!$B$3+ROW(A103)-1, "")</f>
        <v/>
      </c>
      <c r="B105" s="1" t="str">
        <f>IF(Person4!$B$4+ROW(B103)-1&lt;=Person4!$C$4, Person4!$B$4+ROW(B103)-1, "")</f>
        <v/>
      </c>
      <c r="C105" s="1" t="str">
        <f>IF(Person4!$B$5+ROW(B103)-1&lt;=Person4!$C$5, Person4!$B$5+ROW(B103)-1, "")</f>
        <v/>
      </c>
      <c r="D105" s="1" t="str">
        <f>IF(Person4!$B$6+ROW(B103)-1&lt;=Person4!$C$6, Person4!$B$6+ROW(B103)-1, "")</f>
        <v/>
      </c>
      <c r="E105" s="1" t="str">
        <f>IF(Person4!$B$7+ROW(B103)-1&lt;=Person4!$C$7, Person4!$B$7+ROW(B103)-1, "")</f>
        <v/>
      </c>
      <c r="F105" s="1" t="str">
        <f>IF(Person4!$B$8+ROW(B103)-1&lt;=Person4!$C$8, Person4!$B$8+ROW(B103)-1, "")</f>
        <v/>
      </c>
      <c r="G105" s="1" t="str">
        <f>IF(Person4!$B$9+ROW(B103)-1&lt;=Person4!$C$9, Person4!$B$9+ROW(B103)-1, "")</f>
        <v/>
      </c>
      <c r="H105" s="1" t="str">
        <f>IF(Person4!$B$10+ROW(B103)-1&lt;=Person4!$C$10, Person4!$B$10+ROW(B103)-1, "")</f>
        <v/>
      </c>
      <c r="I105" s="1" t="str">
        <f>IF(Person4!$B$11+ROW(B103)-1&lt;=Person4!$C$11, Person4!$B$11+ROW(B103)-1, "")</f>
        <v/>
      </c>
      <c r="J105" s="1" t="str">
        <f>IF(Person4!$B$12+ROW(B103)-1&lt;=Person4!$C$12, Person4!$B$12+ROW(B103)-1, "")</f>
        <v/>
      </c>
      <c r="K105" s="1" t="str">
        <f>IF(Person4!$B$13+ROW(B103)-1&lt;=Person4!$C$13, Person4!$B$13+ROW(B103)-1, "")</f>
        <v/>
      </c>
      <c r="L105" s="1" t="str">
        <f>IF(Person4!$B$14+ROW(B103)-1&lt;=Person4!$C$14, Person4!$B$14+ROW(B103)-1, "")</f>
        <v/>
      </c>
      <c r="M105" s="1" t="str">
        <f>IF(Person4!$B$15+ROW(B103)-1&lt;=Person4!$C$15, Person4!$B$15+ROW(B103)-1, "")</f>
        <v/>
      </c>
      <c r="N105" s="1" t="str">
        <f>IF(Person4!$B$16+ROW(B103)-1&lt;=Person4!$C$16, Person4!$B$16+ROW(B103)-1, "")</f>
        <v/>
      </c>
      <c r="O105" s="1" t="str">
        <f>IF(Person4!$B$17+ROW(B103)-1&lt;=Person4!$C$17, Person4!$B$17+ROW(B103)-1, "")</f>
        <v/>
      </c>
    </row>
    <row r="106" spans="1:35" x14ac:dyDescent="0.3">
      <c r="A106" s="1" t="str">
        <f>IF(Person4!$B$3+ROW(A104)-1&lt;=Person4!$C$3, Person4!$B$3+ROW(A104)-1, "")</f>
        <v/>
      </c>
      <c r="B106" s="1" t="str">
        <f>IF(Person4!$B$4+ROW(B104)-1&lt;=Person4!$C$4, Person4!$B$4+ROW(B104)-1, "")</f>
        <v/>
      </c>
      <c r="C106" s="1" t="str">
        <f>IF(Person4!$B$5+ROW(B104)-1&lt;=Person4!$C$5, Person4!$B$5+ROW(B104)-1, "")</f>
        <v/>
      </c>
      <c r="D106" s="1" t="str">
        <f>IF(Person4!$B$6+ROW(B104)-1&lt;=Person4!$C$6, Person4!$B$6+ROW(B104)-1, "")</f>
        <v/>
      </c>
      <c r="E106" s="1" t="str">
        <f>IF(Person4!$B$7+ROW(B104)-1&lt;=Person4!$C$7, Person4!$B$7+ROW(B104)-1, "")</f>
        <v/>
      </c>
      <c r="F106" s="1" t="str">
        <f>IF(Person4!$B$8+ROW(B104)-1&lt;=Person4!$C$8, Person4!$B$8+ROW(B104)-1, "")</f>
        <v/>
      </c>
      <c r="G106" s="1" t="str">
        <f>IF(Person4!$B$9+ROW(B104)-1&lt;=Person4!$C$9, Person4!$B$9+ROW(B104)-1, "")</f>
        <v/>
      </c>
      <c r="H106" s="1" t="str">
        <f>IF(Person4!$B$10+ROW(B104)-1&lt;=Person4!$C$10, Person4!$B$10+ROW(B104)-1, "")</f>
        <v/>
      </c>
      <c r="I106" s="1" t="str">
        <f>IF(Person4!$B$11+ROW(B104)-1&lt;=Person4!$C$11, Person4!$B$11+ROW(B104)-1, "")</f>
        <v/>
      </c>
      <c r="J106" s="1" t="str">
        <f>IF(Person4!$B$12+ROW(B104)-1&lt;=Person4!$C$12, Person4!$B$12+ROW(B104)-1, "")</f>
        <v/>
      </c>
      <c r="K106" s="1" t="str">
        <f>IF(Person4!$B$13+ROW(B104)-1&lt;=Person4!$C$13, Person4!$B$13+ROW(B104)-1, "")</f>
        <v/>
      </c>
      <c r="L106" s="1" t="str">
        <f>IF(Person4!$B$14+ROW(B104)-1&lt;=Person4!$C$14, Person4!$B$14+ROW(B104)-1, "")</f>
        <v/>
      </c>
      <c r="M106" s="1" t="str">
        <f>IF(Person4!$B$15+ROW(B104)-1&lt;=Person4!$C$15, Person4!$B$15+ROW(B104)-1, "")</f>
        <v/>
      </c>
      <c r="N106" s="1" t="str">
        <f>IF(Person4!$B$16+ROW(B104)-1&lt;=Person4!$C$16, Person4!$B$16+ROW(B104)-1, "")</f>
        <v/>
      </c>
      <c r="O106" s="1" t="str">
        <f>IF(Person4!$B$17+ROW(B104)-1&lt;=Person4!$C$17, Person4!$B$17+ROW(B104)-1, "")</f>
        <v/>
      </c>
    </row>
    <row r="107" spans="1:35" x14ac:dyDescent="0.3">
      <c r="A107" s="1" t="str">
        <f>IF(Person4!$B$3+ROW(A105)-1&lt;=Person4!$C$3, Person4!$B$3+ROW(A105)-1, "")</f>
        <v/>
      </c>
      <c r="B107" s="1" t="str">
        <f>IF(Person4!$B$4+ROW(B105)-1&lt;=Person4!$C$4, Person4!$B$4+ROW(B105)-1, "")</f>
        <v/>
      </c>
      <c r="C107" s="1" t="str">
        <f>IF(Person4!$B$5+ROW(B105)-1&lt;=Person4!$C$5, Person4!$B$5+ROW(B105)-1, "")</f>
        <v/>
      </c>
      <c r="D107" s="1" t="str">
        <f>IF(Person4!$B$6+ROW(B105)-1&lt;=Person4!$C$6, Person4!$B$6+ROW(B105)-1, "")</f>
        <v/>
      </c>
      <c r="E107" s="1" t="str">
        <f>IF(Person4!$B$7+ROW(B105)-1&lt;=Person4!$C$7, Person4!$B$7+ROW(B105)-1, "")</f>
        <v/>
      </c>
      <c r="F107" s="1" t="str">
        <f>IF(Person4!$B$8+ROW(B105)-1&lt;=Person4!$C$8, Person4!$B$8+ROW(B105)-1, "")</f>
        <v/>
      </c>
      <c r="G107" s="1" t="str">
        <f>IF(Person4!$B$9+ROW(B105)-1&lt;=Person4!$C$9, Person4!$B$9+ROW(B105)-1, "")</f>
        <v/>
      </c>
      <c r="H107" s="1" t="str">
        <f>IF(Person4!$B$10+ROW(B105)-1&lt;=Person4!$C$10, Person4!$B$10+ROW(B105)-1, "")</f>
        <v/>
      </c>
      <c r="I107" s="1" t="str">
        <f>IF(Person4!$B$11+ROW(B105)-1&lt;=Person4!$C$11, Person4!$B$11+ROW(B105)-1, "")</f>
        <v/>
      </c>
      <c r="J107" s="1" t="str">
        <f>IF(Person4!$B$12+ROW(B105)-1&lt;=Person4!$C$12, Person4!$B$12+ROW(B105)-1, "")</f>
        <v/>
      </c>
      <c r="K107" s="1" t="str">
        <f>IF(Person4!$B$13+ROW(B105)-1&lt;=Person4!$C$13, Person4!$B$13+ROW(B105)-1, "")</f>
        <v/>
      </c>
      <c r="L107" s="1" t="str">
        <f>IF(Person4!$B$14+ROW(B105)-1&lt;=Person4!$C$14, Person4!$B$14+ROW(B105)-1, "")</f>
        <v/>
      </c>
      <c r="M107" s="1" t="str">
        <f>IF(Person4!$B$15+ROW(B105)-1&lt;=Person4!$C$15, Person4!$B$15+ROW(B105)-1, "")</f>
        <v/>
      </c>
      <c r="N107" s="1" t="str">
        <f>IF(Person4!$B$16+ROW(B105)-1&lt;=Person4!$C$16, Person4!$B$16+ROW(B105)-1, "")</f>
        <v/>
      </c>
      <c r="O107" s="1" t="str">
        <f>IF(Person4!$B$17+ROW(B105)-1&lt;=Person4!$C$17, Person4!$B$17+ROW(B105)-1, "")</f>
        <v/>
      </c>
    </row>
    <row r="108" spans="1:35" x14ac:dyDescent="0.3">
      <c r="A108" s="1" t="str">
        <f>IF(Person4!$B$3+ROW(A106)-1&lt;=Person4!$C$3, Person4!$B$3+ROW(A106)-1, "")</f>
        <v/>
      </c>
      <c r="B108" s="1" t="str">
        <f>IF(Person4!$B$4+ROW(B106)-1&lt;=Person4!$C$4, Person4!$B$4+ROW(B106)-1, "")</f>
        <v/>
      </c>
      <c r="C108" s="1" t="str">
        <f>IF(Person4!$B$5+ROW(B106)-1&lt;=Person4!$C$5, Person4!$B$5+ROW(B106)-1, "")</f>
        <v/>
      </c>
      <c r="D108" s="1" t="str">
        <f>IF(Person4!$B$6+ROW(B106)-1&lt;=Person4!$C$6, Person4!$B$6+ROW(B106)-1, "")</f>
        <v/>
      </c>
      <c r="E108" s="1" t="str">
        <f>IF(Person4!$B$7+ROW(B106)-1&lt;=Person4!$C$7, Person4!$B$7+ROW(B106)-1, "")</f>
        <v/>
      </c>
      <c r="F108" s="1" t="str">
        <f>IF(Person4!$B$8+ROW(B106)-1&lt;=Person4!$C$8, Person4!$B$8+ROW(B106)-1, "")</f>
        <v/>
      </c>
      <c r="G108" s="1" t="str">
        <f>IF(Person4!$B$9+ROW(B106)-1&lt;=Person4!$C$9, Person4!$B$9+ROW(B106)-1, "")</f>
        <v/>
      </c>
      <c r="H108" s="1" t="str">
        <f>IF(Person4!$B$10+ROW(B106)-1&lt;=Person4!$C$10, Person4!$B$10+ROW(B106)-1, "")</f>
        <v/>
      </c>
      <c r="I108" s="1" t="str">
        <f>IF(Person4!$B$11+ROW(B106)-1&lt;=Person4!$C$11, Person4!$B$11+ROW(B106)-1, "")</f>
        <v/>
      </c>
      <c r="J108" s="1" t="str">
        <f>IF(Person4!$B$12+ROW(B106)-1&lt;=Person4!$C$12, Person4!$B$12+ROW(B106)-1, "")</f>
        <v/>
      </c>
      <c r="K108" s="1" t="str">
        <f>IF(Person4!$B$13+ROW(B106)-1&lt;=Person4!$C$13, Person4!$B$13+ROW(B106)-1, "")</f>
        <v/>
      </c>
      <c r="L108" s="1" t="str">
        <f>IF(Person4!$B$14+ROW(B106)-1&lt;=Person4!$C$14, Person4!$B$14+ROW(B106)-1, "")</f>
        <v/>
      </c>
      <c r="M108" s="1" t="str">
        <f>IF(Person4!$B$15+ROW(B106)-1&lt;=Person4!$C$15, Person4!$B$15+ROW(B106)-1, "")</f>
        <v/>
      </c>
      <c r="N108" s="1" t="str">
        <f>IF(Person4!$B$16+ROW(B106)-1&lt;=Person4!$C$16, Person4!$B$16+ROW(B106)-1, "")</f>
        <v/>
      </c>
      <c r="O108" s="1" t="str">
        <f>IF(Person4!$B$17+ROW(B106)-1&lt;=Person4!$C$17, Person4!$B$17+ROW(B106)-1, "")</f>
        <v/>
      </c>
    </row>
    <row r="109" spans="1:35" x14ac:dyDescent="0.3">
      <c r="A109" s="1" t="str">
        <f>IF(Person4!$B$3+ROW(A107)-1&lt;=Person4!$C$3, Person4!$B$3+ROW(A107)-1, "")</f>
        <v/>
      </c>
      <c r="B109" s="1" t="str">
        <f>IF(Person4!$B$4+ROW(B107)-1&lt;=Person4!$C$4, Person4!$B$4+ROW(B107)-1, "")</f>
        <v/>
      </c>
      <c r="C109" s="1" t="str">
        <f>IF(Person4!$B$5+ROW(B107)-1&lt;=Person4!$C$5, Person4!$B$5+ROW(B107)-1, "")</f>
        <v/>
      </c>
      <c r="D109" s="1" t="str">
        <f>IF(Person4!$B$6+ROW(B107)-1&lt;=Person4!$C$6, Person4!$B$6+ROW(B107)-1, "")</f>
        <v/>
      </c>
      <c r="E109" s="1" t="str">
        <f>IF(Person4!$B$7+ROW(B107)-1&lt;=Person4!$C$7, Person4!$B$7+ROW(B107)-1, "")</f>
        <v/>
      </c>
      <c r="F109" s="1" t="str">
        <f>IF(Person4!$B$8+ROW(B107)-1&lt;=Person4!$C$8, Person4!$B$8+ROW(B107)-1, "")</f>
        <v/>
      </c>
      <c r="G109" s="1" t="str">
        <f>IF(Person4!$B$9+ROW(B107)-1&lt;=Person4!$C$9, Person4!$B$9+ROW(B107)-1, "")</f>
        <v/>
      </c>
      <c r="H109" s="1" t="str">
        <f>IF(Person4!$B$10+ROW(B107)-1&lt;=Person4!$C$10, Person4!$B$10+ROW(B107)-1, "")</f>
        <v/>
      </c>
      <c r="I109" s="1" t="str">
        <f>IF(Person4!$B$11+ROW(B107)-1&lt;=Person4!$C$11, Person4!$B$11+ROW(B107)-1, "")</f>
        <v/>
      </c>
      <c r="J109" s="1" t="str">
        <f>IF(Person4!$B$12+ROW(B107)-1&lt;=Person4!$C$12, Person4!$B$12+ROW(B107)-1, "")</f>
        <v/>
      </c>
      <c r="K109" s="1" t="str">
        <f>IF(Person4!$B$13+ROW(B107)-1&lt;=Person4!$C$13, Person4!$B$13+ROW(B107)-1, "")</f>
        <v/>
      </c>
      <c r="L109" s="1" t="str">
        <f>IF(Person4!$B$14+ROW(B107)-1&lt;=Person4!$C$14, Person4!$B$14+ROW(B107)-1, "")</f>
        <v/>
      </c>
      <c r="M109" s="1" t="str">
        <f>IF(Person4!$B$15+ROW(B107)-1&lt;=Person4!$C$15, Person4!$B$15+ROW(B107)-1, "")</f>
        <v/>
      </c>
      <c r="N109" s="1" t="str">
        <f>IF(Person4!$B$16+ROW(B107)-1&lt;=Person4!$C$16, Person4!$B$16+ROW(B107)-1, "")</f>
        <v/>
      </c>
      <c r="O109" s="1" t="str">
        <f>IF(Person4!$B$17+ROW(B107)-1&lt;=Person4!$C$17, Person4!$B$17+ROW(B107)-1, "")</f>
        <v/>
      </c>
    </row>
    <row r="110" spans="1:35" x14ac:dyDescent="0.3">
      <c r="A110" s="1" t="str">
        <f>IF(Person4!$B$3+ROW(A108)-1&lt;=Person4!$C$3, Person4!$B$3+ROW(A108)-1, "")</f>
        <v/>
      </c>
      <c r="B110" s="1" t="str">
        <f>IF(Person4!$B$4+ROW(B108)-1&lt;=Person4!$C$4, Person4!$B$4+ROW(B108)-1, "")</f>
        <v/>
      </c>
      <c r="C110" s="1" t="str">
        <f>IF(Person4!$B$5+ROW(B108)-1&lt;=Person4!$C$5, Person4!$B$5+ROW(B108)-1, "")</f>
        <v/>
      </c>
      <c r="D110" s="1" t="str">
        <f>IF(Person4!$B$6+ROW(B108)-1&lt;=Person4!$C$6, Person4!$B$6+ROW(B108)-1, "")</f>
        <v/>
      </c>
      <c r="E110" s="1" t="str">
        <f>IF(Person4!$B$7+ROW(B108)-1&lt;=Person4!$C$7, Person4!$B$7+ROW(B108)-1, "")</f>
        <v/>
      </c>
      <c r="F110" s="1" t="str">
        <f>IF(Person4!$B$8+ROW(B108)-1&lt;=Person4!$C$8, Person4!$B$8+ROW(B108)-1, "")</f>
        <v/>
      </c>
      <c r="G110" s="1" t="str">
        <f>IF(Person4!$B$9+ROW(B108)-1&lt;=Person4!$C$9, Person4!$B$9+ROW(B108)-1, "")</f>
        <v/>
      </c>
      <c r="H110" s="1" t="str">
        <f>IF(Person4!$B$10+ROW(B108)-1&lt;=Person4!$C$10, Person4!$B$10+ROW(B108)-1, "")</f>
        <v/>
      </c>
      <c r="I110" s="1" t="str">
        <f>IF(Person4!$B$11+ROW(B108)-1&lt;=Person4!$C$11, Person4!$B$11+ROW(B108)-1, "")</f>
        <v/>
      </c>
      <c r="J110" s="1" t="str">
        <f>IF(Person4!$B$12+ROW(B108)-1&lt;=Person4!$C$12, Person4!$B$12+ROW(B108)-1, "")</f>
        <v/>
      </c>
      <c r="K110" s="1" t="str">
        <f>IF(Person4!$B$13+ROW(B108)-1&lt;=Person4!$C$13, Person4!$B$13+ROW(B108)-1, "")</f>
        <v/>
      </c>
      <c r="L110" s="1" t="str">
        <f>IF(Person4!$B$14+ROW(B108)-1&lt;=Person4!$C$14, Person4!$B$14+ROW(B108)-1, "")</f>
        <v/>
      </c>
      <c r="M110" s="1" t="str">
        <f>IF(Person4!$B$15+ROW(B108)-1&lt;=Person4!$C$15, Person4!$B$15+ROW(B108)-1, "")</f>
        <v/>
      </c>
      <c r="N110" s="1" t="str">
        <f>IF(Person4!$B$16+ROW(B108)-1&lt;=Person4!$C$16, Person4!$B$16+ROW(B108)-1, "")</f>
        <v/>
      </c>
      <c r="O110" s="1" t="str">
        <f>IF(Person4!$B$17+ROW(B108)-1&lt;=Person4!$C$17, Person4!$B$17+ROW(B108)-1, "")</f>
        <v/>
      </c>
    </row>
    <row r="111" spans="1:35" x14ac:dyDescent="0.3">
      <c r="A111" s="1" t="str">
        <f>IF(Person4!$B$3+ROW(A109)-1&lt;=Person4!$C$3, Person4!$B$3+ROW(A109)-1, "")</f>
        <v/>
      </c>
      <c r="B111" s="1" t="str">
        <f>IF(Person4!$B$4+ROW(B109)-1&lt;=Person4!$C$4, Person4!$B$4+ROW(B109)-1, "")</f>
        <v/>
      </c>
      <c r="C111" s="1" t="str">
        <f>IF(Person4!$B$5+ROW(B109)-1&lt;=Person4!$C$5, Person4!$B$5+ROW(B109)-1, "")</f>
        <v/>
      </c>
      <c r="D111" s="1" t="str">
        <f>IF(Person4!$B$6+ROW(B109)-1&lt;=Person4!$C$6, Person4!$B$6+ROW(B109)-1, "")</f>
        <v/>
      </c>
      <c r="E111" s="1" t="str">
        <f>IF(Person4!$B$7+ROW(B109)-1&lt;=Person4!$C$7, Person4!$B$7+ROW(B109)-1, "")</f>
        <v/>
      </c>
      <c r="F111" s="1" t="str">
        <f>IF(Person4!$B$8+ROW(B109)-1&lt;=Person4!$C$8, Person4!$B$8+ROW(B109)-1, "")</f>
        <v/>
      </c>
      <c r="G111" s="1" t="str">
        <f>IF(Person4!$B$9+ROW(B109)-1&lt;=Person4!$C$9, Person4!$B$9+ROW(B109)-1, "")</f>
        <v/>
      </c>
      <c r="H111" s="1" t="str">
        <f>IF(Person4!$B$10+ROW(B109)-1&lt;=Person4!$C$10, Person4!$B$10+ROW(B109)-1, "")</f>
        <v/>
      </c>
      <c r="I111" s="1" t="str">
        <f>IF(Person4!$B$11+ROW(B109)-1&lt;=Person4!$C$11, Person4!$B$11+ROW(B109)-1, "")</f>
        <v/>
      </c>
      <c r="J111" s="1" t="str">
        <f>IF(Person4!$B$12+ROW(B109)-1&lt;=Person4!$C$12, Person4!$B$12+ROW(B109)-1, "")</f>
        <v/>
      </c>
      <c r="K111" s="1" t="str">
        <f>IF(Person4!$B$13+ROW(B109)-1&lt;=Person4!$C$13, Person4!$B$13+ROW(B109)-1, "")</f>
        <v/>
      </c>
      <c r="L111" s="1" t="str">
        <f>IF(Person4!$B$14+ROW(B109)-1&lt;=Person4!$C$14, Person4!$B$14+ROW(B109)-1, "")</f>
        <v/>
      </c>
      <c r="M111" s="1" t="str">
        <f>IF(Person4!$B$15+ROW(B109)-1&lt;=Person4!$C$15, Person4!$B$15+ROW(B109)-1, "")</f>
        <v/>
      </c>
      <c r="N111" s="1" t="str">
        <f>IF(Person4!$B$16+ROW(B109)-1&lt;=Person4!$C$16, Person4!$B$16+ROW(B109)-1, "")</f>
        <v/>
      </c>
      <c r="O111" s="1" t="str">
        <f>IF(Person4!$B$17+ROW(B109)-1&lt;=Person4!$C$17, Person4!$B$17+ROW(B109)-1, "")</f>
        <v/>
      </c>
    </row>
    <row r="112" spans="1:35" x14ac:dyDescent="0.3">
      <c r="A112" s="1" t="str">
        <f>IF(Person4!$B$3+ROW(A110)-1&lt;=Person4!$C$3, Person4!$B$3+ROW(A110)-1, "")</f>
        <v/>
      </c>
      <c r="B112" s="1" t="str">
        <f>IF(Person4!$B$4+ROW(B110)-1&lt;=Person4!$C$4, Person4!$B$4+ROW(B110)-1, "")</f>
        <v/>
      </c>
      <c r="C112" s="1" t="str">
        <f>IF(Person4!$B$5+ROW(B110)-1&lt;=Person4!$C$5, Person4!$B$5+ROW(B110)-1, "")</f>
        <v/>
      </c>
      <c r="D112" s="1" t="str">
        <f>IF(Person4!$B$6+ROW(B110)-1&lt;=Person4!$C$6, Person4!$B$6+ROW(B110)-1, "")</f>
        <v/>
      </c>
      <c r="E112" s="1" t="str">
        <f>IF(Person4!$B$7+ROW(B110)-1&lt;=Person4!$C$7, Person4!$B$7+ROW(B110)-1, "")</f>
        <v/>
      </c>
      <c r="F112" s="1" t="str">
        <f>IF(Person4!$B$8+ROW(B110)-1&lt;=Person4!$C$8, Person4!$B$8+ROW(B110)-1, "")</f>
        <v/>
      </c>
      <c r="G112" s="1" t="str">
        <f>IF(Person4!$B$9+ROW(B110)-1&lt;=Person4!$C$9, Person4!$B$9+ROW(B110)-1, "")</f>
        <v/>
      </c>
      <c r="H112" s="1" t="str">
        <f>IF(Person4!$B$10+ROW(B110)-1&lt;=Person4!$C$10, Person4!$B$10+ROW(B110)-1, "")</f>
        <v/>
      </c>
      <c r="I112" s="1" t="str">
        <f>IF(Person4!$B$11+ROW(B110)-1&lt;=Person4!$C$11, Person4!$B$11+ROW(B110)-1, "")</f>
        <v/>
      </c>
      <c r="J112" s="1" t="str">
        <f>IF(Person4!$B$12+ROW(B110)-1&lt;=Person4!$C$12, Person4!$B$12+ROW(B110)-1, "")</f>
        <v/>
      </c>
      <c r="K112" s="1" t="str">
        <f>IF(Person4!$B$13+ROW(B110)-1&lt;=Person4!$C$13, Person4!$B$13+ROW(B110)-1, "")</f>
        <v/>
      </c>
      <c r="L112" s="1" t="str">
        <f>IF(Person4!$B$14+ROW(B110)-1&lt;=Person4!$C$14, Person4!$B$14+ROW(B110)-1, "")</f>
        <v/>
      </c>
      <c r="M112" s="1" t="str">
        <f>IF(Person4!$B$15+ROW(B110)-1&lt;=Person4!$C$15, Person4!$B$15+ROW(B110)-1, "")</f>
        <v/>
      </c>
      <c r="N112" s="1" t="str">
        <f>IF(Person4!$B$16+ROW(B110)-1&lt;=Person4!$C$16, Person4!$B$16+ROW(B110)-1, "")</f>
        <v/>
      </c>
      <c r="O112" s="1" t="str">
        <f>IF(Person4!$B$17+ROW(B110)-1&lt;=Person4!$C$17, Person4!$B$17+ROW(B110)-1, "")</f>
        <v/>
      </c>
    </row>
    <row r="113" spans="1:15" x14ac:dyDescent="0.3">
      <c r="A113" s="1" t="str">
        <f>IF(Person4!$B$3+ROW(A111)-1&lt;=Person4!$C$3, Person4!$B$3+ROW(A111)-1, "")</f>
        <v/>
      </c>
      <c r="B113" s="1" t="str">
        <f>IF(Person4!$B$4+ROW(B111)-1&lt;=Person4!$C$4, Person4!$B$4+ROW(B111)-1, "")</f>
        <v/>
      </c>
      <c r="C113" s="1" t="str">
        <f>IF(Person4!$B$5+ROW(B111)-1&lt;=Person4!$C$5, Person4!$B$5+ROW(B111)-1, "")</f>
        <v/>
      </c>
      <c r="D113" s="1" t="str">
        <f>IF(Person4!$B$6+ROW(B111)-1&lt;=Person4!$C$6, Person4!$B$6+ROW(B111)-1, "")</f>
        <v/>
      </c>
      <c r="E113" s="1" t="str">
        <f>IF(Person4!$B$7+ROW(B111)-1&lt;=Person4!$C$7, Person4!$B$7+ROW(B111)-1, "")</f>
        <v/>
      </c>
      <c r="F113" s="1" t="str">
        <f>IF(Person4!$B$8+ROW(B111)-1&lt;=Person4!$C$8, Person4!$B$8+ROW(B111)-1, "")</f>
        <v/>
      </c>
      <c r="G113" s="1" t="str">
        <f>IF(Person4!$B$9+ROW(B111)-1&lt;=Person4!$C$9, Person4!$B$9+ROW(B111)-1, "")</f>
        <v/>
      </c>
      <c r="H113" s="1" t="str">
        <f>IF(Person4!$B$10+ROW(B111)-1&lt;=Person4!$C$10, Person4!$B$10+ROW(B111)-1, "")</f>
        <v/>
      </c>
      <c r="I113" s="1" t="str">
        <f>IF(Person4!$B$11+ROW(B111)-1&lt;=Person4!$C$11, Person4!$B$11+ROW(B111)-1, "")</f>
        <v/>
      </c>
      <c r="J113" s="1" t="str">
        <f>IF(Person4!$B$12+ROW(B111)-1&lt;=Person4!$C$12, Person4!$B$12+ROW(B111)-1, "")</f>
        <v/>
      </c>
      <c r="K113" s="1" t="str">
        <f>IF(Person4!$B$13+ROW(B111)-1&lt;=Person4!$C$13, Person4!$B$13+ROW(B111)-1, "")</f>
        <v/>
      </c>
      <c r="L113" s="1" t="str">
        <f>IF(Person4!$B$14+ROW(B111)-1&lt;=Person4!$C$14, Person4!$B$14+ROW(B111)-1, "")</f>
        <v/>
      </c>
      <c r="M113" s="1" t="str">
        <f>IF(Person4!$B$15+ROW(B111)-1&lt;=Person4!$C$15, Person4!$B$15+ROW(B111)-1, "")</f>
        <v/>
      </c>
      <c r="N113" s="1" t="str">
        <f>IF(Person4!$B$16+ROW(B111)-1&lt;=Person4!$C$16, Person4!$B$16+ROW(B111)-1, "")</f>
        <v/>
      </c>
      <c r="O113" s="1" t="str">
        <f>IF(Person4!$B$17+ROW(B111)-1&lt;=Person4!$C$17, Person4!$B$17+ROW(B111)-1, "")</f>
        <v/>
      </c>
    </row>
    <row r="114" spans="1:15" x14ac:dyDescent="0.3">
      <c r="A114" s="1" t="str">
        <f>IF(Person4!$B$3+ROW(A112)-1&lt;=Person4!$C$3, Person4!$B$3+ROW(A112)-1, "")</f>
        <v/>
      </c>
      <c r="B114" s="1" t="str">
        <f>IF(Person4!$B$4+ROW(B112)-1&lt;=Person4!$C$4, Person4!$B$4+ROW(B112)-1, "")</f>
        <v/>
      </c>
      <c r="C114" s="1" t="str">
        <f>IF(Person4!$B$5+ROW(B112)-1&lt;=Person4!$C$5, Person4!$B$5+ROW(B112)-1, "")</f>
        <v/>
      </c>
      <c r="D114" s="1" t="str">
        <f>IF(Person4!$B$6+ROW(B112)-1&lt;=Person4!$C$6, Person4!$B$6+ROW(B112)-1, "")</f>
        <v/>
      </c>
      <c r="E114" s="1" t="str">
        <f>IF(Person4!$B$7+ROW(B112)-1&lt;=Person4!$C$7, Person4!$B$7+ROW(B112)-1, "")</f>
        <v/>
      </c>
      <c r="F114" s="1" t="str">
        <f>IF(Person4!$B$8+ROW(B112)-1&lt;=Person4!$C$8, Person4!$B$8+ROW(B112)-1, "")</f>
        <v/>
      </c>
      <c r="G114" s="1" t="str">
        <f>IF(Person4!$B$9+ROW(B112)-1&lt;=Person4!$C$9, Person4!$B$9+ROW(B112)-1, "")</f>
        <v/>
      </c>
      <c r="H114" s="1" t="str">
        <f>IF(Person4!$B$10+ROW(B112)-1&lt;=Person4!$C$10, Person4!$B$10+ROW(B112)-1, "")</f>
        <v/>
      </c>
      <c r="I114" s="1" t="str">
        <f>IF(Person4!$B$11+ROW(B112)-1&lt;=Person4!$C$11, Person4!$B$11+ROW(B112)-1, "")</f>
        <v/>
      </c>
      <c r="J114" s="1" t="str">
        <f>IF(Person4!$B$12+ROW(B112)-1&lt;=Person4!$C$12, Person4!$B$12+ROW(B112)-1, "")</f>
        <v/>
      </c>
      <c r="K114" s="1" t="str">
        <f>IF(Person4!$B$13+ROW(B112)-1&lt;=Person4!$C$13, Person4!$B$13+ROW(B112)-1, "")</f>
        <v/>
      </c>
      <c r="L114" s="1" t="str">
        <f>IF(Person4!$B$14+ROW(B112)-1&lt;=Person4!$C$14, Person4!$B$14+ROW(B112)-1, "")</f>
        <v/>
      </c>
      <c r="M114" s="1" t="str">
        <f>IF(Person4!$B$15+ROW(B112)-1&lt;=Person4!$C$15, Person4!$B$15+ROW(B112)-1, "")</f>
        <v/>
      </c>
      <c r="N114" s="1" t="str">
        <f>IF(Person4!$B$16+ROW(B112)-1&lt;=Person4!$C$16, Person4!$B$16+ROW(B112)-1, "")</f>
        <v/>
      </c>
      <c r="O114" s="1" t="str">
        <f>IF(Person4!$B$17+ROW(B112)-1&lt;=Person4!$C$17, Person4!$B$17+ROW(B112)-1, "")</f>
        <v/>
      </c>
    </row>
    <row r="115" spans="1:15" x14ac:dyDescent="0.3">
      <c r="A115" s="1" t="str">
        <f>IF(Person4!$B$3+ROW(A113)-1&lt;=Person4!$C$3, Person4!$B$3+ROW(A113)-1, "")</f>
        <v/>
      </c>
      <c r="B115" s="1" t="str">
        <f>IF(Person4!$B$4+ROW(B113)-1&lt;=Person4!$C$4, Person4!$B$4+ROW(B113)-1, "")</f>
        <v/>
      </c>
      <c r="C115" s="1" t="str">
        <f>IF(Person4!$B$5+ROW(B113)-1&lt;=Person4!$C$5, Person4!$B$5+ROW(B113)-1, "")</f>
        <v/>
      </c>
      <c r="D115" s="1" t="str">
        <f>IF(Person4!$B$6+ROW(B113)-1&lt;=Person4!$C$6, Person4!$B$6+ROW(B113)-1, "")</f>
        <v/>
      </c>
      <c r="E115" s="1" t="str">
        <f>IF(Person4!$B$7+ROW(B113)-1&lt;=Person4!$C$7, Person4!$B$7+ROW(B113)-1, "")</f>
        <v/>
      </c>
      <c r="F115" s="1" t="str">
        <f>IF(Person4!$B$8+ROW(B113)-1&lt;=Person4!$C$8, Person4!$B$8+ROW(B113)-1, "")</f>
        <v/>
      </c>
      <c r="G115" s="1" t="str">
        <f>IF(Person4!$B$9+ROW(B113)-1&lt;=Person4!$C$9, Person4!$B$9+ROW(B113)-1, "")</f>
        <v/>
      </c>
      <c r="H115" s="1" t="str">
        <f>IF(Person4!$B$10+ROW(B113)-1&lt;=Person4!$C$10, Person4!$B$10+ROW(B113)-1, "")</f>
        <v/>
      </c>
      <c r="I115" s="1" t="str">
        <f>IF(Person4!$B$11+ROW(B113)-1&lt;=Person4!$C$11, Person4!$B$11+ROW(B113)-1, "")</f>
        <v/>
      </c>
      <c r="J115" s="1" t="str">
        <f>IF(Person4!$B$12+ROW(B113)-1&lt;=Person4!$C$12, Person4!$B$12+ROW(B113)-1, "")</f>
        <v/>
      </c>
      <c r="K115" s="1" t="str">
        <f>IF(Person4!$B$13+ROW(B113)-1&lt;=Person4!$C$13, Person4!$B$13+ROW(B113)-1, "")</f>
        <v/>
      </c>
      <c r="L115" s="1" t="str">
        <f>IF(Person4!$B$14+ROW(B113)-1&lt;=Person4!$C$14, Person4!$B$14+ROW(B113)-1, "")</f>
        <v/>
      </c>
      <c r="M115" s="1" t="str">
        <f>IF(Person4!$B$15+ROW(B113)-1&lt;=Person4!$C$15, Person4!$B$15+ROW(B113)-1, "")</f>
        <v/>
      </c>
      <c r="N115" s="1" t="str">
        <f>IF(Person4!$B$16+ROW(B113)-1&lt;=Person4!$C$16, Person4!$B$16+ROW(B113)-1, "")</f>
        <v/>
      </c>
      <c r="O115" s="1" t="str">
        <f>IF(Person4!$B$17+ROW(B113)-1&lt;=Person4!$C$17, Person4!$B$17+ROW(B113)-1, "")</f>
        <v/>
      </c>
    </row>
    <row r="116" spans="1:15" x14ac:dyDescent="0.3">
      <c r="A116" s="1" t="str">
        <f>IF(Person4!$B$3+ROW(A114)-1&lt;=Person4!$C$3, Person4!$B$3+ROW(A114)-1, "")</f>
        <v/>
      </c>
      <c r="B116" s="1" t="str">
        <f>IF(Person4!$B$4+ROW(B114)-1&lt;=Person4!$C$4, Person4!$B$4+ROW(B114)-1, "")</f>
        <v/>
      </c>
      <c r="C116" s="1" t="str">
        <f>IF(Person4!$B$5+ROW(B114)-1&lt;=Person4!$C$5, Person4!$B$5+ROW(B114)-1, "")</f>
        <v/>
      </c>
      <c r="D116" s="1" t="str">
        <f>IF(Person4!$B$6+ROW(B114)-1&lt;=Person4!$C$6, Person4!$B$6+ROW(B114)-1, "")</f>
        <v/>
      </c>
      <c r="E116" s="1" t="str">
        <f>IF(Person4!$B$7+ROW(B114)-1&lt;=Person4!$C$7, Person4!$B$7+ROW(B114)-1, "")</f>
        <v/>
      </c>
      <c r="F116" s="1" t="str">
        <f>IF(Person4!$B$8+ROW(B114)-1&lt;=Person4!$C$8, Person4!$B$8+ROW(B114)-1, "")</f>
        <v/>
      </c>
      <c r="G116" s="1" t="str">
        <f>IF(Person4!$B$9+ROW(B114)-1&lt;=Person4!$C$9, Person4!$B$9+ROW(B114)-1, "")</f>
        <v/>
      </c>
      <c r="H116" s="1" t="str">
        <f>IF(Person4!$B$10+ROW(B114)-1&lt;=Person4!$C$10, Person4!$B$10+ROW(B114)-1, "")</f>
        <v/>
      </c>
      <c r="I116" s="1" t="str">
        <f>IF(Person4!$B$11+ROW(B114)-1&lt;=Person4!$C$11, Person4!$B$11+ROW(B114)-1, "")</f>
        <v/>
      </c>
      <c r="J116" s="1" t="str">
        <f>IF(Person4!$B$12+ROW(B114)-1&lt;=Person4!$C$12, Person4!$B$12+ROW(B114)-1, "")</f>
        <v/>
      </c>
      <c r="K116" s="1" t="str">
        <f>IF(Person4!$B$13+ROW(B114)-1&lt;=Person4!$C$13, Person4!$B$13+ROW(B114)-1, "")</f>
        <v/>
      </c>
      <c r="L116" s="1" t="str">
        <f>IF(Person4!$B$14+ROW(B114)-1&lt;=Person4!$C$14, Person4!$B$14+ROW(B114)-1, "")</f>
        <v/>
      </c>
      <c r="M116" s="1" t="str">
        <f>IF(Person4!$B$15+ROW(B114)-1&lt;=Person4!$C$15, Person4!$B$15+ROW(B114)-1, "")</f>
        <v/>
      </c>
      <c r="N116" s="1" t="str">
        <f>IF(Person4!$B$16+ROW(B114)-1&lt;=Person4!$C$16, Person4!$B$16+ROW(B114)-1, "")</f>
        <v/>
      </c>
      <c r="O116" s="1" t="str">
        <f>IF(Person4!$B$17+ROW(B114)-1&lt;=Person4!$C$17, Person4!$B$17+ROW(B114)-1, "")</f>
        <v/>
      </c>
    </row>
    <row r="117" spans="1:15" x14ac:dyDescent="0.3">
      <c r="A117" s="1" t="str">
        <f>IF(Person4!$B$3+ROW(A115)-1&lt;=Person4!$C$3, Person4!$B$3+ROW(A115)-1, "")</f>
        <v/>
      </c>
      <c r="B117" s="1" t="str">
        <f>IF(Person4!$B$4+ROW(B115)-1&lt;=Person4!$C$4, Person4!$B$4+ROW(B115)-1, "")</f>
        <v/>
      </c>
      <c r="C117" s="1" t="str">
        <f>IF(Person4!$B$5+ROW(B115)-1&lt;=Person4!$C$5, Person4!$B$5+ROW(B115)-1, "")</f>
        <v/>
      </c>
      <c r="D117" s="1" t="str">
        <f>IF(Person4!$B$6+ROW(B115)-1&lt;=Person4!$C$6, Person4!$B$6+ROW(B115)-1, "")</f>
        <v/>
      </c>
      <c r="E117" s="1" t="str">
        <f>IF(Person4!$B$7+ROW(B115)-1&lt;=Person4!$C$7, Person4!$B$7+ROW(B115)-1, "")</f>
        <v/>
      </c>
      <c r="F117" s="1" t="str">
        <f>IF(Person4!$B$8+ROW(B115)-1&lt;=Person4!$C$8, Person4!$B$8+ROW(B115)-1, "")</f>
        <v/>
      </c>
      <c r="G117" s="1" t="str">
        <f>IF(Person4!$B$9+ROW(B115)-1&lt;=Person4!$C$9, Person4!$B$9+ROW(B115)-1, "")</f>
        <v/>
      </c>
      <c r="H117" s="1" t="str">
        <f>IF(Person4!$B$10+ROW(B115)-1&lt;=Person4!$C$10, Person4!$B$10+ROW(B115)-1, "")</f>
        <v/>
      </c>
      <c r="I117" s="1" t="str">
        <f>IF(Person4!$B$11+ROW(B115)-1&lt;=Person4!$C$11, Person4!$B$11+ROW(B115)-1, "")</f>
        <v/>
      </c>
      <c r="J117" s="1" t="str">
        <f>IF(Person4!$B$12+ROW(B115)-1&lt;=Person4!$C$12, Person4!$B$12+ROW(B115)-1, "")</f>
        <v/>
      </c>
      <c r="K117" s="1" t="str">
        <f>IF(Person4!$B$13+ROW(B115)-1&lt;=Person4!$C$13, Person4!$B$13+ROW(B115)-1, "")</f>
        <v/>
      </c>
      <c r="L117" s="1" t="str">
        <f>IF(Person4!$B$14+ROW(B115)-1&lt;=Person4!$C$14, Person4!$B$14+ROW(B115)-1, "")</f>
        <v/>
      </c>
      <c r="M117" s="1" t="str">
        <f>IF(Person4!$B$15+ROW(B115)-1&lt;=Person4!$C$15, Person4!$B$15+ROW(B115)-1, "")</f>
        <v/>
      </c>
      <c r="N117" s="1" t="str">
        <f>IF(Person4!$B$16+ROW(B115)-1&lt;=Person4!$C$16, Person4!$B$16+ROW(B115)-1, "")</f>
        <v/>
      </c>
      <c r="O117" s="1" t="str">
        <f>IF(Person4!$B$17+ROW(B115)-1&lt;=Person4!$C$17, Person4!$B$17+ROW(B115)-1, "")</f>
        <v/>
      </c>
    </row>
    <row r="118" spans="1:15" x14ac:dyDescent="0.3">
      <c r="A118" s="1" t="str">
        <f>IF(Person4!$B$3+ROW(A116)-1&lt;=Person4!$C$3, Person4!$B$3+ROW(A116)-1, "")</f>
        <v/>
      </c>
      <c r="B118" s="1" t="str">
        <f>IF(Person4!$B$4+ROW(B116)-1&lt;=Person4!$C$4, Person4!$B$4+ROW(B116)-1, "")</f>
        <v/>
      </c>
      <c r="C118" s="1" t="str">
        <f>IF(Person4!$B$5+ROW(B116)-1&lt;=Person4!$C$5, Person4!$B$5+ROW(B116)-1, "")</f>
        <v/>
      </c>
      <c r="D118" s="1" t="str">
        <f>IF(Person4!$B$6+ROW(B116)-1&lt;=Person4!$C$6, Person4!$B$6+ROW(B116)-1, "")</f>
        <v/>
      </c>
      <c r="E118" s="1" t="str">
        <f>IF(Person4!$B$7+ROW(B116)-1&lt;=Person4!$C$7, Person4!$B$7+ROW(B116)-1, "")</f>
        <v/>
      </c>
      <c r="F118" s="1" t="str">
        <f>IF(Person4!$B$8+ROW(B116)-1&lt;=Person4!$C$8, Person4!$B$8+ROW(B116)-1, "")</f>
        <v/>
      </c>
      <c r="G118" s="1" t="str">
        <f>IF(Person4!$B$9+ROW(B116)-1&lt;=Person4!$C$9, Person4!$B$9+ROW(B116)-1, "")</f>
        <v/>
      </c>
      <c r="H118" s="1" t="str">
        <f>IF(Person4!$B$10+ROW(B116)-1&lt;=Person4!$C$10, Person4!$B$10+ROW(B116)-1, "")</f>
        <v/>
      </c>
      <c r="I118" s="1" t="str">
        <f>IF(Person4!$B$11+ROW(B116)-1&lt;=Person4!$C$11, Person4!$B$11+ROW(B116)-1, "")</f>
        <v/>
      </c>
      <c r="J118" s="1" t="str">
        <f>IF(Person4!$B$12+ROW(B116)-1&lt;=Person4!$C$12, Person4!$B$12+ROW(B116)-1, "")</f>
        <v/>
      </c>
      <c r="K118" s="1" t="str">
        <f>IF(Person4!$B$13+ROW(B116)-1&lt;=Person4!$C$13, Person4!$B$13+ROW(B116)-1, "")</f>
        <v/>
      </c>
      <c r="L118" s="1" t="str">
        <f>IF(Person4!$B$14+ROW(B116)-1&lt;=Person4!$C$14, Person4!$B$14+ROW(B116)-1, "")</f>
        <v/>
      </c>
      <c r="M118" s="1" t="str">
        <f>IF(Person4!$B$15+ROW(B116)-1&lt;=Person4!$C$15, Person4!$B$15+ROW(B116)-1, "")</f>
        <v/>
      </c>
      <c r="N118" s="1" t="str">
        <f>IF(Person4!$B$16+ROW(B116)-1&lt;=Person4!$C$16, Person4!$B$16+ROW(B116)-1, "")</f>
        <v/>
      </c>
      <c r="O118" s="1" t="str">
        <f>IF(Person4!$B$17+ROW(B116)-1&lt;=Person4!$C$17, Person4!$B$17+ROW(B116)-1, "")</f>
        <v/>
      </c>
    </row>
    <row r="119" spans="1:15" x14ac:dyDescent="0.3">
      <c r="A119" s="1" t="str">
        <f>IF(Person4!$B$3+ROW(A117)-1&lt;=Person4!$C$3, Person4!$B$3+ROW(A117)-1, "")</f>
        <v/>
      </c>
      <c r="B119" s="1" t="str">
        <f>IF(Person4!$B$4+ROW(B117)-1&lt;=Person4!$C$4, Person4!$B$4+ROW(B117)-1, "")</f>
        <v/>
      </c>
      <c r="C119" s="1" t="str">
        <f>IF(Person4!$B$5+ROW(B117)-1&lt;=Person4!$C$5, Person4!$B$5+ROW(B117)-1, "")</f>
        <v/>
      </c>
      <c r="D119" s="1" t="str">
        <f>IF(Person4!$B$6+ROW(B117)-1&lt;=Person4!$C$6, Person4!$B$6+ROW(B117)-1, "")</f>
        <v/>
      </c>
      <c r="E119" s="1" t="str">
        <f>IF(Person4!$B$7+ROW(B117)-1&lt;=Person4!$C$7, Person4!$B$7+ROW(B117)-1, "")</f>
        <v/>
      </c>
      <c r="F119" s="1" t="str">
        <f>IF(Person4!$B$8+ROW(B117)-1&lt;=Person4!$C$8, Person4!$B$8+ROW(B117)-1, "")</f>
        <v/>
      </c>
      <c r="G119" s="1" t="str">
        <f>IF(Person4!$B$9+ROW(B117)-1&lt;=Person4!$C$9, Person4!$B$9+ROW(B117)-1, "")</f>
        <v/>
      </c>
      <c r="H119" s="1" t="str">
        <f>IF(Person4!$B$10+ROW(B117)-1&lt;=Person4!$C$10, Person4!$B$10+ROW(B117)-1, "")</f>
        <v/>
      </c>
      <c r="I119" s="1" t="str">
        <f>IF(Person4!$B$11+ROW(B117)-1&lt;=Person4!$C$11, Person4!$B$11+ROW(B117)-1, "")</f>
        <v/>
      </c>
      <c r="J119" s="1" t="str">
        <f>IF(Person4!$B$12+ROW(B117)-1&lt;=Person4!$C$12, Person4!$B$12+ROW(B117)-1, "")</f>
        <v/>
      </c>
      <c r="K119" s="1" t="str">
        <f>IF(Person4!$B$13+ROW(B117)-1&lt;=Person4!$C$13, Person4!$B$13+ROW(B117)-1, "")</f>
        <v/>
      </c>
      <c r="L119" s="1" t="str">
        <f>IF(Person4!$B$14+ROW(B117)-1&lt;=Person4!$C$14, Person4!$B$14+ROW(B117)-1, "")</f>
        <v/>
      </c>
      <c r="M119" s="1" t="str">
        <f>IF(Person4!$B$15+ROW(B117)-1&lt;=Person4!$C$15, Person4!$B$15+ROW(B117)-1, "")</f>
        <v/>
      </c>
      <c r="N119" s="1" t="str">
        <f>IF(Person4!$B$16+ROW(B117)-1&lt;=Person4!$C$16, Person4!$B$16+ROW(B117)-1, "")</f>
        <v/>
      </c>
      <c r="O119" s="1" t="str">
        <f>IF(Person4!$B$17+ROW(B117)-1&lt;=Person4!$C$17, Person4!$B$17+ROW(B117)-1, "")</f>
        <v/>
      </c>
    </row>
    <row r="120" spans="1:15" x14ac:dyDescent="0.3">
      <c r="A120" s="1" t="str">
        <f>IF(Person4!$B$3+ROW(A118)-1&lt;=Person4!$C$3, Person4!$B$3+ROW(A118)-1, "")</f>
        <v/>
      </c>
      <c r="B120" s="1" t="str">
        <f>IF(Person4!$B$4+ROW(B118)-1&lt;=Person4!$C$4, Person4!$B$4+ROW(B118)-1, "")</f>
        <v/>
      </c>
      <c r="C120" s="1" t="str">
        <f>IF(Person4!$B$5+ROW(B118)-1&lt;=Person4!$C$5, Person4!$B$5+ROW(B118)-1, "")</f>
        <v/>
      </c>
      <c r="D120" s="1" t="str">
        <f>IF(Person4!$B$6+ROW(B118)-1&lt;=Person4!$C$6, Person4!$B$6+ROW(B118)-1, "")</f>
        <v/>
      </c>
      <c r="E120" s="1" t="str">
        <f>IF(Person4!$B$7+ROW(B118)-1&lt;=Person4!$C$7, Person4!$B$7+ROW(B118)-1, "")</f>
        <v/>
      </c>
      <c r="F120" s="1" t="str">
        <f>IF(Person4!$B$8+ROW(B118)-1&lt;=Person4!$C$8, Person4!$B$8+ROW(B118)-1, "")</f>
        <v/>
      </c>
      <c r="G120" s="1" t="str">
        <f>IF(Person4!$B$9+ROW(B118)-1&lt;=Person4!$C$9, Person4!$B$9+ROW(B118)-1, "")</f>
        <v/>
      </c>
      <c r="H120" s="1" t="str">
        <f>IF(Person4!$B$10+ROW(B118)-1&lt;=Person4!$C$10, Person4!$B$10+ROW(B118)-1, "")</f>
        <v/>
      </c>
      <c r="I120" s="1" t="str">
        <f>IF(Person4!$B$11+ROW(B118)-1&lt;=Person4!$C$11, Person4!$B$11+ROW(B118)-1, "")</f>
        <v/>
      </c>
      <c r="J120" s="1" t="str">
        <f>IF(Person4!$B$12+ROW(B118)-1&lt;=Person4!$C$12, Person4!$B$12+ROW(B118)-1, "")</f>
        <v/>
      </c>
      <c r="K120" s="1" t="str">
        <f>IF(Person4!$B$13+ROW(B118)-1&lt;=Person4!$C$13, Person4!$B$13+ROW(B118)-1, "")</f>
        <v/>
      </c>
      <c r="L120" s="1" t="str">
        <f>IF(Person4!$B$14+ROW(B118)-1&lt;=Person4!$C$14, Person4!$B$14+ROW(B118)-1, "")</f>
        <v/>
      </c>
      <c r="M120" s="1" t="str">
        <f>IF(Person4!$B$15+ROW(B118)-1&lt;=Person4!$C$15, Person4!$B$15+ROW(B118)-1, "")</f>
        <v/>
      </c>
      <c r="N120" s="1" t="str">
        <f>IF(Person4!$B$16+ROW(B118)-1&lt;=Person4!$C$16, Person4!$B$16+ROW(B118)-1, "")</f>
        <v/>
      </c>
      <c r="O120" s="1" t="str">
        <f>IF(Person4!$B$17+ROW(B118)-1&lt;=Person4!$C$17, Person4!$B$17+ROW(B118)-1, "")</f>
        <v/>
      </c>
    </row>
    <row r="121" spans="1:15" x14ac:dyDescent="0.3">
      <c r="A121" s="1" t="str">
        <f>IF(Person4!$B$3+ROW(A119)-1&lt;=Person4!$C$3, Person4!$B$3+ROW(A119)-1, "")</f>
        <v/>
      </c>
      <c r="B121" s="1" t="str">
        <f>IF(Person4!$B$4+ROW(B119)-1&lt;=Person4!$C$4, Person4!$B$4+ROW(B119)-1, "")</f>
        <v/>
      </c>
      <c r="C121" s="1" t="str">
        <f>IF(Person4!$B$5+ROW(B119)-1&lt;=Person4!$C$5, Person4!$B$5+ROW(B119)-1, "")</f>
        <v/>
      </c>
      <c r="D121" s="1" t="str">
        <f>IF(Person4!$B$6+ROW(B119)-1&lt;=Person4!$C$6, Person4!$B$6+ROW(B119)-1, "")</f>
        <v/>
      </c>
      <c r="E121" s="1" t="str">
        <f>IF(Person4!$B$7+ROW(B119)-1&lt;=Person4!$C$7, Person4!$B$7+ROW(B119)-1, "")</f>
        <v/>
      </c>
      <c r="F121" s="1" t="str">
        <f>IF(Person4!$B$8+ROW(B119)-1&lt;=Person4!$C$8, Person4!$B$8+ROW(B119)-1, "")</f>
        <v/>
      </c>
      <c r="G121" s="1" t="str">
        <f>IF(Person4!$B$9+ROW(B119)-1&lt;=Person4!$C$9, Person4!$B$9+ROW(B119)-1, "")</f>
        <v/>
      </c>
      <c r="H121" s="1" t="str">
        <f>IF(Person4!$B$10+ROW(B119)-1&lt;=Person4!$C$10, Person4!$B$10+ROW(B119)-1, "")</f>
        <v/>
      </c>
      <c r="I121" s="1" t="str">
        <f>IF(Person4!$B$11+ROW(B119)-1&lt;=Person4!$C$11, Person4!$B$11+ROW(B119)-1, "")</f>
        <v/>
      </c>
      <c r="J121" s="1" t="str">
        <f>IF(Person4!$B$12+ROW(B119)-1&lt;=Person4!$C$12, Person4!$B$12+ROW(B119)-1, "")</f>
        <v/>
      </c>
      <c r="K121" s="1" t="str">
        <f>IF(Person4!$B$13+ROW(B119)-1&lt;=Person4!$C$13, Person4!$B$13+ROW(B119)-1, "")</f>
        <v/>
      </c>
      <c r="L121" s="1" t="str">
        <f>IF(Person4!$B$14+ROW(B119)-1&lt;=Person4!$C$14, Person4!$B$14+ROW(B119)-1, "")</f>
        <v/>
      </c>
      <c r="M121" s="1" t="str">
        <f>IF(Person4!$B$15+ROW(B119)-1&lt;=Person4!$C$15, Person4!$B$15+ROW(B119)-1, "")</f>
        <v/>
      </c>
      <c r="N121" s="1" t="str">
        <f>IF(Person4!$B$16+ROW(B119)-1&lt;=Person4!$C$16, Person4!$B$16+ROW(B119)-1, "")</f>
        <v/>
      </c>
      <c r="O121" s="1" t="str">
        <f>IF(Person4!$B$17+ROW(B119)-1&lt;=Person4!$C$17, Person4!$B$17+ROW(B119)-1, "")</f>
        <v/>
      </c>
    </row>
    <row r="122" spans="1:15" x14ac:dyDescent="0.3">
      <c r="A122" s="1" t="str">
        <f>IF(Person4!$B$3+ROW(A120)-1&lt;=Person4!$C$3, Person4!$B$3+ROW(A120)-1, "")</f>
        <v/>
      </c>
      <c r="B122" s="1" t="str">
        <f>IF(Person4!$B$4+ROW(B120)-1&lt;=Person4!$C$4, Person4!$B$4+ROW(B120)-1, "")</f>
        <v/>
      </c>
      <c r="C122" s="1" t="str">
        <f>IF(Person4!$B$5+ROW(B120)-1&lt;=Person4!$C$5, Person4!$B$5+ROW(B120)-1, "")</f>
        <v/>
      </c>
      <c r="D122" s="1" t="str">
        <f>IF(Person4!$B$6+ROW(B120)-1&lt;=Person4!$C$6, Person4!$B$6+ROW(B120)-1, "")</f>
        <v/>
      </c>
      <c r="E122" s="1" t="str">
        <f>IF(Person4!$B$7+ROW(B120)-1&lt;=Person4!$C$7, Person4!$B$7+ROW(B120)-1, "")</f>
        <v/>
      </c>
      <c r="F122" s="1" t="str">
        <f>IF(Person4!$B$8+ROW(B120)-1&lt;=Person4!$C$8, Person4!$B$8+ROW(B120)-1, "")</f>
        <v/>
      </c>
      <c r="G122" s="1" t="str">
        <f>IF(Person4!$B$9+ROW(B120)-1&lt;=Person4!$C$9, Person4!$B$9+ROW(B120)-1, "")</f>
        <v/>
      </c>
      <c r="H122" s="1" t="str">
        <f>IF(Person4!$B$10+ROW(B120)-1&lt;=Person4!$C$10, Person4!$B$10+ROW(B120)-1, "")</f>
        <v/>
      </c>
      <c r="I122" s="1" t="str">
        <f>IF(Person4!$B$11+ROW(B120)-1&lt;=Person4!$C$11, Person4!$B$11+ROW(B120)-1, "")</f>
        <v/>
      </c>
      <c r="J122" s="1" t="str">
        <f>IF(Person4!$B$12+ROW(B120)-1&lt;=Person4!$C$12, Person4!$B$12+ROW(B120)-1, "")</f>
        <v/>
      </c>
      <c r="K122" s="1" t="str">
        <f>IF(Person4!$B$13+ROW(B120)-1&lt;=Person4!$C$13, Person4!$B$13+ROW(B120)-1, "")</f>
        <v/>
      </c>
      <c r="L122" s="1" t="str">
        <f>IF(Person4!$B$14+ROW(B120)-1&lt;=Person4!$C$14, Person4!$B$14+ROW(B120)-1, "")</f>
        <v/>
      </c>
      <c r="M122" s="1" t="str">
        <f>IF(Person4!$B$15+ROW(B120)-1&lt;=Person4!$C$15, Person4!$B$15+ROW(B120)-1, "")</f>
        <v/>
      </c>
      <c r="N122" s="1" t="str">
        <f>IF(Person4!$B$16+ROW(B120)-1&lt;=Person4!$C$16, Person4!$B$16+ROW(B120)-1, "")</f>
        <v/>
      </c>
      <c r="O122" s="1" t="str">
        <f>IF(Person4!$B$17+ROW(B120)-1&lt;=Person4!$C$17, Person4!$B$17+ROW(B120)-1, "")</f>
        <v/>
      </c>
    </row>
    <row r="123" spans="1:15" x14ac:dyDescent="0.3">
      <c r="B123" s="1" t="str">
        <f>IF(Person4!$B$4+ROW(B121)-1&lt;=Person4!$C$4, Person4!$B$4+ROW(B121)-1, "")</f>
        <v/>
      </c>
      <c r="D123" s="1" t="str">
        <f>IF(Person4!$B$6+ROW(B121)-1&lt;=Person4!$C$6, Person4!$B$6+ROW(B121)-1, "")</f>
        <v/>
      </c>
      <c r="H123" s="1" t="str">
        <f>IF(Person3!$B$10+ROW(B121)-1&lt;=Person3!$C$10, Person3!$B$10+ROW(B121)-1, "")</f>
        <v/>
      </c>
      <c r="J123" s="1" t="str">
        <f>IF(Person3!$B$12+ROW(B121)-1&lt;=Person3!$C$12, Person3!$B$12+ROW(B121)-1, "")</f>
        <v/>
      </c>
      <c r="O123" s="1" t="str">
        <f>IF(Person4!$B$17+ROW(B121)-1&lt;=Person4!$C$17, Person4!$B$17+ROW(B121)-1, "")</f>
        <v/>
      </c>
    </row>
    <row r="124" spans="1:15" x14ac:dyDescent="0.3">
      <c r="B124" s="1" t="str">
        <f>IF(Person4!$B$4+ROW(B122)-1&lt;=Person4!$C$4, Person4!$B$4+ROW(B122)-1, "")</f>
        <v/>
      </c>
      <c r="D124" s="1" t="str">
        <f>IF(Person4!$B$6+ROW(B122)-1&lt;=Person4!$C$6, Person4!$B$6+ROW(B122)-1, "")</f>
        <v/>
      </c>
      <c r="H124" s="1" t="str">
        <f>IF(Person3!$B$10+ROW(B122)-1&lt;=Person3!$C$10, Person3!$B$10+ROW(B122)-1, "")</f>
        <v/>
      </c>
      <c r="J124" s="1" t="str">
        <f>IF(Person3!$B$12+ROW(B122)-1&lt;=Person3!$C$12, Person3!$B$12+ROW(B122)-1, "")</f>
        <v/>
      </c>
      <c r="O124" s="1" t="str">
        <f>IF(Person4!$B$17+ROW(B122)-1&lt;=Person4!$C$17, Person4!$B$17+ROW(B122)-1, "")</f>
        <v/>
      </c>
    </row>
    <row r="125" spans="1:15" x14ac:dyDescent="0.3">
      <c r="H125" s="1" t="str">
        <f>IF(Person3!$B$10+ROW(B123)-1&lt;=Person3!$C$10, Person3!$B$10+ROW(B123)-1, "")</f>
        <v/>
      </c>
    </row>
    <row r="126" spans="1:15" x14ac:dyDescent="0.3">
      <c r="H126" s="1" t="str">
        <f>IF(Person3!$B$10+ROW(B124)-1&lt;=Person3!$C$10, Person3!$B$10+ROW(B124)-1, "")</f>
        <v/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E980-798B-413C-907C-92BE4609732C}">
  <sheetPr codeName="Tabelle8"/>
  <dimension ref="A1:AI126"/>
  <sheetViews>
    <sheetView topLeftCell="S1" workbookViewId="0">
      <selection activeCell="Y26" sqref="Y26"/>
    </sheetView>
  </sheetViews>
  <sheetFormatPr baseColWidth="10" defaultRowHeight="14.4" x14ac:dyDescent="0.3"/>
  <cols>
    <col min="1" max="1" width="11.5546875" customWidth="1"/>
  </cols>
  <sheetData>
    <row r="1" spans="1:35" x14ac:dyDescent="0.3">
      <c r="A1" t="s">
        <v>4</v>
      </c>
      <c r="B1" t="str">
        <f>Person3!B1</f>
        <v>Urlaub</v>
      </c>
      <c r="V1" t="s">
        <v>7</v>
      </c>
      <c r="AE1" t="s">
        <v>8</v>
      </c>
    </row>
    <row r="2" spans="1:35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V2">
        <v>1</v>
      </c>
      <c r="W2">
        <v>2</v>
      </c>
      <c r="X2">
        <v>3</v>
      </c>
      <c r="Y2">
        <v>4</v>
      </c>
      <c r="Z2">
        <v>5</v>
      </c>
      <c r="AA2">
        <v>6</v>
      </c>
      <c r="AE2">
        <v>1</v>
      </c>
      <c r="AF2">
        <v>2</v>
      </c>
      <c r="AG2">
        <v>3</v>
      </c>
      <c r="AH2">
        <v>4</v>
      </c>
      <c r="AI2">
        <v>5</v>
      </c>
    </row>
    <row r="3" spans="1:35" x14ac:dyDescent="0.3">
      <c r="A3" s="1">
        <f>IF(Person3!$B$3+ROW(A1)-1&lt;=Person3!$C$3, Person3!$B$3+ROW(A1)-1, "")</f>
        <v>0</v>
      </c>
      <c r="B3" s="1">
        <f>IF(Person3!$B$4+ROW(B1)-1&lt;=Person3!$C$4, Person3!$B$4+ROW(B1)-1, "")</f>
        <v>0</v>
      </c>
      <c r="C3" s="1">
        <f>IF(Person3!$B$5+ROW(B1)-1&lt;=Person3!$C$5, Person3!$B$5+ROW(B1)-1, "")</f>
        <v>0</v>
      </c>
      <c r="D3" s="1">
        <f>IF(Person3!$B$6+ROW(B1)-1&lt;=Person3!$C$6, Person3!$B$6+ROW(B1)-1, "")</f>
        <v>0</v>
      </c>
      <c r="E3" s="1">
        <f>IF(Person3!$B$7+ROW(B1)-1&lt;=Person3!$C$7, Person3!$B$7+ROW(B1)-1, "")</f>
        <v>0</v>
      </c>
      <c r="F3" s="1">
        <f>IF(Person3!$B$8+ROW(B1)-1&lt;=Person3!$C$8, Person3!$B$8+ROW(B1)-1, "")</f>
        <v>0</v>
      </c>
      <c r="G3" s="1">
        <f>IF(Person3!$B$9+ROW(B1)-1&lt;=Person3!$C$9, Person3!$B$9+ROW(B1)-1, "")</f>
        <v>0</v>
      </c>
      <c r="H3" s="1">
        <f>IF(Person3!$B$10+ROW(B1)-1&lt;=Person3!$C$10, Person3!$B$10+ROW(B1)-1, "")</f>
        <v>0</v>
      </c>
      <c r="I3" s="1">
        <f>IF(Person3!$B$11+ROW(B1)-1&lt;=Person3!$C$11, Person3!$B$11+ROW(B1)-1, "")</f>
        <v>0</v>
      </c>
      <c r="J3" s="1">
        <f>IF(Person3!$B$12+ROW(B1)-1&lt;=Person3!$C$12, Person3!$B$12+ROW(B1)-1, "")</f>
        <v>0</v>
      </c>
      <c r="K3" s="1">
        <f>IF(Person3!$B$13+ROW(B1)-1&lt;=Person3!$C$13, Person3!$B$13+ROW(B1)-1, "")</f>
        <v>0</v>
      </c>
      <c r="L3" s="1">
        <f>IF(Person3!$B$14+ROW(B1)-1&lt;=Person3!$C$14, Person3!$B$14+ROW(B1)-1, "")</f>
        <v>0</v>
      </c>
      <c r="M3" s="1">
        <f>IF(Person3!$B$15+ROW(B1)-1&lt;=Person3!$C$15, Person3!$B$15+ROW(B1)-1, "")</f>
        <v>0</v>
      </c>
      <c r="N3" s="1">
        <f>IF(Person3!$B$16+ROW(B1)-1&lt;=Person3!$C$16, Person3!$B$16+ROW(B1)-1, "")</f>
        <v>0</v>
      </c>
      <c r="O3" s="1">
        <f>IF(Person3!$B$17+ROW(B1)-1&lt;=Person3!$C$17, Person3!$B$17+ROW(B1)-1, "")</f>
        <v>0</v>
      </c>
      <c r="V3" s="1">
        <f>IF(Person3!$D$3+ROW(A1)-1&lt;=Person3!$E$3, Person3!$D$3+ROW(A1)-1, "")</f>
        <v>0</v>
      </c>
      <c r="W3" s="1">
        <f>IF(Person3!$D$4+ROW(A1)-1&lt;=Person3!$E$4, Person3!$D$4+ROW(A1)-1, "")</f>
        <v>0</v>
      </c>
      <c r="X3" s="1">
        <f>IF(Person3!$D$5+ROW(A1)-1&lt;=Person3!$E$5, Person3!$D$5+ROW(A1)-1, "")</f>
        <v>0</v>
      </c>
      <c r="Y3" s="1">
        <f>IF(Person3!$D$6+ROW(A1)-1&lt;=Person3!$E$6, Person3!$D$6+ROW(A1)-1, "")</f>
        <v>0</v>
      </c>
      <c r="Z3" s="1">
        <f>IF(Person3!$D$7+ROW(A1)-1&lt;=Person3!$E$7, Person3!$D$7+ROW(A1)-1, "")</f>
        <v>0</v>
      </c>
      <c r="AA3" s="1">
        <f>IF(Person3!$D$8+ROW(A1)-1&lt;=Person3!$E$8, Person3!$D$8+ROW(A1)-1, "")</f>
        <v>0</v>
      </c>
      <c r="AE3" s="1">
        <f>IF(Person3!$F$3+ROW(A1)-1&lt;=Person3!$G$3, Person3!$F$3+ROW(A1)-1, "")</f>
        <v>0</v>
      </c>
      <c r="AF3" s="1">
        <f>IF(Person3!$F$4+ROW(A1)-1&lt;=Person3!$G$4, Person3!$F$4+ROW(A1)-1, "")</f>
        <v>0</v>
      </c>
      <c r="AG3" s="1">
        <f>IF(Person3!$F$5+ROW(A1)-1&lt;=Person3!$G$5, Person3!$F$5+ROW(A1)-1, "")</f>
        <v>0</v>
      </c>
      <c r="AH3" s="1">
        <f>IF(Person3!$F$6+ROW(A1)-1&lt;=Person3!$G$6, Person3!$F$6+ROW(A1)-1, "")</f>
        <v>0</v>
      </c>
      <c r="AI3" s="1">
        <f>IF(Person3!$F$7+ROW(A1)-1&lt;=Person3!$G$7, Person3!$F$7+ROW(A1)-1, "")</f>
        <v>0</v>
      </c>
    </row>
    <row r="4" spans="1:35" x14ac:dyDescent="0.3">
      <c r="A4" s="1" t="str">
        <f>IF(Person3!$B$3+ROW(A2)-1&lt;=Person3!$C$3, Person3!$B$3+ROW(A2)-1, "")</f>
        <v/>
      </c>
      <c r="B4" s="1" t="str">
        <f>IF(Person3!$B$4+ROW(B2)-1&lt;=Person3!$C$4, Person3!$B$4+ROW(B2)-1, "")</f>
        <v/>
      </c>
      <c r="C4" s="1" t="str">
        <f>IF(Person3!$B$5+ROW(B2)-1&lt;=Person3!$C$5, Person3!$B$5+ROW(B2)-1, "")</f>
        <v/>
      </c>
      <c r="D4" s="1" t="str">
        <f>IF(Person3!$B$6+ROW(B2)-1&lt;=Person3!$C$6, Person3!$B$6+ROW(B2)-1, "")</f>
        <v/>
      </c>
      <c r="E4" s="1" t="str">
        <f>IF(Person3!$B$7+ROW(B2)-1&lt;=Person3!$C$7, Person3!$B$7+ROW(B2)-1, "")</f>
        <v/>
      </c>
      <c r="F4" s="1" t="str">
        <f>IF(Person3!$B$8+ROW(B2)-1&lt;=Person3!$C$8, Person3!$B$8+ROW(B2)-1, "")</f>
        <v/>
      </c>
      <c r="G4" s="1" t="str">
        <f>IF(Person3!$B$9+ROW(B2)-1&lt;=Person3!$C$9, Person3!$B$9+ROW(B2)-1, "")</f>
        <v/>
      </c>
      <c r="H4" s="1" t="str">
        <f>IF(Person3!$B$10+ROW(B2)-1&lt;=Person3!$C$10, Person3!$B$10+ROW(B2)-1, "")</f>
        <v/>
      </c>
      <c r="I4" s="1" t="str">
        <f>IF(Person3!$B$11+ROW(B2)-1&lt;=Person3!$C$11, Person3!$B$11+ROW(B2)-1, "")</f>
        <v/>
      </c>
      <c r="J4" s="1" t="str">
        <f>IF(Person3!$B$12+ROW(B2)-1&lt;=Person3!$C$12, Person3!$B$12+ROW(B2)-1, "")</f>
        <v/>
      </c>
      <c r="K4" s="1" t="str">
        <f>IF(Person3!$B$13+ROW(B2)-1&lt;=Person3!$C$13, Person3!$B$13+ROW(B2)-1, "")</f>
        <v/>
      </c>
      <c r="L4" s="1" t="str">
        <f>IF(Person3!$B$14+ROW(B2)-1&lt;=Person3!$C$14, Person3!$B$14+ROW(B2)-1, "")</f>
        <v/>
      </c>
      <c r="M4" s="1" t="str">
        <f>IF(Person3!$B$15+ROW(B2)-1&lt;=Person3!$C$15, Person3!$B$15+ROW(B2)-1, "")</f>
        <v/>
      </c>
      <c r="N4" s="1" t="str">
        <f>IF(Person3!$B$16+ROW(B2)-1&lt;=Person3!$C$16, Person3!$B$16+ROW(B2)-1, "")</f>
        <v/>
      </c>
      <c r="O4" s="1" t="str">
        <f>IF(Person3!$B$17+ROW(B2)-1&lt;=Person3!$C$17, Person3!$B$17+ROW(B2)-1, "")</f>
        <v/>
      </c>
      <c r="V4" s="1" t="str">
        <f>IF(Person3!$D$3+ROW(A2)-1&lt;=Person3!$E$3, Person3!$D$3+ROW(A2)-1, "")</f>
        <v/>
      </c>
      <c r="W4" s="1" t="str">
        <f>IF(Person3!$D$4+ROW(A2)-1&lt;=Person3!$E$4, Person3!$D$4+ROW(A2)-1, "")</f>
        <v/>
      </c>
      <c r="X4" s="1" t="str">
        <f>IF(Person3!$D$5+ROW(A2)-1&lt;=Person3!$E$5, Person3!$D$5+ROW(A2)-1, "")</f>
        <v/>
      </c>
      <c r="Y4" s="1" t="str">
        <f>IF(Person3!$D$6+ROW(A2)-1&lt;=Person3!$E$6, Person3!$D$6+ROW(A2)-1, "")</f>
        <v/>
      </c>
      <c r="Z4" s="1" t="str">
        <f>IF(Person3!$D$7+ROW(A2)-1&lt;=Person3!$E$7, Person3!$D$7+ROW(A2)-1, "")</f>
        <v/>
      </c>
      <c r="AA4" s="1" t="str">
        <f>IF(Person3!$D$8+ROW(A2)-1&lt;=Person3!$E$8, Person3!$D$8+ROW(A2)-1, "")</f>
        <v/>
      </c>
      <c r="AE4" s="1" t="str">
        <f>IF(Person3!$F$3+ROW(A2)-1&lt;=Person3!$G$3, Person3!$F$3+ROW(A2)-1, "")</f>
        <v/>
      </c>
      <c r="AF4" s="1" t="str">
        <f>IF(Person3!$F$4+ROW(A2)-1&lt;=Person3!$G$4, Person3!$F$4+ROW(A2)-1, "")</f>
        <v/>
      </c>
      <c r="AG4" s="1" t="str">
        <f>IF(Person3!$F$5+ROW(A2)-1&lt;=Person3!$G$5, Person3!$F$5+ROW(A2)-1, "")</f>
        <v/>
      </c>
      <c r="AH4" s="1" t="str">
        <f>IF(Person3!$F$6+ROW(A2)-1&lt;=Person3!$G$6, Person3!$F$6+ROW(A2)-1, "")</f>
        <v/>
      </c>
      <c r="AI4" s="1" t="str">
        <f>IF(Person3!$F$7+ROW(A2)-1&lt;=Person3!$G$7, Person3!$F$7+ROW(A2)-1, "")</f>
        <v/>
      </c>
    </row>
    <row r="5" spans="1:35" x14ac:dyDescent="0.3">
      <c r="A5" s="1" t="str">
        <f>IF(Person3!$B$3+ROW(A3)-1&lt;=Person3!$C$3, Person3!$B$3+ROW(A3)-1, "")</f>
        <v/>
      </c>
      <c r="B5" s="1" t="str">
        <f>IF(Person3!$B$4+ROW(B3)-1&lt;=Person3!$C$4, Person3!$B$4+ROW(B3)-1, "")</f>
        <v/>
      </c>
      <c r="C5" s="1" t="str">
        <f>IF(Person3!$B$5+ROW(B3)-1&lt;=Person3!$C$5, Person3!$B$5+ROW(B3)-1, "")</f>
        <v/>
      </c>
      <c r="D5" s="1" t="str">
        <f>IF(Person3!$B$6+ROW(B3)-1&lt;=Person3!$C$6, Person3!$B$6+ROW(B3)-1, "")</f>
        <v/>
      </c>
      <c r="E5" s="1" t="str">
        <f>IF(Person3!$B$7+ROW(B3)-1&lt;=Person3!$C$7, Person3!$B$7+ROW(B3)-1, "")</f>
        <v/>
      </c>
      <c r="F5" s="1" t="str">
        <f>IF(Person3!$B$8+ROW(B3)-1&lt;=Person3!$C$8, Person3!$B$8+ROW(B3)-1, "")</f>
        <v/>
      </c>
      <c r="G5" s="1" t="str">
        <f>IF(Person3!$B$9+ROW(B3)-1&lt;=Person3!$C$9, Person3!$B$9+ROW(B3)-1, "")</f>
        <v/>
      </c>
      <c r="H5" s="1" t="str">
        <f>IF(Person3!$B$10+ROW(B3)-1&lt;=Person3!$C$10, Person3!$B$10+ROW(B3)-1, "")</f>
        <v/>
      </c>
      <c r="I5" s="1" t="str">
        <f>IF(Person3!$B$11+ROW(B3)-1&lt;=Person3!$C$11, Person3!$B$11+ROW(B3)-1, "")</f>
        <v/>
      </c>
      <c r="J5" s="1" t="str">
        <f>IF(Person3!$B$12+ROW(B3)-1&lt;=Person3!$C$12, Person3!$B$12+ROW(B3)-1, "")</f>
        <v/>
      </c>
      <c r="K5" s="1" t="str">
        <f>IF(Person3!$B$13+ROW(B3)-1&lt;=Person3!$C$13, Person3!$B$13+ROW(B3)-1, "")</f>
        <v/>
      </c>
      <c r="L5" s="1" t="str">
        <f>IF(Person3!$B$14+ROW(B3)-1&lt;=Person3!$C$14, Person3!$B$14+ROW(B3)-1, "")</f>
        <v/>
      </c>
      <c r="M5" s="1" t="str">
        <f>IF(Person3!$B$15+ROW(B3)-1&lt;=Person3!$C$15, Person3!$B$15+ROW(B3)-1, "")</f>
        <v/>
      </c>
      <c r="N5" s="1" t="str">
        <f>IF(Person3!$B$16+ROW(B3)-1&lt;=Person3!$C$16, Person3!$B$16+ROW(B3)-1, "")</f>
        <v/>
      </c>
      <c r="O5" s="1" t="str">
        <f>IF(Person3!$B$17+ROW(B3)-1&lt;=Person3!$C$17, Person3!$B$17+ROW(B3)-1, "")</f>
        <v/>
      </c>
      <c r="V5" s="1" t="str">
        <f>IF(Person3!$D$3+ROW(A3)-1&lt;=Person3!$E$3, Person3!$D$3+ROW(A3)-1, "")</f>
        <v/>
      </c>
      <c r="W5" s="1" t="str">
        <f>IF(Person3!$D$4+ROW(A3)-1&lt;=Person3!$E$4, Person3!$D$4+ROW(A3)-1, "")</f>
        <v/>
      </c>
      <c r="X5" s="1" t="str">
        <f>IF(Person3!$D$5+ROW(A3)-1&lt;=Person3!$E$5, Person3!$D$5+ROW(A3)-1, "")</f>
        <v/>
      </c>
      <c r="Y5" s="1" t="str">
        <f>IF(Person3!$D$6+ROW(A3)-1&lt;=Person3!$E$6, Person3!$D$6+ROW(A3)-1, "")</f>
        <v/>
      </c>
      <c r="Z5" s="1" t="str">
        <f>IF(Person3!$D$7+ROW(A3)-1&lt;=Person3!$E$7, Person3!$D$7+ROW(A3)-1, "")</f>
        <v/>
      </c>
      <c r="AA5" s="1" t="str">
        <f>IF(Person3!$D$8+ROW(A3)-1&lt;=Person3!$E$8, Person3!$D$8+ROW(A3)-1, "")</f>
        <v/>
      </c>
      <c r="AE5" s="1" t="str">
        <f>IF(Person3!$F$3+ROW(A3)-1&lt;=Person3!$G$3, Person3!$F$3+ROW(A3)-1, "")</f>
        <v/>
      </c>
      <c r="AF5" s="1" t="str">
        <f>IF(Person3!$F$4+ROW(A3)-1&lt;=Person3!$G$4, Person3!$F$4+ROW(A3)-1, "")</f>
        <v/>
      </c>
      <c r="AG5" s="1" t="str">
        <f>IF(Person3!$F$5+ROW(A3)-1&lt;=Person3!$G$5, Person3!$F$5+ROW(A3)-1, "")</f>
        <v/>
      </c>
      <c r="AH5" s="1" t="str">
        <f>IF(Person3!$F$6+ROW(A3)-1&lt;=Person3!$G$6, Person3!$F$6+ROW(A3)-1, "")</f>
        <v/>
      </c>
      <c r="AI5" s="1" t="str">
        <f>IF(Person3!$F$7+ROW(A3)-1&lt;=Person3!$G$7, Person3!$F$7+ROW(A3)-1, "")</f>
        <v/>
      </c>
    </row>
    <row r="6" spans="1:35" x14ac:dyDescent="0.3">
      <c r="A6" s="1" t="str">
        <f>IF(Person3!$B$3+ROW(A4)-1&lt;=Person3!$C$3, Person3!$B$3+ROW(A4)-1, "")</f>
        <v/>
      </c>
      <c r="B6" s="1" t="str">
        <f>IF(Person3!$B$4+ROW(B4)-1&lt;=Person3!$C$4, Person3!$B$4+ROW(B4)-1, "")</f>
        <v/>
      </c>
      <c r="C6" s="1" t="str">
        <f>IF(Person3!$B$5+ROW(B4)-1&lt;=Person3!$C$5, Person3!$B$5+ROW(B4)-1, "")</f>
        <v/>
      </c>
      <c r="D6" s="1" t="str">
        <f>IF(Person3!$B$6+ROW(B4)-1&lt;=Person3!$C$6, Person3!$B$6+ROW(B4)-1, "")</f>
        <v/>
      </c>
      <c r="E6" s="1" t="str">
        <f>IF(Person3!$B$7+ROW(B4)-1&lt;=Person3!$C$7, Person3!$B$7+ROW(B4)-1, "")</f>
        <v/>
      </c>
      <c r="F6" s="1" t="str">
        <f>IF(Person3!$B$8+ROW(B4)-1&lt;=Person3!$C$8, Person3!$B$8+ROW(B4)-1, "")</f>
        <v/>
      </c>
      <c r="G6" s="1" t="str">
        <f>IF(Person3!$B$9+ROW(B4)-1&lt;=Person3!$C$9, Person3!$B$9+ROW(B4)-1, "")</f>
        <v/>
      </c>
      <c r="H6" s="1" t="str">
        <f>IF(Person3!$B$10+ROW(B4)-1&lt;=Person3!$C$10, Person3!$B$10+ROW(B4)-1, "")</f>
        <v/>
      </c>
      <c r="I6" s="1" t="str">
        <f>IF(Person3!$B$11+ROW(B4)-1&lt;=Person3!$C$11, Person3!$B$11+ROW(B4)-1, "")</f>
        <v/>
      </c>
      <c r="J6" s="1" t="str">
        <f>IF(Person3!$B$12+ROW(B4)-1&lt;=Person3!$C$12, Person3!$B$12+ROW(B4)-1, "")</f>
        <v/>
      </c>
      <c r="K6" s="1" t="str">
        <f>IF(Person3!$B$13+ROW(B4)-1&lt;=Person3!$C$13, Person3!$B$13+ROW(B4)-1, "")</f>
        <v/>
      </c>
      <c r="L6" s="1" t="str">
        <f>IF(Person3!$B$14+ROW(B4)-1&lt;=Person3!$C$14, Person3!$B$14+ROW(B4)-1, "")</f>
        <v/>
      </c>
      <c r="M6" s="1" t="str">
        <f>IF(Person3!$B$15+ROW(B4)-1&lt;=Person3!$C$15, Person3!$B$15+ROW(B4)-1, "")</f>
        <v/>
      </c>
      <c r="N6" s="1" t="str">
        <f>IF(Person3!$B$16+ROW(B4)-1&lt;=Person3!$C$16, Person3!$B$16+ROW(B4)-1, "")</f>
        <v/>
      </c>
      <c r="O6" s="1" t="str">
        <f>IF(Person3!$B$17+ROW(B4)-1&lt;=Person3!$C$17, Person3!$B$17+ROW(B4)-1, "")</f>
        <v/>
      </c>
      <c r="V6" s="1" t="str">
        <f>IF(Person3!$D$3+ROW(A4)-1&lt;=Person3!$E$3, Person3!$D$3+ROW(A4)-1, "")</f>
        <v/>
      </c>
      <c r="W6" s="1" t="str">
        <f>IF(Person3!$D$4+ROW(A4)-1&lt;=Person3!$E$4, Person3!$D$4+ROW(A4)-1, "")</f>
        <v/>
      </c>
      <c r="X6" s="1" t="str">
        <f>IF(Person3!$D$5+ROW(A4)-1&lt;=Person3!$E$5, Person3!$D$5+ROW(A4)-1, "")</f>
        <v/>
      </c>
      <c r="Y6" s="1" t="str">
        <f>IF(Person3!$D$6+ROW(A4)-1&lt;=Person3!$E$6, Person3!$D$6+ROW(A4)-1, "")</f>
        <v/>
      </c>
      <c r="Z6" s="1" t="str">
        <f>IF(Person3!$D$7+ROW(A4)-1&lt;=Person3!$E$7, Person3!$D$7+ROW(A4)-1, "")</f>
        <v/>
      </c>
      <c r="AA6" s="1" t="str">
        <f>IF(Person3!$D$8+ROW(A4)-1&lt;=Person3!$E$8, Person3!$D$8+ROW(A4)-1, "")</f>
        <v/>
      </c>
      <c r="AE6" s="1" t="str">
        <f>IF(Person3!$F$3+ROW(A4)-1&lt;=Person3!$G$3, Person3!$F$3+ROW(A4)-1, "")</f>
        <v/>
      </c>
      <c r="AF6" s="1" t="str">
        <f>IF(Person3!$F$4+ROW(A4)-1&lt;=Person3!$G$4, Person3!$F$4+ROW(A4)-1, "")</f>
        <v/>
      </c>
      <c r="AG6" s="1" t="str">
        <f>IF(Person3!$F$5+ROW(A4)-1&lt;=Person3!$G$5, Person3!$F$5+ROW(A4)-1, "")</f>
        <v/>
      </c>
      <c r="AH6" s="1" t="str">
        <f>IF(Person3!$F$6+ROW(A4)-1&lt;=Person3!$G$6, Person3!$F$6+ROW(A4)-1, "")</f>
        <v/>
      </c>
      <c r="AI6" s="1" t="str">
        <f>IF(Person3!$F$7+ROW(A4)-1&lt;=Person3!$G$7, Person3!$F$7+ROW(A4)-1, "")</f>
        <v/>
      </c>
    </row>
    <row r="7" spans="1:35" x14ac:dyDescent="0.3">
      <c r="A7" s="1" t="str">
        <f>IF(Person3!$B$3+ROW(A5)-1&lt;=Person3!$C$3, Person3!$B$3+ROW(A5)-1, "")</f>
        <v/>
      </c>
      <c r="B7" s="1" t="str">
        <f>IF(Person3!$B$4+ROW(B5)-1&lt;=Person3!$C$4, Person3!$B$4+ROW(B5)-1, "")</f>
        <v/>
      </c>
      <c r="C7" s="1" t="str">
        <f>IF(Person3!$B$5+ROW(B5)-1&lt;=Person3!$C$5, Person3!$B$5+ROW(B5)-1, "")</f>
        <v/>
      </c>
      <c r="D7" s="1" t="str">
        <f>IF(Person3!$B$6+ROW(B5)-1&lt;=Person3!$C$6, Person3!$B$6+ROW(B5)-1, "")</f>
        <v/>
      </c>
      <c r="E7" s="1" t="str">
        <f>IF(Person3!$B$7+ROW(B5)-1&lt;=Person3!$C$7, Person3!$B$7+ROW(B5)-1, "")</f>
        <v/>
      </c>
      <c r="F7" s="1" t="str">
        <f>IF(Person3!$B$8+ROW(B5)-1&lt;=Person3!$C$8, Person3!$B$8+ROW(B5)-1, "")</f>
        <v/>
      </c>
      <c r="G7" s="1" t="str">
        <f>IF(Person3!$B$9+ROW(B5)-1&lt;=Person3!$C$9, Person3!$B$9+ROW(B5)-1, "")</f>
        <v/>
      </c>
      <c r="H7" s="1" t="str">
        <f>IF(Person3!$B$10+ROW(B5)-1&lt;=Person3!$C$10, Person3!$B$10+ROW(B5)-1, "")</f>
        <v/>
      </c>
      <c r="I7" s="1" t="str">
        <f>IF(Person3!$B$11+ROW(B5)-1&lt;=Person3!$C$11, Person3!$B$11+ROW(B5)-1, "")</f>
        <v/>
      </c>
      <c r="J7" s="1" t="str">
        <f>IF(Person3!$B$12+ROW(B5)-1&lt;=Person3!$C$12, Person3!$B$12+ROW(B5)-1, "")</f>
        <v/>
      </c>
      <c r="K7" s="1" t="str">
        <f>IF(Person3!$B$13+ROW(B5)-1&lt;=Person3!$C$13, Person3!$B$13+ROW(B5)-1, "")</f>
        <v/>
      </c>
      <c r="L7" s="1" t="str">
        <f>IF(Person3!$B$14+ROW(B5)-1&lt;=Person3!$C$14, Person3!$B$14+ROW(B5)-1, "")</f>
        <v/>
      </c>
      <c r="M7" s="1" t="str">
        <f>IF(Person3!$B$15+ROW(B5)-1&lt;=Person3!$C$15, Person3!$B$15+ROW(B5)-1, "")</f>
        <v/>
      </c>
      <c r="N7" s="1" t="str">
        <f>IF(Person3!$B$16+ROW(B5)-1&lt;=Person3!$C$16, Person3!$B$16+ROW(B5)-1, "")</f>
        <v/>
      </c>
      <c r="O7" s="1" t="str">
        <f>IF(Person3!$B$17+ROW(B5)-1&lt;=Person3!$C$17, Person3!$B$17+ROW(B5)-1, "")</f>
        <v/>
      </c>
      <c r="V7" s="1" t="str">
        <f>IF(Person3!$D$3+ROW(A5)-1&lt;=Person3!$E$3, Person3!$D$3+ROW(A5)-1, "")</f>
        <v/>
      </c>
      <c r="W7" s="1" t="str">
        <f>IF(Person3!$D$4+ROW(A5)-1&lt;=Person3!$E$4, Person3!$D$4+ROW(A5)-1, "")</f>
        <v/>
      </c>
      <c r="X7" s="1" t="str">
        <f>IF(Person3!$D$5+ROW(A5)-1&lt;=Person3!$E$5, Person3!$D$5+ROW(A5)-1, "")</f>
        <v/>
      </c>
      <c r="Y7" s="1" t="str">
        <f>IF(Person3!$D$6+ROW(A5)-1&lt;=Person3!$E$6, Person3!$D$6+ROW(A5)-1, "")</f>
        <v/>
      </c>
      <c r="Z7" s="1" t="str">
        <f>IF(Person3!$D$7+ROW(A5)-1&lt;=Person3!$E$7, Person3!$D$7+ROW(A5)-1, "")</f>
        <v/>
      </c>
      <c r="AA7" s="1" t="str">
        <f>IF(Person3!$D$8+ROW(A5)-1&lt;=Person3!$E$8, Person3!$D$8+ROW(A5)-1, "")</f>
        <v/>
      </c>
      <c r="AE7" s="1" t="str">
        <f>IF(Person3!$F$3+ROW(A5)-1&lt;=Person3!$G$3, Person3!$F$3+ROW(A5)-1, "")</f>
        <v/>
      </c>
      <c r="AF7" s="1" t="str">
        <f>IF(Person3!$F$4+ROW(A5)-1&lt;=Person3!$G$4, Person3!$F$4+ROW(A5)-1, "")</f>
        <v/>
      </c>
      <c r="AG7" s="1" t="str">
        <f>IF(Person3!$F$5+ROW(A5)-1&lt;=Person3!$G$5, Person3!$F$5+ROW(A5)-1, "")</f>
        <v/>
      </c>
      <c r="AH7" s="1" t="str">
        <f>IF(Person3!$F$6+ROW(A5)-1&lt;=Person3!$G$6, Person3!$F$6+ROW(A5)-1, "")</f>
        <v/>
      </c>
      <c r="AI7" s="1" t="str">
        <f>IF(Person3!$F$7+ROW(A5)-1&lt;=Person3!$G$7, Person3!$F$7+ROW(A5)-1, "")</f>
        <v/>
      </c>
    </row>
    <row r="8" spans="1:35" x14ac:dyDescent="0.3">
      <c r="A8" s="1" t="str">
        <f>IF(Person3!$B$3+ROW(A6)-1&lt;=Person3!$C$3, Person3!$B$3+ROW(A6)-1, "")</f>
        <v/>
      </c>
      <c r="B8" s="1" t="str">
        <f>IF(Person3!$B$4+ROW(B6)-1&lt;=Person3!$C$4, Person3!$B$4+ROW(B6)-1, "")</f>
        <v/>
      </c>
      <c r="C8" s="1" t="str">
        <f>IF(Person3!$B$5+ROW(B6)-1&lt;=Person3!$C$5, Person3!$B$5+ROW(B6)-1, "")</f>
        <v/>
      </c>
      <c r="D8" s="1" t="str">
        <f>IF(Person3!$B$6+ROW(B6)-1&lt;=Person3!$C$6, Person3!$B$6+ROW(B6)-1, "")</f>
        <v/>
      </c>
      <c r="E8" s="1" t="str">
        <f>IF(Person3!$B$7+ROW(B6)-1&lt;=Person3!$C$7, Person3!$B$7+ROW(B6)-1, "")</f>
        <v/>
      </c>
      <c r="F8" s="1" t="str">
        <f>IF(Person3!$B$8+ROW(B6)-1&lt;=Person3!$C$8, Person3!$B$8+ROW(B6)-1, "")</f>
        <v/>
      </c>
      <c r="G8" s="1" t="str">
        <f>IF(Person3!$B$9+ROW(B6)-1&lt;=Person3!$C$9, Person3!$B$9+ROW(B6)-1, "")</f>
        <v/>
      </c>
      <c r="H8" s="1" t="str">
        <f>IF(Person3!$B$10+ROW(B6)-1&lt;=Person3!$C$10, Person3!$B$10+ROW(B6)-1, "")</f>
        <v/>
      </c>
      <c r="I8" s="1" t="str">
        <f>IF(Person3!$B$11+ROW(B6)-1&lt;=Person3!$C$11, Person3!$B$11+ROW(B6)-1, "")</f>
        <v/>
      </c>
      <c r="J8" s="1" t="str">
        <f>IF(Person3!$B$12+ROW(B6)-1&lt;=Person3!$C$12, Person3!$B$12+ROW(B6)-1, "")</f>
        <v/>
      </c>
      <c r="K8" s="1" t="str">
        <f>IF(Person3!$B$13+ROW(B6)-1&lt;=Person3!$C$13, Person3!$B$13+ROW(B6)-1, "")</f>
        <v/>
      </c>
      <c r="L8" s="1" t="str">
        <f>IF(Person3!$B$14+ROW(B6)-1&lt;=Person3!$C$14, Person3!$B$14+ROW(B6)-1, "")</f>
        <v/>
      </c>
      <c r="M8" s="1" t="str">
        <f>IF(Person3!$B$15+ROW(B6)-1&lt;=Person3!$C$15, Person3!$B$15+ROW(B6)-1, "")</f>
        <v/>
      </c>
      <c r="N8" s="1" t="str">
        <f>IF(Person3!$B$16+ROW(B6)-1&lt;=Person3!$C$16, Person3!$B$16+ROW(B6)-1, "")</f>
        <v/>
      </c>
      <c r="O8" s="1" t="str">
        <f>IF(Person3!$B$17+ROW(B6)-1&lt;=Person3!$C$17, Person3!$B$17+ROW(B6)-1, "")</f>
        <v/>
      </c>
      <c r="V8" s="1" t="str">
        <f>IF(Person3!$D$3+ROW(A6)-1&lt;=Person3!$E$3, Person3!$D$3+ROW(A6)-1, "")</f>
        <v/>
      </c>
      <c r="W8" s="1" t="str">
        <f>IF(Person3!$D$4+ROW(A6)-1&lt;=Person3!$E$4, Person3!$D$4+ROW(A6)-1, "")</f>
        <v/>
      </c>
      <c r="X8" s="1" t="str">
        <f>IF(Person3!$D$5+ROW(A6)-1&lt;=Person3!$E$5, Person3!$D$5+ROW(A6)-1, "")</f>
        <v/>
      </c>
      <c r="Y8" s="1" t="str">
        <f>IF(Person3!$D$6+ROW(A6)-1&lt;=Person3!$E$6, Person3!$D$6+ROW(A6)-1, "")</f>
        <v/>
      </c>
      <c r="Z8" s="1" t="str">
        <f>IF(Person3!$D$7+ROW(A6)-1&lt;=Person3!$E$7, Person3!$D$7+ROW(A6)-1, "")</f>
        <v/>
      </c>
      <c r="AA8" s="1" t="str">
        <f>IF(Person3!$D$8+ROW(A6)-1&lt;=Person3!$E$8, Person3!$D$8+ROW(A6)-1, "")</f>
        <v/>
      </c>
      <c r="AE8" s="1" t="str">
        <f>IF(Person3!$F$3+ROW(A6)-1&lt;=Person3!$G$3, Person3!$F$3+ROW(A6)-1, "")</f>
        <v/>
      </c>
      <c r="AF8" s="1" t="str">
        <f>IF(Person3!$F$4+ROW(A6)-1&lt;=Person3!$G$4, Person3!$F$4+ROW(A6)-1, "")</f>
        <v/>
      </c>
      <c r="AG8" s="1" t="str">
        <f>IF(Person3!$F$5+ROW(A6)-1&lt;=Person3!$G$5, Person3!$F$5+ROW(A6)-1, "")</f>
        <v/>
      </c>
      <c r="AH8" s="1" t="str">
        <f>IF(Person3!$F$6+ROW(A6)-1&lt;=Person3!$G$6, Person3!$F$6+ROW(A6)-1, "")</f>
        <v/>
      </c>
      <c r="AI8" s="1" t="str">
        <f>IF(Person3!$F$7+ROW(A6)-1&lt;=Person3!$G$7, Person3!$F$7+ROW(A6)-1, "")</f>
        <v/>
      </c>
    </row>
    <row r="9" spans="1:35" x14ac:dyDescent="0.3">
      <c r="A9" s="1" t="str">
        <f>IF(Person3!$B$3+ROW(A7)-1&lt;=Person3!$C$3, Person3!$B$3+ROW(A7)-1, "")</f>
        <v/>
      </c>
      <c r="B9" s="1" t="str">
        <f>IF(Person3!$B$4+ROW(B7)-1&lt;=Person3!$C$4, Person3!$B$4+ROW(B7)-1, "")</f>
        <v/>
      </c>
      <c r="C9" s="1" t="str">
        <f>IF(Person3!$B$5+ROW(B7)-1&lt;=Person3!$C$5, Person3!$B$5+ROW(B7)-1, "")</f>
        <v/>
      </c>
      <c r="D9" s="1" t="str">
        <f>IF(Person3!$B$6+ROW(B7)-1&lt;=Person3!$C$6, Person3!$B$6+ROW(B7)-1, "")</f>
        <v/>
      </c>
      <c r="E9" s="1" t="str">
        <f>IF(Person3!$B$7+ROW(B7)-1&lt;=Person3!$C$7, Person3!$B$7+ROW(B7)-1, "")</f>
        <v/>
      </c>
      <c r="F9" s="1" t="str">
        <f>IF(Person3!$B$8+ROW(B7)-1&lt;=Person3!$C$8, Person3!$B$8+ROW(B7)-1, "")</f>
        <v/>
      </c>
      <c r="G9" s="1" t="str">
        <f>IF(Person3!$B$9+ROW(B7)-1&lt;=Person3!$C$9, Person3!$B$9+ROW(B7)-1, "")</f>
        <v/>
      </c>
      <c r="H9" s="1" t="str">
        <f>IF(Person3!$B$10+ROW(B7)-1&lt;=Person3!$C$10, Person3!$B$10+ROW(B7)-1, "")</f>
        <v/>
      </c>
      <c r="I9" s="1" t="str">
        <f>IF(Person3!$B$11+ROW(B7)-1&lt;=Person3!$C$11, Person3!$B$11+ROW(B7)-1, "")</f>
        <v/>
      </c>
      <c r="J9" s="1" t="str">
        <f>IF(Person3!$B$12+ROW(B7)-1&lt;=Person3!$C$12, Person3!$B$12+ROW(B7)-1, "")</f>
        <v/>
      </c>
      <c r="K9" s="1" t="str">
        <f>IF(Person3!$B$13+ROW(B7)-1&lt;=Person3!$C$13, Person3!$B$13+ROW(B7)-1, "")</f>
        <v/>
      </c>
      <c r="L9" s="1" t="str">
        <f>IF(Person3!$B$14+ROW(B7)-1&lt;=Person3!$C$14, Person3!$B$14+ROW(B7)-1, "")</f>
        <v/>
      </c>
      <c r="M9" s="1" t="str">
        <f>IF(Person3!$B$15+ROW(B7)-1&lt;=Person3!$C$15, Person3!$B$15+ROW(B7)-1, "")</f>
        <v/>
      </c>
      <c r="N9" s="1" t="str">
        <f>IF(Person3!$B$16+ROW(B7)-1&lt;=Person3!$C$16, Person3!$B$16+ROW(B7)-1, "")</f>
        <v/>
      </c>
      <c r="O9" s="1" t="str">
        <f>IF(Person3!$B$17+ROW(B7)-1&lt;=Person3!$C$17, Person3!$B$17+ROW(B7)-1, "")</f>
        <v/>
      </c>
      <c r="V9" s="1" t="str">
        <f>IF(Person3!$D$3+ROW(A7)-1&lt;=Person3!$E$3, Person3!$D$3+ROW(A7)-1, "")</f>
        <v/>
      </c>
      <c r="W9" s="1" t="str">
        <f>IF(Person3!$D$4+ROW(A7)-1&lt;=Person3!$E$4, Person3!$D$4+ROW(A7)-1, "")</f>
        <v/>
      </c>
      <c r="X9" s="1" t="str">
        <f>IF(Person3!$D$5+ROW(A7)-1&lt;=Person3!$E$5, Person3!$D$5+ROW(A7)-1, "")</f>
        <v/>
      </c>
      <c r="Y9" s="1" t="str">
        <f>IF(Person3!$D$6+ROW(A7)-1&lt;=Person3!$E$6, Person3!$D$6+ROW(A7)-1, "")</f>
        <v/>
      </c>
      <c r="Z9" s="1" t="str">
        <f>IF(Person3!$D$7+ROW(A7)-1&lt;=Person3!$E$7, Person3!$D$7+ROW(A7)-1, "")</f>
        <v/>
      </c>
      <c r="AA9" s="1" t="str">
        <f>IF(Person3!$D$8+ROW(A7)-1&lt;=Person3!$E$8, Person3!$D$8+ROW(A7)-1, "")</f>
        <v/>
      </c>
      <c r="AE9" s="1" t="str">
        <f>IF(Person3!$F$3+ROW(A7)-1&lt;=Person3!$G$3, Person3!$F$3+ROW(A7)-1, "")</f>
        <v/>
      </c>
      <c r="AF9" s="1" t="str">
        <f>IF(Person3!$F$4+ROW(A7)-1&lt;=Person3!$G$4, Person3!$F$4+ROW(A7)-1, "")</f>
        <v/>
      </c>
      <c r="AG9" s="1" t="str">
        <f>IF(Person3!$F$5+ROW(A7)-1&lt;=Person3!$G$5, Person3!$F$5+ROW(A7)-1, "")</f>
        <v/>
      </c>
      <c r="AH9" s="1" t="str">
        <f>IF(Person3!$F$6+ROW(A7)-1&lt;=Person3!$G$6, Person3!$F$6+ROW(A7)-1, "")</f>
        <v/>
      </c>
      <c r="AI9" s="1" t="str">
        <f>IF(Person3!$F$7+ROW(A7)-1&lt;=Person3!$G$7, Person3!$F$7+ROW(A7)-1, "")</f>
        <v/>
      </c>
    </row>
    <row r="10" spans="1:35" x14ac:dyDescent="0.3">
      <c r="A10" s="1" t="str">
        <f>IF(Person3!$B$3+ROW(A8)-1&lt;=Person3!$C$3, Person3!$B$3+ROW(A8)-1, "")</f>
        <v/>
      </c>
      <c r="B10" s="1" t="str">
        <f>IF(Person3!$B$4+ROW(B8)-1&lt;=Person3!$C$4, Person3!$B$4+ROW(B8)-1, "")</f>
        <v/>
      </c>
      <c r="C10" s="1" t="str">
        <f>IF(Person3!$B$5+ROW(B8)-1&lt;=Person3!$C$5, Person3!$B$5+ROW(B8)-1, "")</f>
        <v/>
      </c>
      <c r="D10" s="1" t="str">
        <f>IF(Person3!$B$6+ROW(B8)-1&lt;=Person3!$C$6, Person3!$B$6+ROW(B8)-1, "")</f>
        <v/>
      </c>
      <c r="E10" s="1" t="str">
        <f>IF(Person3!$B$7+ROW(B8)-1&lt;=Person3!$C$7, Person3!$B$7+ROW(B8)-1, "")</f>
        <v/>
      </c>
      <c r="F10" s="1" t="str">
        <f>IF(Person3!$B$8+ROW(B8)-1&lt;=Person3!$C$8, Person3!$B$8+ROW(B8)-1, "")</f>
        <v/>
      </c>
      <c r="G10" s="1" t="str">
        <f>IF(Person3!$B$9+ROW(B8)-1&lt;=Person3!$C$9, Person3!$B$9+ROW(B8)-1, "")</f>
        <v/>
      </c>
      <c r="H10" s="1" t="str">
        <f>IF(Person3!$B$10+ROW(B8)-1&lt;=Person3!$C$10, Person3!$B$10+ROW(B8)-1, "")</f>
        <v/>
      </c>
      <c r="I10" s="1" t="str">
        <f>IF(Person3!$B$11+ROW(B8)-1&lt;=Person3!$C$11, Person3!$B$11+ROW(B8)-1, "")</f>
        <v/>
      </c>
      <c r="J10" s="1" t="str">
        <f>IF(Person3!$B$12+ROW(B8)-1&lt;=Person3!$C$12, Person3!$B$12+ROW(B8)-1, "")</f>
        <v/>
      </c>
      <c r="K10" s="1" t="str">
        <f>IF(Person3!$B$13+ROW(B8)-1&lt;=Person3!$C$13, Person3!$B$13+ROW(B8)-1, "")</f>
        <v/>
      </c>
      <c r="L10" s="1" t="str">
        <f>IF(Person3!$B$14+ROW(B8)-1&lt;=Person3!$C$14, Person3!$B$14+ROW(B8)-1, "")</f>
        <v/>
      </c>
      <c r="M10" s="1" t="str">
        <f>IF(Person3!$B$15+ROW(B8)-1&lt;=Person3!$C$15, Person3!$B$15+ROW(B8)-1, "")</f>
        <v/>
      </c>
      <c r="N10" s="1" t="str">
        <f>IF(Person3!$B$16+ROW(B8)-1&lt;=Person3!$C$16, Person3!$B$16+ROW(B8)-1, "")</f>
        <v/>
      </c>
      <c r="O10" s="1" t="str">
        <f>IF(Person3!$B$17+ROW(B8)-1&lt;=Person3!$C$17, Person3!$B$17+ROW(B8)-1, "")</f>
        <v/>
      </c>
      <c r="V10" s="1" t="str">
        <f>IF(Person3!$D$3+ROW(A8)-1&lt;=Person3!$E$3, Person3!$D$3+ROW(A8)-1, "")</f>
        <v/>
      </c>
      <c r="W10" s="1" t="str">
        <f>IF(Person3!$D$4+ROW(A8)-1&lt;=Person3!$E$4, Person3!$D$4+ROW(A8)-1, "")</f>
        <v/>
      </c>
      <c r="X10" s="1" t="str">
        <f>IF(Person3!$D$5+ROW(A8)-1&lt;=Person3!$E$5, Person3!$D$5+ROW(A8)-1, "")</f>
        <v/>
      </c>
      <c r="Y10" s="1" t="str">
        <f>IF(Person3!$D$6+ROW(A8)-1&lt;=Person3!$E$6, Person3!$D$6+ROW(A8)-1, "")</f>
        <v/>
      </c>
      <c r="Z10" s="1" t="str">
        <f>IF(Person3!$D$7+ROW(A8)-1&lt;=Person3!$E$7, Person3!$D$7+ROW(A8)-1, "")</f>
        <v/>
      </c>
      <c r="AA10" s="1" t="str">
        <f>IF(Person3!$D$8+ROW(A8)-1&lt;=Person3!$E$8, Person3!$D$8+ROW(A8)-1, "")</f>
        <v/>
      </c>
      <c r="AE10" s="1" t="str">
        <f>IF(Person3!$F$3+ROW(A8)-1&lt;=Person3!$G$3, Person3!$F$3+ROW(A8)-1, "")</f>
        <v/>
      </c>
      <c r="AF10" s="1" t="str">
        <f>IF(Person3!$F$4+ROW(A8)-1&lt;=Person3!$G$4, Person3!$F$4+ROW(A8)-1, "")</f>
        <v/>
      </c>
      <c r="AG10" s="1" t="str">
        <f>IF(Person3!$F$5+ROW(A8)-1&lt;=Person3!$G$5, Person3!$F$5+ROW(A8)-1, "")</f>
        <v/>
      </c>
      <c r="AH10" s="1" t="str">
        <f>IF(Person3!$F$6+ROW(A8)-1&lt;=Person3!$G$6, Person3!$F$6+ROW(A8)-1, "")</f>
        <v/>
      </c>
      <c r="AI10" s="1" t="str">
        <f>IF(Person3!$F$7+ROW(A8)-1&lt;=Person3!$G$7, Person3!$F$7+ROW(A8)-1, "")</f>
        <v/>
      </c>
    </row>
    <row r="11" spans="1:35" x14ac:dyDescent="0.3">
      <c r="A11" s="1" t="str">
        <f>IF(Person3!$B$3+ROW(A9)-1&lt;=Person3!$C$3, Person3!$B$3+ROW(A9)-1, "")</f>
        <v/>
      </c>
      <c r="B11" s="1" t="str">
        <f>IF(Person3!$B$4+ROW(B9)-1&lt;=Person3!$C$4, Person3!$B$4+ROW(B9)-1, "")</f>
        <v/>
      </c>
      <c r="C11" s="1" t="str">
        <f>IF(Person3!$B$5+ROW(B9)-1&lt;=Person3!$C$5, Person3!$B$5+ROW(B9)-1, "")</f>
        <v/>
      </c>
      <c r="D11" s="1" t="str">
        <f>IF(Person3!$B$6+ROW(B9)-1&lt;=Person3!$C$6, Person3!$B$6+ROW(B9)-1, "")</f>
        <v/>
      </c>
      <c r="E11" s="1" t="str">
        <f>IF(Person3!$B$7+ROW(B9)-1&lt;=Person3!$C$7, Person3!$B$7+ROW(B9)-1, "")</f>
        <v/>
      </c>
      <c r="F11" s="1" t="str">
        <f>IF(Person3!$B$8+ROW(B9)-1&lt;=Person3!$C$8, Person3!$B$8+ROW(B9)-1, "")</f>
        <v/>
      </c>
      <c r="G11" s="1" t="str">
        <f>IF(Person3!$B$9+ROW(B9)-1&lt;=Person3!$C$9, Person3!$B$9+ROW(B9)-1, "")</f>
        <v/>
      </c>
      <c r="H11" s="1" t="str">
        <f>IF(Person3!$B$10+ROW(B9)-1&lt;=Person3!$C$10, Person3!$B$10+ROW(B9)-1, "")</f>
        <v/>
      </c>
      <c r="I11" s="1" t="str">
        <f>IF(Person3!$B$11+ROW(B9)-1&lt;=Person3!$C$11, Person3!$B$11+ROW(B9)-1, "")</f>
        <v/>
      </c>
      <c r="J11" s="1" t="str">
        <f>IF(Person3!$B$12+ROW(B9)-1&lt;=Person3!$C$12, Person3!$B$12+ROW(B9)-1, "")</f>
        <v/>
      </c>
      <c r="K11" s="1" t="str">
        <f>IF(Person3!$B$13+ROW(B9)-1&lt;=Person3!$C$13, Person3!$B$13+ROW(B9)-1, "")</f>
        <v/>
      </c>
      <c r="L11" s="1" t="str">
        <f>IF(Person3!$B$14+ROW(B9)-1&lt;=Person3!$C$14, Person3!$B$14+ROW(B9)-1, "")</f>
        <v/>
      </c>
      <c r="M11" s="1" t="str">
        <f>IF(Person3!$B$15+ROW(B9)-1&lt;=Person3!$C$15, Person3!$B$15+ROW(B9)-1, "")</f>
        <v/>
      </c>
      <c r="N11" s="1" t="str">
        <f>IF(Person3!$B$16+ROW(B9)-1&lt;=Person3!$C$16, Person3!$B$16+ROW(B9)-1, "")</f>
        <v/>
      </c>
      <c r="O11" s="1" t="str">
        <f>IF(Person3!$B$17+ROW(B9)-1&lt;=Person3!$C$17, Person3!$B$17+ROW(B9)-1, "")</f>
        <v/>
      </c>
      <c r="V11" s="1" t="str">
        <f>IF(Person3!$D$3+ROW(A9)-1&lt;=Person3!$E$3, Person3!$D$3+ROW(A9)-1, "")</f>
        <v/>
      </c>
      <c r="W11" s="1" t="str">
        <f>IF(Person3!$D$4+ROW(A9)-1&lt;=Person3!$E$4, Person3!$D$4+ROW(A9)-1, "")</f>
        <v/>
      </c>
      <c r="X11" s="1" t="str">
        <f>IF(Person3!$D$5+ROW(A9)-1&lt;=Person3!$E$5, Person3!$D$5+ROW(A9)-1, "")</f>
        <v/>
      </c>
      <c r="Y11" s="1" t="str">
        <f>IF(Person3!$D$6+ROW(A9)-1&lt;=Person3!$E$6, Person3!$D$6+ROW(A9)-1, "")</f>
        <v/>
      </c>
      <c r="Z11" s="1" t="str">
        <f>IF(Person3!$D$7+ROW(A9)-1&lt;=Person3!$E$7, Person3!$D$7+ROW(A9)-1, "")</f>
        <v/>
      </c>
      <c r="AA11" s="1" t="str">
        <f>IF(Person3!$D$8+ROW(A9)-1&lt;=Person3!$E$8, Person3!$D$8+ROW(A9)-1, "")</f>
        <v/>
      </c>
      <c r="AE11" s="1" t="str">
        <f>IF(Person3!$F$3+ROW(A9)-1&lt;=Person3!$G$3, Person3!$F$3+ROW(A9)-1, "")</f>
        <v/>
      </c>
      <c r="AF11" s="1" t="str">
        <f>IF(Person3!$F$4+ROW(A9)-1&lt;=Person3!$G$4, Person3!$F$4+ROW(A9)-1, "")</f>
        <v/>
      </c>
      <c r="AG11" s="1" t="str">
        <f>IF(Person3!$F$5+ROW(A9)-1&lt;=Person3!$G$5, Person3!$F$5+ROW(A9)-1, "")</f>
        <v/>
      </c>
      <c r="AH11" s="1" t="str">
        <f>IF(Person3!$F$6+ROW(A9)-1&lt;=Person3!$G$6, Person3!$F$6+ROW(A9)-1, "")</f>
        <v/>
      </c>
      <c r="AI11" s="1" t="str">
        <f>IF(Person3!$F$7+ROW(A9)-1&lt;=Person3!$G$7, Person3!$F$7+ROW(A9)-1, "")</f>
        <v/>
      </c>
    </row>
    <row r="12" spans="1:35" x14ac:dyDescent="0.3">
      <c r="A12" s="1" t="str">
        <f>IF(Person3!$B$3+ROW(A10)-1&lt;=Person3!$C$3, Person3!$B$3+ROW(A10)-1, "")</f>
        <v/>
      </c>
      <c r="B12" s="1" t="str">
        <f>IF(Person3!$B$4+ROW(B10)-1&lt;=Person3!$C$4, Person3!$B$4+ROW(B10)-1, "")</f>
        <v/>
      </c>
      <c r="C12" s="1" t="str">
        <f>IF(Person3!$B$5+ROW(B10)-1&lt;=Person3!$C$5, Person3!$B$5+ROW(B10)-1, "")</f>
        <v/>
      </c>
      <c r="D12" s="1" t="str">
        <f>IF(Person3!$B$6+ROW(B10)-1&lt;=Person3!$C$6, Person3!$B$6+ROW(B10)-1, "")</f>
        <v/>
      </c>
      <c r="E12" s="1" t="str">
        <f>IF(Person3!$B$7+ROW(B10)-1&lt;=Person3!$C$7, Person3!$B$7+ROW(B10)-1, "")</f>
        <v/>
      </c>
      <c r="F12" s="1" t="str">
        <f>IF(Person3!$B$8+ROW(B10)-1&lt;=Person3!$C$8, Person3!$B$8+ROW(B10)-1, "")</f>
        <v/>
      </c>
      <c r="G12" s="1" t="str">
        <f>IF(Person3!$B$9+ROW(B10)-1&lt;=Person3!$C$9, Person3!$B$9+ROW(B10)-1, "")</f>
        <v/>
      </c>
      <c r="H12" s="1" t="str">
        <f>IF(Person3!$B$10+ROW(B10)-1&lt;=Person3!$C$10, Person3!$B$10+ROW(B10)-1, "")</f>
        <v/>
      </c>
      <c r="I12" s="1" t="str">
        <f>IF(Person3!$B$11+ROW(B10)-1&lt;=Person3!$C$11, Person3!$B$11+ROW(B10)-1, "")</f>
        <v/>
      </c>
      <c r="J12" s="1" t="str">
        <f>IF(Person3!$B$12+ROW(B10)-1&lt;=Person3!$C$12, Person3!$B$12+ROW(B10)-1, "")</f>
        <v/>
      </c>
      <c r="K12" s="1" t="str">
        <f>IF(Person3!$B$13+ROW(B10)-1&lt;=Person3!$C$13, Person3!$B$13+ROW(B10)-1, "")</f>
        <v/>
      </c>
      <c r="L12" s="1" t="str">
        <f>IF(Person3!$B$14+ROW(B10)-1&lt;=Person3!$C$14, Person3!$B$14+ROW(B10)-1, "")</f>
        <v/>
      </c>
      <c r="M12" s="1" t="str">
        <f>IF(Person3!$B$15+ROW(B10)-1&lt;=Person3!$C$15, Person3!$B$15+ROW(B10)-1, "")</f>
        <v/>
      </c>
      <c r="N12" s="1" t="str">
        <f>IF(Person3!$B$16+ROW(B10)-1&lt;=Person3!$C$16, Person3!$B$16+ROW(B10)-1, "")</f>
        <v/>
      </c>
      <c r="O12" s="1" t="str">
        <f>IF(Person3!$B$17+ROW(B10)-1&lt;=Person3!$C$17, Person3!$B$17+ROW(B10)-1, "")</f>
        <v/>
      </c>
      <c r="V12" s="1" t="str">
        <f>IF(Person3!$D$3+ROW(A10)-1&lt;=Person3!$E$3, Person3!$D$3+ROW(A10)-1, "")</f>
        <v/>
      </c>
      <c r="W12" s="1" t="str">
        <f>IF(Person3!$D$4+ROW(A10)-1&lt;=Person3!$E$4, Person3!$D$4+ROW(A10)-1, "")</f>
        <v/>
      </c>
      <c r="X12" s="1" t="str">
        <f>IF(Person3!$D$5+ROW(A10)-1&lt;=Person3!$E$5, Person3!$D$5+ROW(A10)-1, "")</f>
        <v/>
      </c>
      <c r="Y12" s="1" t="str">
        <f>IF(Person3!$D$6+ROW(A10)-1&lt;=Person3!$E$6, Person3!$D$6+ROW(A10)-1, "")</f>
        <v/>
      </c>
      <c r="Z12" s="1" t="str">
        <f>IF(Person3!$D$7+ROW(A10)-1&lt;=Person3!$E$7, Person3!$D$7+ROW(A10)-1, "")</f>
        <v/>
      </c>
      <c r="AA12" s="1" t="str">
        <f>IF(Person3!$D$8+ROW(A10)-1&lt;=Person3!$E$8, Person3!$D$8+ROW(A10)-1, "")</f>
        <v/>
      </c>
      <c r="AE12" s="1" t="str">
        <f>IF(Person3!$F$3+ROW(A10)-1&lt;=Person3!$G$3, Person3!$F$3+ROW(A10)-1, "")</f>
        <v/>
      </c>
      <c r="AF12" s="1" t="str">
        <f>IF(Person3!$F$4+ROW(A10)-1&lt;=Person3!$G$4, Person3!$F$4+ROW(A10)-1, "")</f>
        <v/>
      </c>
      <c r="AG12" s="1" t="str">
        <f>IF(Person3!$F$5+ROW(A10)-1&lt;=Person3!$G$5, Person3!$F$5+ROW(A10)-1, "")</f>
        <v/>
      </c>
      <c r="AH12" s="1" t="str">
        <f>IF(Person3!$F$6+ROW(A10)-1&lt;=Person3!$G$6, Person3!$F$6+ROW(A10)-1, "")</f>
        <v/>
      </c>
      <c r="AI12" s="1" t="str">
        <f>IF(Person3!$F$7+ROW(A10)-1&lt;=Person3!$G$7, Person3!$F$7+ROW(A10)-1, "")</f>
        <v/>
      </c>
    </row>
    <row r="13" spans="1:35" x14ac:dyDescent="0.3">
      <c r="A13" s="1" t="str">
        <f>IF(Person3!$B$3+ROW(A11)-1&lt;=Person3!$C$3, Person3!$B$3+ROW(A11)-1, "")</f>
        <v/>
      </c>
      <c r="B13" s="1" t="str">
        <f>IF(Person3!$B$4+ROW(B11)-1&lt;=Person3!$C$4, Person3!$B$4+ROW(B11)-1, "")</f>
        <v/>
      </c>
      <c r="C13" s="1" t="str">
        <f>IF(Person3!$B$5+ROW(B11)-1&lt;=Person3!$C$5, Person3!$B$5+ROW(B11)-1, "")</f>
        <v/>
      </c>
      <c r="D13" s="1" t="str">
        <f>IF(Person3!$B$6+ROW(B11)-1&lt;=Person3!$C$6, Person3!$B$6+ROW(B11)-1, "")</f>
        <v/>
      </c>
      <c r="E13" s="1" t="str">
        <f>IF(Person3!$B$7+ROW(B11)-1&lt;=Person3!$C$7, Person3!$B$7+ROW(B11)-1, "")</f>
        <v/>
      </c>
      <c r="F13" s="1" t="str">
        <f>IF(Person3!$B$8+ROW(B11)-1&lt;=Person3!$C$8, Person3!$B$8+ROW(B11)-1, "")</f>
        <v/>
      </c>
      <c r="G13" s="1" t="str">
        <f>IF(Person3!$B$9+ROW(B11)-1&lt;=Person3!$C$9, Person3!$B$9+ROW(B11)-1, "")</f>
        <v/>
      </c>
      <c r="H13" s="1" t="str">
        <f>IF(Person3!$B$10+ROW(B11)-1&lt;=Person3!$C$10, Person3!$B$10+ROW(B11)-1, "")</f>
        <v/>
      </c>
      <c r="I13" s="1" t="str">
        <f>IF(Person3!$B$11+ROW(B11)-1&lt;=Person3!$C$11, Person3!$B$11+ROW(B11)-1, "")</f>
        <v/>
      </c>
      <c r="J13" s="1" t="str">
        <f>IF(Person3!$B$12+ROW(B11)-1&lt;=Person3!$C$12, Person3!$B$12+ROW(B11)-1, "")</f>
        <v/>
      </c>
      <c r="K13" s="1" t="str">
        <f>IF(Person3!$B$13+ROW(B11)-1&lt;=Person3!$C$13, Person3!$B$13+ROW(B11)-1, "")</f>
        <v/>
      </c>
      <c r="L13" s="1" t="str">
        <f>IF(Person3!$B$14+ROW(B11)-1&lt;=Person3!$C$14, Person3!$B$14+ROW(B11)-1, "")</f>
        <v/>
      </c>
      <c r="M13" s="1" t="str">
        <f>IF(Person3!$B$15+ROW(B11)-1&lt;=Person3!$C$15, Person3!$B$15+ROW(B11)-1, "")</f>
        <v/>
      </c>
      <c r="N13" s="1" t="str">
        <f>IF(Person3!$B$16+ROW(B11)-1&lt;=Person3!$C$16, Person3!$B$16+ROW(B11)-1, "")</f>
        <v/>
      </c>
      <c r="O13" s="1" t="str">
        <f>IF(Person3!$B$17+ROW(B11)-1&lt;=Person3!$C$17, Person3!$B$17+ROW(B11)-1, "")</f>
        <v/>
      </c>
      <c r="V13" s="1" t="str">
        <f>IF(Person3!$D$3+ROW(A11)-1&lt;=Person3!$E$3, Person3!$D$3+ROW(A11)-1, "")</f>
        <v/>
      </c>
      <c r="W13" s="1" t="str">
        <f>IF(Person3!$D$4+ROW(A11)-1&lt;=Person3!$E$4, Person3!$D$4+ROW(A11)-1, "")</f>
        <v/>
      </c>
      <c r="X13" s="1" t="str">
        <f>IF(Person3!$D$5+ROW(A11)-1&lt;=Person3!$E$5, Person3!$D$5+ROW(A11)-1, "")</f>
        <v/>
      </c>
      <c r="Y13" s="1" t="str">
        <f>IF(Person3!$D$6+ROW(A11)-1&lt;=Person3!$E$6, Person3!$D$6+ROW(A11)-1, "")</f>
        <v/>
      </c>
      <c r="Z13" s="1" t="str">
        <f>IF(Person3!$D$7+ROW(A11)-1&lt;=Person3!$E$7, Person3!$D$7+ROW(A11)-1, "")</f>
        <v/>
      </c>
      <c r="AA13" s="1" t="str">
        <f>IF(Person3!$D$8+ROW(A11)-1&lt;=Person3!$E$8, Person3!$D$8+ROW(A11)-1, "")</f>
        <v/>
      </c>
      <c r="AE13" s="1" t="str">
        <f>IF(Person3!$F$3+ROW(A11)-1&lt;=Person3!$G$3, Person3!$F$3+ROW(A11)-1, "")</f>
        <v/>
      </c>
      <c r="AF13" s="1" t="str">
        <f>IF(Person3!$F$4+ROW(A11)-1&lt;=Person3!$G$4, Person3!$F$4+ROW(A11)-1, "")</f>
        <v/>
      </c>
      <c r="AG13" s="1" t="str">
        <f>IF(Person3!$F$5+ROW(A11)-1&lt;=Person3!$G$5, Person3!$F$5+ROW(A11)-1, "")</f>
        <v/>
      </c>
      <c r="AH13" s="1" t="str">
        <f>IF(Person3!$F$6+ROW(A11)-1&lt;=Person3!$G$6, Person3!$F$6+ROW(A11)-1, "")</f>
        <v/>
      </c>
      <c r="AI13" s="1" t="str">
        <f>IF(Person3!$F$7+ROW(A11)-1&lt;=Person3!$G$7, Person3!$F$7+ROW(A11)-1, "")</f>
        <v/>
      </c>
    </row>
    <row r="14" spans="1:35" x14ac:dyDescent="0.3">
      <c r="A14" s="1" t="str">
        <f>IF(Person3!$B$3+ROW(A12)-1&lt;=Person3!$C$3, Person3!$B$3+ROW(A12)-1, "")</f>
        <v/>
      </c>
      <c r="B14" s="1" t="str">
        <f>IF(Person3!$B$4+ROW(B12)-1&lt;=Person3!$C$4, Person3!$B$4+ROW(B12)-1, "")</f>
        <v/>
      </c>
      <c r="C14" s="1" t="str">
        <f>IF(Person3!$B$5+ROW(B12)-1&lt;=Person3!$C$5, Person3!$B$5+ROW(B12)-1, "")</f>
        <v/>
      </c>
      <c r="D14" s="1" t="str">
        <f>IF(Person3!$B$6+ROW(B12)-1&lt;=Person3!$C$6, Person3!$B$6+ROW(B12)-1, "")</f>
        <v/>
      </c>
      <c r="E14" s="1" t="str">
        <f>IF(Person3!$B$7+ROW(B12)-1&lt;=Person3!$C$7, Person3!$B$7+ROW(B12)-1, "")</f>
        <v/>
      </c>
      <c r="F14" s="1" t="str">
        <f>IF(Person3!$B$8+ROW(B12)-1&lt;=Person3!$C$8, Person3!$B$8+ROW(B12)-1, "")</f>
        <v/>
      </c>
      <c r="G14" s="1" t="str">
        <f>IF(Person3!$B$9+ROW(B12)-1&lt;=Person3!$C$9, Person3!$B$9+ROW(B12)-1, "")</f>
        <v/>
      </c>
      <c r="H14" s="1" t="str">
        <f>IF(Person3!$B$10+ROW(B12)-1&lt;=Person3!$C$10, Person3!$B$10+ROW(B12)-1, "")</f>
        <v/>
      </c>
      <c r="I14" s="1" t="str">
        <f>IF(Person3!$B$11+ROW(B12)-1&lt;=Person3!$C$11, Person3!$B$11+ROW(B12)-1, "")</f>
        <v/>
      </c>
      <c r="J14" s="1" t="str">
        <f>IF(Person3!$B$12+ROW(B12)-1&lt;=Person3!$C$12, Person3!$B$12+ROW(B12)-1, "")</f>
        <v/>
      </c>
      <c r="K14" s="1" t="str">
        <f>IF(Person3!$B$13+ROW(B12)-1&lt;=Person3!$C$13, Person3!$B$13+ROW(B12)-1, "")</f>
        <v/>
      </c>
      <c r="L14" s="1" t="str">
        <f>IF(Person3!$B$14+ROW(B12)-1&lt;=Person3!$C$14, Person3!$B$14+ROW(B12)-1, "")</f>
        <v/>
      </c>
      <c r="M14" s="1" t="str">
        <f>IF(Person3!$B$15+ROW(B12)-1&lt;=Person3!$C$15, Person3!$B$15+ROW(B12)-1, "")</f>
        <v/>
      </c>
      <c r="N14" s="1" t="str">
        <f>IF(Person3!$B$16+ROW(B12)-1&lt;=Person3!$C$16, Person3!$B$16+ROW(B12)-1, "")</f>
        <v/>
      </c>
      <c r="O14" s="1" t="str">
        <f>IF(Person3!$B$17+ROW(B12)-1&lt;=Person3!$C$17, Person3!$B$17+ROW(B12)-1, "")</f>
        <v/>
      </c>
      <c r="V14" s="1" t="str">
        <f>IF(Person3!$D$3+ROW(A12)-1&lt;=Person3!$E$3, Person3!$D$3+ROW(A12)-1, "")</f>
        <v/>
      </c>
      <c r="W14" s="1" t="str">
        <f>IF(Person3!$D$4+ROW(A12)-1&lt;=Person3!$E$4, Person3!$D$4+ROW(A12)-1, "")</f>
        <v/>
      </c>
      <c r="X14" s="1" t="str">
        <f>IF(Person3!$D$5+ROW(A12)-1&lt;=Person3!$E$5, Person3!$D$5+ROW(A12)-1, "")</f>
        <v/>
      </c>
      <c r="Y14" s="1" t="str">
        <f>IF(Person3!$D$6+ROW(A12)-1&lt;=Person3!$E$6, Person3!$D$6+ROW(A12)-1, "")</f>
        <v/>
      </c>
      <c r="Z14" s="1" t="str">
        <f>IF(Person3!$D$7+ROW(A12)-1&lt;=Person3!$E$7, Person3!$D$7+ROW(A12)-1, "")</f>
        <v/>
      </c>
      <c r="AA14" s="1" t="str">
        <f>IF(Person3!$D$8+ROW(A12)-1&lt;=Person3!$E$8, Person3!$D$8+ROW(A12)-1, "")</f>
        <v/>
      </c>
      <c r="AE14" s="1" t="str">
        <f>IF(Person3!$F$3+ROW(A12)-1&lt;=Person3!$G$3, Person3!$F$3+ROW(A12)-1, "")</f>
        <v/>
      </c>
      <c r="AF14" s="1" t="str">
        <f>IF(Person3!$F$4+ROW(A12)-1&lt;=Person3!$G$4, Person3!$F$4+ROW(A12)-1, "")</f>
        <v/>
      </c>
      <c r="AG14" s="1" t="str">
        <f>IF(Person3!$F$5+ROW(A12)-1&lt;=Person3!$G$5, Person3!$F$5+ROW(A12)-1, "")</f>
        <v/>
      </c>
      <c r="AH14" s="1" t="str">
        <f>IF(Person3!$F$6+ROW(A12)-1&lt;=Person3!$G$6, Person3!$F$6+ROW(A12)-1, "")</f>
        <v/>
      </c>
      <c r="AI14" s="1" t="str">
        <f>IF(Person3!$F$7+ROW(A12)-1&lt;=Person3!$G$7, Person3!$F$7+ROW(A12)-1, "")</f>
        <v/>
      </c>
    </row>
    <row r="15" spans="1:35" x14ac:dyDescent="0.3">
      <c r="A15" s="1" t="str">
        <f>IF(Person3!$B$3+ROW(A13)-1&lt;=Person3!$C$3, Person3!$B$3+ROW(A13)-1, "")</f>
        <v/>
      </c>
      <c r="B15" s="1" t="str">
        <f>IF(Person3!$B$4+ROW(B13)-1&lt;=Person3!$C$4, Person3!$B$4+ROW(B13)-1, "")</f>
        <v/>
      </c>
      <c r="C15" s="1" t="str">
        <f>IF(Person3!$B$5+ROW(B13)-1&lt;=Person3!$C$5, Person3!$B$5+ROW(B13)-1, "")</f>
        <v/>
      </c>
      <c r="D15" s="1" t="str">
        <f>IF(Person3!$B$6+ROW(B13)-1&lt;=Person3!$C$6, Person3!$B$6+ROW(B13)-1, "")</f>
        <v/>
      </c>
      <c r="E15" s="1" t="str">
        <f>IF(Person3!$B$7+ROW(B13)-1&lt;=Person3!$C$7, Person3!$B$7+ROW(B13)-1, "")</f>
        <v/>
      </c>
      <c r="F15" s="1" t="str">
        <f>IF(Person3!$B$8+ROW(B13)-1&lt;=Person3!$C$8, Person3!$B$8+ROW(B13)-1, "")</f>
        <v/>
      </c>
      <c r="G15" s="1" t="str">
        <f>IF(Person3!$B$9+ROW(B13)-1&lt;=Person3!$C$9, Person3!$B$9+ROW(B13)-1, "")</f>
        <v/>
      </c>
      <c r="H15" s="1" t="str">
        <f>IF(Person3!$B$10+ROW(B13)-1&lt;=Person3!$C$10, Person3!$B$10+ROW(B13)-1, "")</f>
        <v/>
      </c>
      <c r="I15" s="1" t="str">
        <f>IF(Person3!$B$11+ROW(B13)-1&lt;=Person3!$C$11, Person3!$B$11+ROW(B13)-1, "")</f>
        <v/>
      </c>
      <c r="J15" s="1" t="str">
        <f>IF(Person3!$B$12+ROW(B13)-1&lt;=Person3!$C$12, Person3!$B$12+ROW(B13)-1, "")</f>
        <v/>
      </c>
      <c r="K15" s="1" t="str">
        <f>IF(Person3!$B$13+ROW(B13)-1&lt;=Person3!$C$13, Person3!$B$13+ROW(B13)-1, "")</f>
        <v/>
      </c>
      <c r="L15" s="1" t="str">
        <f>IF(Person3!$B$14+ROW(B13)-1&lt;=Person3!$C$14, Person3!$B$14+ROW(B13)-1, "")</f>
        <v/>
      </c>
      <c r="M15" s="1" t="str">
        <f>IF(Person3!$B$15+ROW(B13)-1&lt;=Person3!$C$15, Person3!$B$15+ROW(B13)-1, "")</f>
        <v/>
      </c>
      <c r="N15" s="1" t="str">
        <f>IF(Person3!$B$16+ROW(B13)-1&lt;=Person3!$C$16, Person3!$B$16+ROW(B13)-1, "")</f>
        <v/>
      </c>
      <c r="O15" s="1" t="str">
        <f>IF(Person3!$B$17+ROW(B13)-1&lt;=Person3!$C$17, Person3!$B$17+ROW(B13)-1, "")</f>
        <v/>
      </c>
      <c r="V15" s="1" t="str">
        <f>IF(Person3!$D$3+ROW(A13)-1&lt;=Person3!$E$3, Person3!$D$3+ROW(A13)-1, "")</f>
        <v/>
      </c>
      <c r="W15" s="1" t="str">
        <f>IF(Person3!$D$4+ROW(A13)-1&lt;=Person3!$E$4, Person3!$D$4+ROW(A13)-1, "")</f>
        <v/>
      </c>
      <c r="X15" s="1" t="str">
        <f>IF(Person3!$D$5+ROW(A13)-1&lt;=Person3!$E$5, Person3!$D$5+ROW(A13)-1, "")</f>
        <v/>
      </c>
      <c r="Y15" s="1" t="str">
        <f>IF(Person3!$D$6+ROW(A13)-1&lt;=Person3!$E$6, Person3!$D$6+ROW(A13)-1, "")</f>
        <v/>
      </c>
      <c r="Z15" s="1" t="str">
        <f>IF(Person3!$D$7+ROW(A13)-1&lt;=Person3!$E$7, Person3!$D$7+ROW(A13)-1, "")</f>
        <v/>
      </c>
      <c r="AA15" s="1" t="str">
        <f>IF(Person3!$D$8+ROW(A13)-1&lt;=Person3!$E$8, Person3!$D$8+ROW(A13)-1, "")</f>
        <v/>
      </c>
      <c r="AE15" s="1" t="str">
        <f>IF(Person3!$F$3+ROW(A13)-1&lt;=Person3!$G$3, Person3!$F$3+ROW(A13)-1, "")</f>
        <v/>
      </c>
      <c r="AF15" s="1" t="str">
        <f>IF(Person3!$F$4+ROW(A13)-1&lt;=Person3!$G$4, Person3!$F$4+ROW(A13)-1, "")</f>
        <v/>
      </c>
      <c r="AG15" s="1" t="str">
        <f>IF(Person3!$F$5+ROW(A13)-1&lt;=Person3!$G$5, Person3!$F$5+ROW(A13)-1, "")</f>
        <v/>
      </c>
      <c r="AH15" s="1" t="str">
        <f>IF(Person3!$F$6+ROW(A13)-1&lt;=Person3!$G$6, Person3!$F$6+ROW(A13)-1, "")</f>
        <v/>
      </c>
      <c r="AI15" s="1" t="str">
        <f>IF(Person3!$F$7+ROW(A13)-1&lt;=Person3!$G$7, Person3!$F$7+ROW(A13)-1, "")</f>
        <v/>
      </c>
    </row>
    <row r="16" spans="1:35" x14ac:dyDescent="0.3">
      <c r="A16" s="1" t="str">
        <f>IF(Person3!$B$3+ROW(A14)-1&lt;=Person3!$C$3, Person3!$B$3+ROW(A14)-1, "")</f>
        <v/>
      </c>
      <c r="B16" s="1" t="str">
        <f>IF(Person3!$B$4+ROW(B14)-1&lt;=Person3!$C$4, Person3!$B$4+ROW(B14)-1, "")</f>
        <v/>
      </c>
      <c r="C16" s="1" t="str">
        <f>IF(Person3!$B$5+ROW(B14)-1&lt;=Person3!$C$5, Person3!$B$5+ROW(B14)-1, "")</f>
        <v/>
      </c>
      <c r="D16" s="1" t="str">
        <f>IF(Person3!$B$6+ROW(B14)-1&lt;=Person3!$C$6, Person3!$B$6+ROW(B14)-1, "")</f>
        <v/>
      </c>
      <c r="E16" s="1" t="str">
        <f>IF(Person3!$B$7+ROW(B14)-1&lt;=Person3!$C$7, Person3!$B$7+ROW(B14)-1, "")</f>
        <v/>
      </c>
      <c r="F16" s="1" t="str">
        <f>IF(Person3!$B$8+ROW(B14)-1&lt;=Person3!$C$8, Person3!$B$8+ROW(B14)-1, "")</f>
        <v/>
      </c>
      <c r="G16" s="1" t="str">
        <f>IF(Person3!$B$9+ROW(B14)-1&lt;=Person3!$C$9, Person3!$B$9+ROW(B14)-1, "")</f>
        <v/>
      </c>
      <c r="H16" s="1" t="str">
        <f>IF(Person3!$B$10+ROW(B14)-1&lt;=Person3!$C$10, Person3!$B$10+ROW(B14)-1, "")</f>
        <v/>
      </c>
      <c r="I16" s="1" t="str">
        <f>IF(Person3!$B$11+ROW(B14)-1&lt;=Person3!$C$11, Person3!$B$11+ROW(B14)-1, "")</f>
        <v/>
      </c>
      <c r="J16" s="1" t="str">
        <f>IF(Person3!$B$12+ROW(B14)-1&lt;=Person3!$C$12, Person3!$B$12+ROW(B14)-1, "")</f>
        <v/>
      </c>
      <c r="K16" s="1" t="str">
        <f>IF(Person3!$B$13+ROW(B14)-1&lt;=Person3!$C$13, Person3!$B$13+ROW(B14)-1, "")</f>
        <v/>
      </c>
      <c r="L16" s="1" t="str">
        <f>IF(Person3!$B$14+ROW(B14)-1&lt;=Person3!$C$14, Person3!$B$14+ROW(B14)-1, "")</f>
        <v/>
      </c>
      <c r="M16" s="1" t="str">
        <f>IF(Person3!$B$15+ROW(B14)-1&lt;=Person3!$C$15, Person3!$B$15+ROW(B14)-1, "")</f>
        <v/>
      </c>
      <c r="N16" s="1" t="str">
        <f>IF(Person3!$B$16+ROW(B14)-1&lt;=Person3!$C$16, Person3!$B$16+ROW(B14)-1, "")</f>
        <v/>
      </c>
      <c r="O16" s="1" t="str">
        <f>IF(Person3!$B$17+ROW(B14)-1&lt;=Person3!$C$17, Person3!$B$17+ROW(B14)-1, "")</f>
        <v/>
      </c>
      <c r="V16" s="1" t="str">
        <f>IF(Person3!$D$3+ROW(A14)-1&lt;=Person3!$E$3, Person3!$D$3+ROW(A14)-1, "")</f>
        <v/>
      </c>
      <c r="W16" s="1" t="str">
        <f>IF(Person3!$D$4+ROW(A14)-1&lt;=Person3!$E$4, Person3!$D$4+ROW(A14)-1, "")</f>
        <v/>
      </c>
      <c r="X16" s="1" t="str">
        <f>IF(Person3!$D$5+ROW(A14)-1&lt;=Person3!$E$5, Person3!$D$5+ROW(A14)-1, "")</f>
        <v/>
      </c>
      <c r="Y16" s="1" t="str">
        <f>IF(Person3!$D$6+ROW(A14)-1&lt;=Person3!$E$6, Person3!$D$6+ROW(A14)-1, "")</f>
        <v/>
      </c>
      <c r="Z16" s="1" t="str">
        <f>IF(Person3!$D$7+ROW(A14)-1&lt;=Person3!$E$7, Person3!$D$7+ROW(A14)-1, "")</f>
        <v/>
      </c>
      <c r="AA16" s="1" t="str">
        <f>IF(Person3!$D$8+ROW(A14)-1&lt;=Person3!$E$8, Person3!$D$8+ROW(A14)-1, "")</f>
        <v/>
      </c>
      <c r="AE16" s="1" t="str">
        <f>IF(Person3!$F$3+ROW(A14)-1&lt;=Person3!$G$3, Person3!$F$3+ROW(A14)-1, "")</f>
        <v/>
      </c>
      <c r="AF16" s="1" t="str">
        <f>IF(Person3!$F$4+ROW(A14)-1&lt;=Person3!$G$4, Person3!$F$4+ROW(A14)-1, "")</f>
        <v/>
      </c>
      <c r="AG16" s="1" t="str">
        <f>IF(Person3!$F$5+ROW(A14)-1&lt;=Person3!$G$5, Person3!$F$5+ROW(A14)-1, "")</f>
        <v/>
      </c>
      <c r="AH16" s="1" t="str">
        <f>IF(Person3!$F$6+ROW(A14)-1&lt;=Person3!$G$6, Person3!$F$6+ROW(A14)-1, "")</f>
        <v/>
      </c>
      <c r="AI16" s="1" t="str">
        <f>IF(Person3!$F$7+ROW(A14)-1&lt;=Person3!$G$7, Person3!$F$7+ROW(A14)-1, "")</f>
        <v/>
      </c>
    </row>
    <row r="17" spans="1:35" x14ac:dyDescent="0.3">
      <c r="A17" s="1" t="str">
        <f>IF(Person3!$B$3+ROW(A15)-1&lt;=Person3!$C$3, Person3!$B$3+ROW(A15)-1, "")</f>
        <v/>
      </c>
      <c r="B17" s="1" t="str">
        <f>IF(Person3!$B$4+ROW(B15)-1&lt;=Person3!$C$4, Person3!$B$4+ROW(B15)-1, "")</f>
        <v/>
      </c>
      <c r="C17" s="1" t="str">
        <f>IF(Person3!$B$5+ROW(B15)-1&lt;=Person3!$C$5, Person3!$B$5+ROW(B15)-1, "")</f>
        <v/>
      </c>
      <c r="D17" s="1" t="str">
        <f>IF(Person3!$B$6+ROW(B15)-1&lt;=Person3!$C$6, Person3!$B$6+ROW(B15)-1, "")</f>
        <v/>
      </c>
      <c r="E17" s="1" t="str">
        <f>IF(Person3!$B$7+ROW(B15)-1&lt;=Person3!$C$7, Person3!$B$7+ROW(B15)-1, "")</f>
        <v/>
      </c>
      <c r="F17" s="1" t="str">
        <f>IF(Person3!$B$8+ROW(B15)-1&lt;=Person3!$C$8, Person3!$B$8+ROW(B15)-1, "")</f>
        <v/>
      </c>
      <c r="G17" s="1" t="str">
        <f>IF(Person3!$B$9+ROW(B15)-1&lt;=Person3!$C$9, Person3!$B$9+ROW(B15)-1, "")</f>
        <v/>
      </c>
      <c r="H17" s="1" t="str">
        <f>IF(Person3!$B$10+ROW(B15)-1&lt;=Person3!$C$10, Person3!$B$10+ROW(B15)-1, "")</f>
        <v/>
      </c>
      <c r="I17" s="1" t="str">
        <f>IF(Person3!$B$11+ROW(B15)-1&lt;=Person3!$C$11, Person3!$B$11+ROW(B15)-1, "")</f>
        <v/>
      </c>
      <c r="J17" s="1" t="str">
        <f>IF(Person3!$B$12+ROW(B15)-1&lt;=Person3!$C$12, Person3!$B$12+ROW(B15)-1, "")</f>
        <v/>
      </c>
      <c r="K17" s="1" t="str">
        <f>IF(Person3!$B$13+ROW(B15)-1&lt;=Person3!$C$13, Person3!$B$13+ROW(B15)-1, "")</f>
        <v/>
      </c>
      <c r="L17" s="1" t="str">
        <f>IF(Person3!$B$14+ROW(B15)-1&lt;=Person3!$C$14, Person3!$B$14+ROW(B15)-1, "")</f>
        <v/>
      </c>
      <c r="M17" s="1" t="str">
        <f>IF(Person3!$B$15+ROW(B15)-1&lt;=Person3!$C$15, Person3!$B$15+ROW(B15)-1, "")</f>
        <v/>
      </c>
      <c r="N17" s="1" t="str">
        <f>IF(Person3!$B$16+ROW(B15)-1&lt;=Person3!$C$16, Person3!$B$16+ROW(B15)-1, "")</f>
        <v/>
      </c>
      <c r="O17" s="1" t="str">
        <f>IF(Person3!$B$17+ROW(B15)-1&lt;=Person3!$C$17, Person3!$B$17+ROW(B15)-1, "")</f>
        <v/>
      </c>
      <c r="V17" s="1" t="str">
        <f>IF(Person3!$D$3+ROW(A15)-1&lt;=Person3!$E$3, Person3!$D$3+ROW(A15)-1, "")</f>
        <v/>
      </c>
      <c r="W17" s="1" t="str">
        <f>IF(Person3!$D$4+ROW(A15)-1&lt;=Person3!$E$4, Person3!$D$4+ROW(A15)-1, "")</f>
        <v/>
      </c>
      <c r="X17" s="1" t="str">
        <f>IF(Person3!$D$5+ROW(A15)-1&lt;=Person3!$E$5, Person3!$D$5+ROW(A15)-1, "")</f>
        <v/>
      </c>
      <c r="Y17" s="1" t="str">
        <f>IF(Person3!$D$6+ROW(A15)-1&lt;=Person3!$E$6, Person3!$D$6+ROW(A15)-1, "")</f>
        <v/>
      </c>
      <c r="Z17" s="1" t="str">
        <f>IF(Person3!$D$7+ROW(A15)-1&lt;=Person3!$E$7, Person3!$D$7+ROW(A15)-1, "")</f>
        <v/>
      </c>
      <c r="AA17" s="1" t="str">
        <f>IF(Person3!$D$8+ROW(A15)-1&lt;=Person3!$E$8, Person3!$D$8+ROW(A15)-1, "")</f>
        <v/>
      </c>
      <c r="AE17" s="1" t="str">
        <f>IF(Person3!$F$3+ROW(A15)-1&lt;=Person3!$G$3, Person3!$F$3+ROW(A15)-1, "")</f>
        <v/>
      </c>
      <c r="AF17" s="1" t="str">
        <f>IF(Person3!$F$4+ROW(A15)-1&lt;=Person3!$G$4, Person3!$F$4+ROW(A15)-1, "")</f>
        <v/>
      </c>
      <c r="AG17" s="1" t="str">
        <f>IF(Person3!$F$5+ROW(A15)-1&lt;=Person3!$G$5, Person3!$F$5+ROW(A15)-1, "")</f>
        <v/>
      </c>
      <c r="AH17" s="1" t="str">
        <f>IF(Person3!$F$6+ROW(A15)-1&lt;=Person3!$G$6, Person3!$F$6+ROW(A15)-1, "")</f>
        <v/>
      </c>
      <c r="AI17" s="1" t="str">
        <f>IF(Person3!$F$7+ROW(A15)-1&lt;=Person3!$G$7, Person3!$F$7+ROW(A15)-1, "")</f>
        <v/>
      </c>
    </row>
    <row r="18" spans="1:35" x14ac:dyDescent="0.3">
      <c r="A18" s="1" t="str">
        <f>IF(Person3!$B$3+ROW(A16)-1&lt;=Person3!$C$3, Person3!$B$3+ROW(A16)-1, "")</f>
        <v/>
      </c>
      <c r="B18" s="1" t="str">
        <f>IF(Person3!$B$4+ROW(B16)-1&lt;=Person3!$C$4, Person3!$B$4+ROW(B16)-1, "")</f>
        <v/>
      </c>
      <c r="C18" s="1" t="str">
        <f>IF(Person3!$B$5+ROW(B16)-1&lt;=Person3!$C$5, Person3!$B$5+ROW(B16)-1, "")</f>
        <v/>
      </c>
      <c r="D18" s="1" t="str">
        <f>IF(Person3!$B$6+ROW(B16)-1&lt;=Person3!$C$6, Person3!$B$6+ROW(B16)-1, "")</f>
        <v/>
      </c>
      <c r="E18" s="1" t="str">
        <f>IF(Person3!$B$7+ROW(B16)-1&lt;=Person3!$C$7, Person3!$B$7+ROW(B16)-1, "")</f>
        <v/>
      </c>
      <c r="F18" s="1" t="str">
        <f>IF(Person3!$B$8+ROW(B16)-1&lt;=Person3!$C$8, Person3!$B$8+ROW(B16)-1, "")</f>
        <v/>
      </c>
      <c r="G18" s="1" t="str">
        <f>IF(Person3!$B$9+ROW(B16)-1&lt;=Person3!$C$9, Person3!$B$9+ROW(B16)-1, "")</f>
        <v/>
      </c>
      <c r="H18" s="1" t="str">
        <f>IF(Person3!$B$10+ROW(B16)-1&lt;=Person3!$C$10, Person3!$B$10+ROW(B16)-1, "")</f>
        <v/>
      </c>
      <c r="I18" s="1" t="str">
        <f>IF(Person3!$B$11+ROW(B16)-1&lt;=Person3!$C$11, Person3!$B$11+ROW(B16)-1, "")</f>
        <v/>
      </c>
      <c r="J18" s="1" t="str">
        <f>IF(Person3!$B$12+ROW(B16)-1&lt;=Person3!$C$12, Person3!$B$12+ROW(B16)-1, "")</f>
        <v/>
      </c>
      <c r="K18" s="1" t="str">
        <f>IF(Person3!$B$13+ROW(B16)-1&lt;=Person3!$C$13, Person3!$B$13+ROW(B16)-1, "")</f>
        <v/>
      </c>
      <c r="L18" s="1" t="str">
        <f>IF(Person3!$B$14+ROW(B16)-1&lt;=Person3!$C$14, Person3!$B$14+ROW(B16)-1, "")</f>
        <v/>
      </c>
      <c r="M18" s="1" t="str">
        <f>IF(Person3!$B$15+ROW(B16)-1&lt;=Person3!$C$15, Person3!$B$15+ROW(B16)-1, "")</f>
        <v/>
      </c>
      <c r="N18" s="1" t="str">
        <f>IF(Person3!$B$16+ROW(B16)-1&lt;=Person3!$C$16, Person3!$B$16+ROW(B16)-1, "")</f>
        <v/>
      </c>
      <c r="O18" s="1" t="str">
        <f>IF(Person3!$B$17+ROW(B16)-1&lt;=Person3!$C$17, Person3!$B$17+ROW(B16)-1, "")</f>
        <v/>
      </c>
      <c r="V18" s="1" t="str">
        <f>IF(Person3!$D$3+ROW(A16)-1&lt;=Person3!$E$3, Person3!$D$3+ROW(A16)-1, "")</f>
        <v/>
      </c>
      <c r="W18" s="1" t="str">
        <f>IF(Person3!$D$4+ROW(A16)-1&lt;=Person3!$E$4, Person3!$D$4+ROW(A16)-1, "")</f>
        <v/>
      </c>
      <c r="X18" s="1" t="str">
        <f>IF(Person3!$D$5+ROW(A16)-1&lt;=Person3!$E$5, Person3!$D$5+ROW(A16)-1, "")</f>
        <v/>
      </c>
      <c r="Y18" s="1" t="str">
        <f>IF(Person3!$D$6+ROW(A16)-1&lt;=Person3!$E$6, Person3!$D$6+ROW(A16)-1, "")</f>
        <v/>
      </c>
      <c r="Z18" s="1" t="str">
        <f>IF(Person3!$D$7+ROW(A16)-1&lt;=Person3!$E$7, Person3!$D$7+ROW(A16)-1, "")</f>
        <v/>
      </c>
      <c r="AA18" s="1" t="str">
        <f>IF(Person3!$D$8+ROW(A16)-1&lt;=Person3!$E$8, Person3!$D$8+ROW(A16)-1, "")</f>
        <v/>
      </c>
      <c r="AE18" s="1" t="str">
        <f>IF(Person3!$F$3+ROW(A16)-1&lt;=Person3!$G$3, Person3!$F$3+ROW(A16)-1, "")</f>
        <v/>
      </c>
      <c r="AF18" s="1" t="str">
        <f>IF(Person3!$F$4+ROW(A16)-1&lt;=Person3!$G$4, Person3!$F$4+ROW(A16)-1, "")</f>
        <v/>
      </c>
      <c r="AG18" s="1" t="str">
        <f>IF(Person3!$F$5+ROW(A16)-1&lt;=Person3!$G$5, Person3!$F$5+ROW(A16)-1, "")</f>
        <v/>
      </c>
      <c r="AH18" s="1" t="str">
        <f>IF(Person3!$F$6+ROW(A16)-1&lt;=Person3!$G$6, Person3!$F$6+ROW(A16)-1, "")</f>
        <v/>
      </c>
      <c r="AI18" s="1" t="str">
        <f>IF(Person3!$F$7+ROW(A16)-1&lt;=Person3!$G$7, Person3!$F$7+ROW(A16)-1, "")</f>
        <v/>
      </c>
    </row>
    <row r="19" spans="1:35" x14ac:dyDescent="0.3">
      <c r="A19" s="1" t="str">
        <f>IF(Person3!$B$3+ROW(A17)-1&lt;=Person3!$C$3, Person3!$B$3+ROW(A17)-1, "")</f>
        <v/>
      </c>
      <c r="B19" s="1" t="str">
        <f>IF(Person3!$B$4+ROW(B17)-1&lt;=Person3!$C$4, Person3!$B$4+ROW(B17)-1, "")</f>
        <v/>
      </c>
      <c r="C19" s="1" t="str">
        <f>IF(Person3!$B$5+ROW(B17)-1&lt;=Person3!$C$5, Person3!$B$5+ROW(B17)-1, "")</f>
        <v/>
      </c>
      <c r="D19" s="1" t="str">
        <f>IF(Person3!$B$6+ROW(B17)-1&lt;=Person3!$C$6, Person3!$B$6+ROW(B17)-1, "")</f>
        <v/>
      </c>
      <c r="E19" s="1" t="str">
        <f>IF(Person3!$B$7+ROW(B17)-1&lt;=Person3!$C$7, Person3!$B$7+ROW(B17)-1, "")</f>
        <v/>
      </c>
      <c r="F19" s="1" t="str">
        <f>IF(Person3!$B$8+ROW(B17)-1&lt;=Person3!$C$8, Person3!$B$8+ROW(B17)-1, "")</f>
        <v/>
      </c>
      <c r="G19" s="1" t="str">
        <f>IF(Person3!$B$9+ROW(B17)-1&lt;=Person3!$C$9, Person3!$B$9+ROW(B17)-1, "")</f>
        <v/>
      </c>
      <c r="H19" s="1" t="str">
        <f>IF(Person3!$B$10+ROW(B17)-1&lt;=Person3!$C$10, Person3!$B$10+ROW(B17)-1, "")</f>
        <v/>
      </c>
      <c r="I19" s="1" t="str">
        <f>IF(Person3!$B$11+ROW(B17)-1&lt;=Person3!$C$11, Person3!$B$11+ROW(B17)-1, "")</f>
        <v/>
      </c>
      <c r="J19" s="1" t="str">
        <f>IF(Person3!$B$12+ROW(B17)-1&lt;=Person3!$C$12, Person3!$B$12+ROW(B17)-1, "")</f>
        <v/>
      </c>
      <c r="K19" s="1" t="str">
        <f>IF(Person3!$B$13+ROW(B17)-1&lt;=Person3!$C$13, Person3!$B$13+ROW(B17)-1, "")</f>
        <v/>
      </c>
      <c r="L19" s="1" t="str">
        <f>IF(Person3!$B$14+ROW(B17)-1&lt;=Person3!$C$14, Person3!$B$14+ROW(B17)-1, "")</f>
        <v/>
      </c>
      <c r="M19" s="1" t="str">
        <f>IF(Person3!$B$15+ROW(B17)-1&lt;=Person3!$C$15, Person3!$B$15+ROW(B17)-1, "")</f>
        <v/>
      </c>
      <c r="N19" s="1" t="str">
        <f>IF(Person3!$B$16+ROW(B17)-1&lt;=Person3!$C$16, Person3!$B$16+ROW(B17)-1, "")</f>
        <v/>
      </c>
      <c r="O19" s="1" t="str">
        <f>IF(Person3!$B$17+ROW(B17)-1&lt;=Person3!$C$17, Person3!$B$17+ROW(B17)-1, "")</f>
        <v/>
      </c>
      <c r="V19" s="1" t="str">
        <f>IF(Person3!$D$3+ROW(A17)-1&lt;=Person3!$E$3, Person3!$D$3+ROW(A17)-1, "")</f>
        <v/>
      </c>
      <c r="W19" s="1" t="str">
        <f>IF(Person3!$D$4+ROW(A17)-1&lt;=Person3!$E$4, Person3!$D$4+ROW(A17)-1, "")</f>
        <v/>
      </c>
      <c r="X19" s="1" t="str">
        <f>IF(Person3!$D$5+ROW(A17)-1&lt;=Person3!$E$5, Person3!$D$5+ROW(A17)-1, "")</f>
        <v/>
      </c>
      <c r="Y19" s="1" t="str">
        <f>IF(Person3!$D$6+ROW(A17)-1&lt;=Person3!$E$6, Person3!$D$6+ROW(A17)-1, "")</f>
        <v/>
      </c>
      <c r="Z19" s="1" t="str">
        <f>IF(Person3!$D$7+ROW(A17)-1&lt;=Person3!$E$7, Person3!$D$7+ROW(A17)-1, "")</f>
        <v/>
      </c>
      <c r="AA19" s="1" t="str">
        <f>IF(Person3!$D$8+ROW(A17)-1&lt;=Person3!$E$8, Person3!$D$8+ROW(A17)-1, "")</f>
        <v/>
      </c>
      <c r="AE19" s="1" t="str">
        <f>IF(Person3!$F$3+ROW(A17)-1&lt;=Person3!$G$3, Person3!$F$3+ROW(A17)-1, "")</f>
        <v/>
      </c>
      <c r="AF19" s="1" t="str">
        <f>IF(Person3!$F$4+ROW(A17)-1&lt;=Person3!$G$4, Person3!$F$4+ROW(A17)-1, "")</f>
        <v/>
      </c>
      <c r="AG19" s="1" t="str">
        <f>IF(Person3!$F$5+ROW(A17)-1&lt;=Person3!$G$5, Person3!$F$5+ROW(A17)-1, "")</f>
        <v/>
      </c>
      <c r="AH19" s="1" t="str">
        <f>IF(Person3!$F$6+ROW(A17)-1&lt;=Person3!$G$6, Person3!$F$6+ROW(A17)-1, "")</f>
        <v/>
      </c>
      <c r="AI19" s="1" t="str">
        <f>IF(Person3!$F$7+ROW(A17)-1&lt;=Person3!$G$7, Person3!$F$7+ROW(A17)-1, "")</f>
        <v/>
      </c>
    </row>
    <row r="20" spans="1:35" x14ac:dyDescent="0.3">
      <c r="A20" s="1" t="str">
        <f>IF(Person3!$B$3+ROW(A18)-1&lt;=Person3!$C$3, Person3!$B$3+ROW(A18)-1, "")</f>
        <v/>
      </c>
      <c r="B20" s="1" t="str">
        <f>IF(Person3!$B$4+ROW(B18)-1&lt;=Person3!$C$4, Person3!$B$4+ROW(B18)-1, "")</f>
        <v/>
      </c>
      <c r="C20" s="1" t="str">
        <f>IF(Person3!$B$5+ROW(B18)-1&lt;=Person3!$C$5, Person3!$B$5+ROW(B18)-1, "")</f>
        <v/>
      </c>
      <c r="D20" s="1" t="str">
        <f>IF(Person3!$B$6+ROW(B18)-1&lt;=Person3!$C$6, Person3!$B$6+ROW(B18)-1, "")</f>
        <v/>
      </c>
      <c r="E20" s="1" t="str">
        <f>IF(Person3!$B$7+ROW(B18)-1&lt;=Person3!$C$7, Person3!$B$7+ROW(B18)-1, "")</f>
        <v/>
      </c>
      <c r="F20" s="1" t="str">
        <f>IF(Person3!$B$8+ROW(B18)-1&lt;=Person3!$C$8, Person3!$B$8+ROW(B18)-1, "")</f>
        <v/>
      </c>
      <c r="G20" s="1" t="str">
        <f>IF(Person3!$B$9+ROW(B18)-1&lt;=Person3!$C$9, Person3!$B$9+ROW(B18)-1, "")</f>
        <v/>
      </c>
      <c r="H20" s="1" t="str">
        <f>IF(Person3!$B$10+ROW(B18)-1&lt;=Person3!$C$10, Person3!$B$10+ROW(B18)-1, "")</f>
        <v/>
      </c>
      <c r="I20" s="1" t="str">
        <f>IF(Person3!$B$11+ROW(B18)-1&lt;=Person3!$C$11, Person3!$B$11+ROW(B18)-1, "")</f>
        <v/>
      </c>
      <c r="J20" s="1" t="str">
        <f>IF(Person3!$B$12+ROW(B18)-1&lt;=Person3!$C$12, Person3!$B$12+ROW(B18)-1, "")</f>
        <v/>
      </c>
      <c r="K20" s="1" t="str">
        <f>IF(Person3!$B$13+ROW(B18)-1&lt;=Person3!$C$13, Person3!$B$13+ROW(B18)-1, "")</f>
        <v/>
      </c>
      <c r="L20" s="1" t="str">
        <f>IF(Person3!$B$14+ROW(B18)-1&lt;=Person3!$C$14, Person3!$B$14+ROW(B18)-1, "")</f>
        <v/>
      </c>
      <c r="M20" s="1" t="str">
        <f>IF(Person3!$B$15+ROW(B18)-1&lt;=Person3!$C$15, Person3!$B$15+ROW(B18)-1, "")</f>
        <v/>
      </c>
      <c r="N20" s="1" t="str">
        <f>IF(Person3!$B$16+ROW(B18)-1&lt;=Person3!$C$16, Person3!$B$16+ROW(B18)-1, "")</f>
        <v/>
      </c>
      <c r="O20" s="1" t="str">
        <f>IF(Person3!$B$17+ROW(B18)-1&lt;=Person3!$C$17, Person3!$B$17+ROW(B18)-1, "")</f>
        <v/>
      </c>
      <c r="V20" s="1" t="str">
        <f>IF(Person3!$D$3+ROW(A18)-1&lt;=Person3!$E$3, Person3!$D$3+ROW(A18)-1, "")</f>
        <v/>
      </c>
      <c r="W20" s="1" t="str">
        <f>IF(Person3!$D$4+ROW(A18)-1&lt;=Person3!$E$4, Person3!$D$4+ROW(A18)-1, "")</f>
        <v/>
      </c>
      <c r="X20" s="1" t="str">
        <f>IF(Person3!$D$5+ROW(A18)-1&lt;=Person3!$E$5, Person3!$D$5+ROW(A18)-1, "")</f>
        <v/>
      </c>
      <c r="Y20" s="1" t="str">
        <f>IF(Person3!$D$6+ROW(A18)-1&lt;=Person3!$E$6, Person3!$D$6+ROW(A18)-1, "")</f>
        <v/>
      </c>
      <c r="Z20" s="1" t="str">
        <f>IF(Person3!$D$7+ROW(A18)-1&lt;=Person3!$E$7, Person3!$D$7+ROW(A18)-1, "")</f>
        <v/>
      </c>
      <c r="AA20" s="1" t="str">
        <f>IF(Person3!$D$8+ROW(A18)-1&lt;=Person3!$E$8, Person3!$D$8+ROW(A18)-1, "")</f>
        <v/>
      </c>
      <c r="AE20" s="1" t="str">
        <f>IF(Person3!$F$3+ROW(A18)-1&lt;=Person3!$G$3, Person3!$F$3+ROW(A18)-1, "")</f>
        <v/>
      </c>
      <c r="AF20" s="1" t="str">
        <f>IF(Person3!$F$4+ROW(A18)-1&lt;=Person3!$G$4, Person3!$F$4+ROW(A18)-1, "")</f>
        <v/>
      </c>
      <c r="AG20" s="1" t="str">
        <f>IF(Person3!$F$5+ROW(A18)-1&lt;=Person3!$G$5, Person3!$F$5+ROW(A18)-1, "")</f>
        <v/>
      </c>
      <c r="AH20" s="1" t="str">
        <f>IF(Person3!$F$6+ROW(A18)-1&lt;=Person3!$G$6, Person3!$F$6+ROW(A18)-1, "")</f>
        <v/>
      </c>
      <c r="AI20" s="1" t="str">
        <f>IF(Person3!$F$7+ROW(A18)-1&lt;=Person3!$G$7, Person3!$F$7+ROW(A18)-1, "")</f>
        <v/>
      </c>
    </row>
    <row r="21" spans="1:35" x14ac:dyDescent="0.3">
      <c r="A21" s="1" t="str">
        <f>IF(Person3!$B$3+ROW(A19)-1&lt;=Person3!$C$3, Person3!$B$3+ROW(A19)-1, "")</f>
        <v/>
      </c>
      <c r="B21" s="1" t="str">
        <f>IF(Person3!$B$4+ROW(B19)-1&lt;=Person3!$C$4, Person3!$B$4+ROW(B19)-1, "")</f>
        <v/>
      </c>
      <c r="C21" s="1" t="str">
        <f>IF(Person3!$B$5+ROW(B19)-1&lt;=Person3!$C$5, Person3!$B$5+ROW(B19)-1, "")</f>
        <v/>
      </c>
      <c r="D21" s="1" t="str">
        <f>IF(Person3!$B$6+ROW(B19)-1&lt;=Person3!$C$6, Person3!$B$6+ROW(B19)-1, "")</f>
        <v/>
      </c>
      <c r="E21" s="1" t="str">
        <f>IF(Person3!$B$7+ROW(B19)-1&lt;=Person3!$C$7, Person3!$B$7+ROW(B19)-1, "")</f>
        <v/>
      </c>
      <c r="F21" s="1" t="str">
        <f>IF(Person3!$B$8+ROW(B19)-1&lt;=Person3!$C$8, Person3!$B$8+ROW(B19)-1, "")</f>
        <v/>
      </c>
      <c r="G21" s="1" t="str">
        <f>IF(Person3!$B$9+ROW(B19)-1&lt;=Person3!$C$9, Person3!$B$9+ROW(B19)-1, "")</f>
        <v/>
      </c>
      <c r="H21" s="1" t="str">
        <f>IF(Person3!$B$10+ROW(B19)-1&lt;=Person3!$C$10, Person3!$B$10+ROW(B19)-1, "")</f>
        <v/>
      </c>
      <c r="I21" s="1" t="str">
        <f>IF(Person3!$B$11+ROW(B19)-1&lt;=Person3!$C$11, Person3!$B$11+ROW(B19)-1, "")</f>
        <v/>
      </c>
      <c r="J21" s="1" t="str">
        <f>IF(Person3!$B$12+ROW(B19)-1&lt;=Person3!$C$12, Person3!$B$12+ROW(B19)-1, "")</f>
        <v/>
      </c>
      <c r="K21" s="1" t="str">
        <f>IF(Person3!$B$13+ROW(B19)-1&lt;=Person3!$C$13, Person3!$B$13+ROW(B19)-1, "")</f>
        <v/>
      </c>
      <c r="L21" s="1" t="str">
        <f>IF(Person3!$B$14+ROW(B19)-1&lt;=Person3!$C$14, Person3!$B$14+ROW(B19)-1, "")</f>
        <v/>
      </c>
      <c r="M21" s="1" t="str">
        <f>IF(Person3!$B$15+ROW(B19)-1&lt;=Person3!$C$15, Person3!$B$15+ROW(B19)-1, "")</f>
        <v/>
      </c>
      <c r="N21" s="1" t="str">
        <f>IF(Person3!$B$16+ROW(B19)-1&lt;=Person3!$C$16, Person3!$B$16+ROW(B19)-1, "")</f>
        <v/>
      </c>
      <c r="O21" s="1" t="str">
        <f>IF(Person3!$B$17+ROW(B19)-1&lt;=Person3!$C$17, Person3!$B$17+ROW(B19)-1, "")</f>
        <v/>
      </c>
      <c r="V21" s="1" t="str">
        <f>IF(Person3!$D$3+ROW(A19)-1&lt;=Person3!$E$3, Person3!$D$3+ROW(A19)-1, "")</f>
        <v/>
      </c>
      <c r="W21" s="1" t="str">
        <f>IF(Person3!$D$4+ROW(A19)-1&lt;=Person3!$E$4, Person3!$D$4+ROW(A19)-1, "")</f>
        <v/>
      </c>
      <c r="X21" s="1" t="str">
        <f>IF(Person3!$D$5+ROW(A19)-1&lt;=Person3!$E$5, Person3!$D$5+ROW(A19)-1, "")</f>
        <v/>
      </c>
      <c r="Y21" s="1" t="str">
        <f>IF(Person3!$D$6+ROW(A19)-1&lt;=Person3!$E$6, Person3!$D$6+ROW(A19)-1, "")</f>
        <v/>
      </c>
      <c r="Z21" s="1" t="str">
        <f>IF(Person3!$D$7+ROW(A19)-1&lt;=Person3!$E$7, Person3!$D$7+ROW(A19)-1, "")</f>
        <v/>
      </c>
      <c r="AA21" s="1" t="str">
        <f>IF(Person3!$D$8+ROW(A19)-1&lt;=Person3!$E$8, Person3!$D$8+ROW(A19)-1, "")</f>
        <v/>
      </c>
      <c r="AE21" s="1" t="str">
        <f>IF(Person3!$F$3+ROW(A19)-1&lt;=Person3!$G$3, Person3!$F$3+ROW(A19)-1, "")</f>
        <v/>
      </c>
      <c r="AF21" s="1" t="str">
        <f>IF(Person3!$F$4+ROW(A19)-1&lt;=Person3!$G$4, Person3!$F$4+ROW(A19)-1, "")</f>
        <v/>
      </c>
      <c r="AG21" s="1" t="str">
        <f>IF(Person3!$F$5+ROW(A19)-1&lt;=Person3!$G$5, Person3!$F$5+ROW(A19)-1, "")</f>
        <v/>
      </c>
      <c r="AH21" s="1" t="str">
        <f>IF(Person3!$F$6+ROW(A19)-1&lt;=Person3!$G$6, Person3!$F$6+ROW(A19)-1, "")</f>
        <v/>
      </c>
      <c r="AI21" s="1" t="str">
        <f>IF(Person3!$F$7+ROW(A19)-1&lt;=Person3!$G$7, Person3!$F$7+ROW(A19)-1, "")</f>
        <v/>
      </c>
    </row>
    <row r="22" spans="1:35" x14ac:dyDescent="0.3">
      <c r="A22" s="1" t="str">
        <f>IF(Person3!$B$3+ROW(A20)-1&lt;=Person3!$C$3, Person3!$B$3+ROW(A20)-1, "")</f>
        <v/>
      </c>
      <c r="B22" s="1" t="str">
        <f>IF(Person3!$B$4+ROW(B20)-1&lt;=Person3!$C$4, Person3!$B$4+ROW(B20)-1, "")</f>
        <v/>
      </c>
      <c r="C22" s="1" t="str">
        <f>IF(Person3!$B$5+ROW(B20)-1&lt;=Person3!$C$5, Person3!$B$5+ROW(B20)-1, "")</f>
        <v/>
      </c>
      <c r="D22" s="1" t="str">
        <f>IF(Person3!$B$6+ROW(B20)-1&lt;=Person3!$C$6, Person3!$B$6+ROW(B20)-1, "")</f>
        <v/>
      </c>
      <c r="E22" s="1" t="str">
        <f>IF(Person3!$B$7+ROW(B20)-1&lt;=Person3!$C$7, Person3!$B$7+ROW(B20)-1, "")</f>
        <v/>
      </c>
      <c r="F22" s="1" t="str">
        <f>IF(Person3!$B$8+ROW(B20)-1&lt;=Person3!$C$8, Person3!$B$8+ROW(B20)-1, "")</f>
        <v/>
      </c>
      <c r="G22" s="1" t="str">
        <f>IF(Person3!$B$9+ROW(B20)-1&lt;=Person3!$C$9, Person3!$B$9+ROW(B20)-1, "")</f>
        <v/>
      </c>
      <c r="H22" s="1" t="str">
        <f>IF(Person3!$B$10+ROW(B20)-1&lt;=Person3!$C$10, Person3!$B$10+ROW(B20)-1, "")</f>
        <v/>
      </c>
      <c r="I22" s="1" t="str">
        <f>IF(Person3!$B$11+ROW(B20)-1&lt;=Person3!$C$11, Person3!$B$11+ROW(B20)-1, "")</f>
        <v/>
      </c>
      <c r="J22" s="1" t="str">
        <f>IF(Person3!$B$12+ROW(B20)-1&lt;=Person3!$C$12, Person3!$B$12+ROW(B20)-1, "")</f>
        <v/>
      </c>
      <c r="K22" s="1" t="str">
        <f>IF(Person3!$B$13+ROW(B20)-1&lt;=Person3!$C$13, Person3!$B$13+ROW(B20)-1, "")</f>
        <v/>
      </c>
      <c r="L22" s="1" t="str">
        <f>IF(Person3!$B$14+ROW(B20)-1&lt;=Person3!$C$14, Person3!$B$14+ROW(B20)-1, "")</f>
        <v/>
      </c>
      <c r="M22" s="1" t="str">
        <f>IF(Person3!$B$15+ROW(B20)-1&lt;=Person3!$C$15, Person3!$B$15+ROW(B20)-1, "")</f>
        <v/>
      </c>
      <c r="N22" s="1" t="str">
        <f>IF(Person3!$B$16+ROW(B20)-1&lt;=Person3!$C$16, Person3!$B$16+ROW(B20)-1, "")</f>
        <v/>
      </c>
      <c r="O22" s="1" t="str">
        <f>IF(Person3!$B$17+ROW(B20)-1&lt;=Person3!$C$17, Person3!$B$17+ROW(B20)-1, "")</f>
        <v/>
      </c>
      <c r="V22" s="1" t="str">
        <f>IF(Person3!$D$3+ROW(A20)-1&lt;=Person3!$E$3, Person3!$D$3+ROW(A20)-1, "")</f>
        <v/>
      </c>
      <c r="W22" s="1" t="str">
        <f>IF(Person3!$D$4+ROW(A20)-1&lt;=Person3!$E$4, Person3!$D$4+ROW(A20)-1, "")</f>
        <v/>
      </c>
      <c r="X22" s="1" t="str">
        <f>IF(Person3!$D$5+ROW(A20)-1&lt;=Person3!$E$5, Person3!$D$5+ROW(A20)-1, "")</f>
        <v/>
      </c>
      <c r="Y22" s="1" t="str">
        <f>IF(Person3!$D$6+ROW(A20)-1&lt;=Person3!$E$6, Person3!$D$6+ROW(A20)-1, "")</f>
        <v/>
      </c>
      <c r="Z22" s="1" t="str">
        <f>IF(Person3!$D$7+ROW(A20)-1&lt;=Person3!$E$7, Person3!$D$7+ROW(A20)-1, "")</f>
        <v/>
      </c>
      <c r="AA22" s="1" t="str">
        <f>IF(Person3!$D$8+ROW(A20)-1&lt;=Person3!$E$8, Person3!$D$8+ROW(A20)-1, "")</f>
        <v/>
      </c>
      <c r="AE22" s="1" t="str">
        <f>IF(Person3!$F$3+ROW(A20)-1&lt;=Person3!$G$3, Person3!$F$3+ROW(A20)-1, "")</f>
        <v/>
      </c>
      <c r="AF22" s="1" t="str">
        <f>IF(Person3!$F$4+ROW(A20)-1&lt;=Person3!$G$4, Person3!$F$4+ROW(A20)-1, "")</f>
        <v/>
      </c>
      <c r="AG22" s="1" t="str">
        <f>IF(Person3!$F$5+ROW(A20)-1&lt;=Person3!$G$5, Person3!$F$5+ROW(A20)-1, "")</f>
        <v/>
      </c>
      <c r="AH22" s="1" t="str">
        <f>IF(Person3!$F$6+ROW(A20)-1&lt;=Person3!$G$6, Person3!$F$6+ROW(A20)-1, "")</f>
        <v/>
      </c>
      <c r="AI22" s="1" t="str">
        <f>IF(Person3!$F$7+ROW(A20)-1&lt;=Person3!$G$7, Person3!$F$7+ROW(A20)-1, "")</f>
        <v/>
      </c>
    </row>
    <row r="23" spans="1:35" x14ac:dyDescent="0.3">
      <c r="A23" s="1" t="str">
        <f>IF(Person3!$B$3+ROW(A21)-1&lt;=Person3!$C$3, Person3!$B$3+ROW(A21)-1, "")</f>
        <v/>
      </c>
      <c r="B23" s="1" t="str">
        <f>IF(Person3!$B$4+ROW(B21)-1&lt;=Person3!$C$4, Person3!$B$4+ROW(B21)-1, "")</f>
        <v/>
      </c>
      <c r="C23" s="1" t="str">
        <f>IF(Person3!$B$5+ROW(B21)-1&lt;=Person3!$C$5, Person3!$B$5+ROW(B21)-1, "")</f>
        <v/>
      </c>
      <c r="D23" s="1" t="str">
        <f>IF(Person3!$B$6+ROW(B21)-1&lt;=Person3!$C$6, Person3!$B$6+ROW(B21)-1, "")</f>
        <v/>
      </c>
      <c r="E23" s="1" t="str">
        <f>IF(Person3!$B$7+ROW(B21)-1&lt;=Person3!$C$7, Person3!$B$7+ROW(B21)-1, "")</f>
        <v/>
      </c>
      <c r="F23" s="1" t="str">
        <f>IF(Person3!$B$8+ROW(B21)-1&lt;=Person3!$C$8, Person3!$B$8+ROW(B21)-1, "")</f>
        <v/>
      </c>
      <c r="G23" s="1" t="str">
        <f>IF(Person3!$B$9+ROW(B21)-1&lt;=Person3!$C$9, Person3!$B$9+ROW(B21)-1, "")</f>
        <v/>
      </c>
      <c r="H23" s="1" t="str">
        <f>IF(Person3!$B$10+ROW(B21)-1&lt;=Person3!$C$10, Person3!$B$10+ROW(B21)-1, "")</f>
        <v/>
      </c>
      <c r="I23" s="1" t="str">
        <f>IF(Person3!$B$11+ROW(B21)-1&lt;=Person3!$C$11, Person3!$B$11+ROW(B21)-1, "")</f>
        <v/>
      </c>
      <c r="J23" s="1" t="str">
        <f>IF(Person3!$B$12+ROW(B21)-1&lt;=Person3!$C$12, Person3!$B$12+ROW(B21)-1, "")</f>
        <v/>
      </c>
      <c r="K23" s="1" t="str">
        <f>IF(Person3!$B$13+ROW(B21)-1&lt;=Person3!$C$13, Person3!$B$13+ROW(B21)-1, "")</f>
        <v/>
      </c>
      <c r="L23" s="1" t="str">
        <f>IF(Person3!$B$14+ROW(B21)-1&lt;=Person3!$C$14, Person3!$B$14+ROW(B21)-1, "")</f>
        <v/>
      </c>
      <c r="M23" s="1" t="str">
        <f>IF(Person3!$B$15+ROW(B21)-1&lt;=Person3!$C$15, Person3!$B$15+ROW(B21)-1, "")</f>
        <v/>
      </c>
      <c r="N23" s="1" t="str">
        <f>IF(Person3!$B$16+ROW(B21)-1&lt;=Person3!$C$16, Person3!$B$16+ROW(B21)-1, "")</f>
        <v/>
      </c>
      <c r="O23" s="1" t="str">
        <f>IF(Person3!$B$17+ROW(B21)-1&lt;=Person3!$C$17, Person3!$B$17+ROW(B21)-1, "")</f>
        <v/>
      </c>
      <c r="V23" s="1" t="str">
        <f>IF(Person3!$D$3+ROW(A21)-1&lt;=Person3!$E$3, Person3!$D$3+ROW(A21)-1, "")</f>
        <v/>
      </c>
      <c r="W23" s="1" t="str">
        <f>IF(Person3!$D$4+ROW(A21)-1&lt;=Person3!$E$4, Person3!$D$4+ROW(A21)-1, "")</f>
        <v/>
      </c>
      <c r="X23" s="1" t="str">
        <f>IF(Person3!$D$5+ROW(A21)-1&lt;=Person3!$E$5, Person3!$D$5+ROW(A21)-1, "")</f>
        <v/>
      </c>
      <c r="Y23" s="1" t="str">
        <f>IF(Person3!$D$6+ROW(A21)-1&lt;=Person3!$E$6, Person3!$D$6+ROW(A21)-1, "")</f>
        <v/>
      </c>
      <c r="Z23" s="1" t="str">
        <f>IF(Person3!$D$7+ROW(A21)-1&lt;=Person3!$E$7, Person3!$D$7+ROW(A21)-1, "")</f>
        <v/>
      </c>
      <c r="AA23" s="1" t="str">
        <f>IF(Person3!$D$8+ROW(A21)-1&lt;=Person3!$E$8, Person3!$D$8+ROW(A21)-1, "")</f>
        <v/>
      </c>
      <c r="AE23" s="1" t="str">
        <f>IF(Person3!$F$3+ROW(A21)-1&lt;=Person3!$G$3, Person3!$F$3+ROW(A21)-1, "")</f>
        <v/>
      </c>
      <c r="AF23" s="1" t="str">
        <f>IF(Person3!$F$4+ROW(A21)-1&lt;=Person3!$G$4, Person3!$F$4+ROW(A21)-1, "")</f>
        <v/>
      </c>
      <c r="AG23" s="1" t="str">
        <f>IF(Person3!$F$5+ROW(A21)-1&lt;=Person3!$G$5, Person3!$F$5+ROW(A21)-1, "")</f>
        <v/>
      </c>
      <c r="AH23" s="1" t="str">
        <f>IF(Person3!$F$6+ROW(A21)-1&lt;=Person3!$G$6, Person3!$F$6+ROW(A21)-1, "")</f>
        <v/>
      </c>
      <c r="AI23" s="1" t="str">
        <f>IF(Person3!$F$7+ROW(A21)-1&lt;=Person3!$G$7, Person3!$F$7+ROW(A21)-1, "")</f>
        <v/>
      </c>
    </row>
    <row r="24" spans="1:35" x14ac:dyDescent="0.3">
      <c r="A24" s="1" t="str">
        <f>IF(Person3!$B$3+ROW(A22)-1&lt;=Person3!$C$3, Person3!$B$3+ROW(A22)-1, "")</f>
        <v/>
      </c>
      <c r="B24" s="1" t="str">
        <f>IF(Person3!$B$4+ROW(B22)-1&lt;=Person3!$C$4, Person3!$B$4+ROW(B22)-1, "")</f>
        <v/>
      </c>
      <c r="C24" s="1" t="str">
        <f>IF(Person3!$B$5+ROW(B22)-1&lt;=Person3!$C$5, Person3!$B$5+ROW(B22)-1, "")</f>
        <v/>
      </c>
      <c r="D24" s="1" t="str">
        <f>IF(Person3!$B$6+ROW(B22)-1&lt;=Person3!$C$6, Person3!$B$6+ROW(B22)-1, "")</f>
        <v/>
      </c>
      <c r="E24" s="1" t="str">
        <f>IF(Person3!$B$7+ROW(B22)-1&lt;=Person3!$C$7, Person3!$B$7+ROW(B22)-1, "")</f>
        <v/>
      </c>
      <c r="F24" s="1" t="str">
        <f>IF(Person3!$B$8+ROW(B22)-1&lt;=Person3!$C$8, Person3!$B$8+ROW(B22)-1, "")</f>
        <v/>
      </c>
      <c r="G24" s="1" t="str">
        <f>IF(Person3!$B$9+ROW(B22)-1&lt;=Person3!$C$9, Person3!$B$9+ROW(B22)-1, "")</f>
        <v/>
      </c>
      <c r="H24" s="1" t="str">
        <f>IF(Person3!$B$10+ROW(B22)-1&lt;=Person3!$C$10, Person3!$B$10+ROW(B22)-1, "")</f>
        <v/>
      </c>
      <c r="I24" s="1" t="str">
        <f>IF(Person3!$B$11+ROW(B22)-1&lt;=Person3!$C$11, Person3!$B$11+ROW(B22)-1, "")</f>
        <v/>
      </c>
      <c r="J24" s="1" t="str">
        <f>IF(Person3!$B$12+ROW(B22)-1&lt;=Person3!$C$12, Person3!$B$12+ROW(B22)-1, "")</f>
        <v/>
      </c>
      <c r="K24" s="1" t="str">
        <f>IF(Person3!$B$13+ROW(B22)-1&lt;=Person3!$C$13, Person3!$B$13+ROW(B22)-1, "")</f>
        <v/>
      </c>
      <c r="L24" s="1" t="str">
        <f>IF(Person3!$B$14+ROW(B22)-1&lt;=Person3!$C$14, Person3!$B$14+ROW(B22)-1, "")</f>
        <v/>
      </c>
      <c r="M24" s="1" t="str">
        <f>IF(Person3!$B$15+ROW(B22)-1&lt;=Person3!$C$15, Person3!$B$15+ROW(B22)-1, "")</f>
        <v/>
      </c>
      <c r="N24" s="1" t="str">
        <f>IF(Person3!$B$16+ROW(B22)-1&lt;=Person3!$C$16, Person3!$B$16+ROW(B22)-1, "")</f>
        <v/>
      </c>
      <c r="O24" s="1" t="str">
        <f>IF(Person3!$B$17+ROW(B22)-1&lt;=Person3!$C$17, Person3!$B$17+ROW(B22)-1, "")</f>
        <v/>
      </c>
      <c r="V24" s="1" t="str">
        <f>IF(Person3!$D$3+ROW(A22)-1&lt;=Person3!$E$3, Person3!$D$3+ROW(A22)-1, "")</f>
        <v/>
      </c>
      <c r="W24" s="1" t="str">
        <f>IF(Person3!$D$4+ROW(A22)-1&lt;=Person3!$E$4, Person3!$D$4+ROW(A22)-1, "")</f>
        <v/>
      </c>
      <c r="X24" s="1" t="str">
        <f>IF(Person3!$D$5+ROW(A22)-1&lt;=Person3!$E$5, Person3!$D$5+ROW(A22)-1, "")</f>
        <v/>
      </c>
      <c r="Y24" s="1" t="str">
        <f>IF(Person3!$D$6+ROW(A22)-1&lt;=Person3!$E$6, Person3!$D$6+ROW(A22)-1, "")</f>
        <v/>
      </c>
      <c r="Z24" s="1" t="str">
        <f>IF(Person3!$D$7+ROW(A22)-1&lt;=Person3!$E$7, Person3!$D$7+ROW(A22)-1, "")</f>
        <v/>
      </c>
      <c r="AA24" s="1" t="str">
        <f>IF(Person3!$D$8+ROW(A22)-1&lt;=Person3!$E$8, Person3!$D$8+ROW(A22)-1, "")</f>
        <v/>
      </c>
      <c r="AE24" s="1" t="str">
        <f>IF(Person3!$F$3+ROW(A22)-1&lt;=Person3!$G$3, Person3!$F$3+ROW(A22)-1, "")</f>
        <v/>
      </c>
      <c r="AF24" s="1" t="str">
        <f>IF(Person3!$F$4+ROW(A22)-1&lt;=Person3!$G$4, Person3!$F$4+ROW(A22)-1, "")</f>
        <v/>
      </c>
      <c r="AG24" s="1" t="str">
        <f>IF(Person3!$F$5+ROW(A22)-1&lt;=Person3!$G$5, Person3!$F$5+ROW(A22)-1, "")</f>
        <v/>
      </c>
      <c r="AH24" s="1" t="str">
        <f>IF(Person3!$F$6+ROW(A22)-1&lt;=Person3!$G$6, Person3!$F$6+ROW(A22)-1, "")</f>
        <v/>
      </c>
      <c r="AI24" s="1" t="str">
        <f>IF(Person3!$F$7+ROW(A22)-1&lt;=Person3!$G$7, Person3!$F$7+ROW(A22)-1, "")</f>
        <v/>
      </c>
    </row>
    <row r="25" spans="1:35" x14ac:dyDescent="0.3">
      <c r="A25" s="1" t="str">
        <f>IF(Person3!$B$3+ROW(A23)-1&lt;=Person3!$C$3, Person3!$B$3+ROW(A23)-1, "")</f>
        <v/>
      </c>
      <c r="B25" s="1" t="str">
        <f>IF(Person3!$B$4+ROW(B23)-1&lt;=Person3!$C$4, Person3!$B$4+ROW(B23)-1, "")</f>
        <v/>
      </c>
      <c r="C25" s="1" t="str">
        <f>IF(Person3!$B$5+ROW(B23)-1&lt;=Person3!$C$5, Person3!$B$5+ROW(B23)-1, "")</f>
        <v/>
      </c>
      <c r="D25" s="1" t="str">
        <f>IF(Person3!$B$6+ROW(B23)-1&lt;=Person3!$C$6, Person3!$B$6+ROW(B23)-1, "")</f>
        <v/>
      </c>
      <c r="E25" s="1" t="str">
        <f>IF(Person3!$B$7+ROW(B23)-1&lt;=Person3!$C$7, Person3!$B$7+ROW(B23)-1, "")</f>
        <v/>
      </c>
      <c r="F25" s="1" t="str">
        <f>IF(Person3!$B$8+ROW(B23)-1&lt;=Person3!$C$8, Person3!$B$8+ROW(B23)-1, "")</f>
        <v/>
      </c>
      <c r="G25" s="1" t="str">
        <f>IF(Person3!$B$9+ROW(B23)-1&lt;=Person3!$C$9, Person3!$B$9+ROW(B23)-1, "")</f>
        <v/>
      </c>
      <c r="H25" s="1" t="str">
        <f>IF(Person3!$B$10+ROW(B23)-1&lt;=Person3!$C$10, Person3!$B$10+ROW(B23)-1, "")</f>
        <v/>
      </c>
      <c r="I25" s="1" t="str">
        <f>IF(Person3!$B$11+ROW(B23)-1&lt;=Person3!$C$11, Person3!$B$11+ROW(B23)-1, "")</f>
        <v/>
      </c>
      <c r="J25" s="1" t="str">
        <f>IF(Person3!$B$12+ROW(B23)-1&lt;=Person3!$C$12, Person3!$B$12+ROW(B23)-1, "")</f>
        <v/>
      </c>
      <c r="K25" s="1" t="str">
        <f>IF(Person3!$B$13+ROW(B23)-1&lt;=Person3!$C$13, Person3!$B$13+ROW(B23)-1, "")</f>
        <v/>
      </c>
      <c r="L25" s="1" t="str">
        <f>IF(Person3!$B$14+ROW(B23)-1&lt;=Person3!$C$14, Person3!$B$14+ROW(B23)-1, "")</f>
        <v/>
      </c>
      <c r="M25" s="1" t="str">
        <f>IF(Person3!$B$15+ROW(B23)-1&lt;=Person3!$C$15, Person3!$B$15+ROW(B23)-1, "")</f>
        <v/>
      </c>
      <c r="N25" s="1" t="str">
        <f>IF(Person3!$B$16+ROW(B23)-1&lt;=Person3!$C$16, Person3!$B$16+ROW(B23)-1, "")</f>
        <v/>
      </c>
      <c r="O25" s="1" t="str">
        <f>IF(Person3!$B$17+ROW(B23)-1&lt;=Person3!$C$17, Person3!$B$17+ROW(B23)-1, "")</f>
        <v/>
      </c>
      <c r="V25" s="1" t="str">
        <f>IF(Person3!$D$3+ROW(A23)-1&lt;=Person3!$E$3, Person3!$D$3+ROW(A23)-1, "")</f>
        <v/>
      </c>
      <c r="W25" s="1" t="str">
        <f>IF(Person3!$D$4+ROW(A23)-1&lt;=Person3!$E$4, Person3!$D$4+ROW(A23)-1, "")</f>
        <v/>
      </c>
      <c r="X25" s="1" t="str">
        <f>IF(Person3!$D$5+ROW(A23)-1&lt;=Person3!$E$5, Person3!$D$5+ROW(A23)-1, "")</f>
        <v/>
      </c>
      <c r="Y25" s="1" t="str">
        <f>IF(Person3!$D$6+ROW(A23)-1&lt;=Person3!$E$6, Person3!$D$6+ROW(A23)-1, "")</f>
        <v/>
      </c>
      <c r="Z25" s="1" t="str">
        <f>IF(Person3!$D$7+ROW(A23)-1&lt;=Person3!$E$7, Person3!$D$7+ROW(A23)-1, "")</f>
        <v/>
      </c>
      <c r="AA25" s="1" t="str">
        <f>IF(Person3!$D$8+ROW(A23)-1&lt;=Person3!$E$8, Person3!$D$8+ROW(A23)-1, "")</f>
        <v/>
      </c>
      <c r="AE25" s="1" t="str">
        <f>IF(Person3!$F$3+ROW(A23)-1&lt;=Person3!$G$3, Person3!$F$3+ROW(A23)-1, "")</f>
        <v/>
      </c>
      <c r="AF25" s="1" t="str">
        <f>IF(Person3!$F$4+ROW(A23)-1&lt;=Person3!$G$4, Person3!$F$4+ROW(A23)-1, "")</f>
        <v/>
      </c>
      <c r="AG25" s="1" t="str">
        <f>IF(Person3!$F$5+ROW(A23)-1&lt;=Person3!$G$5, Person3!$F$5+ROW(A23)-1, "")</f>
        <v/>
      </c>
      <c r="AH25" s="1" t="str">
        <f>IF(Person3!$F$6+ROW(A23)-1&lt;=Person3!$G$6, Person3!$F$6+ROW(A23)-1, "")</f>
        <v/>
      </c>
      <c r="AI25" s="1" t="str">
        <f>IF(Person3!$F$7+ROW(A23)-1&lt;=Person3!$G$7, Person3!$F$7+ROW(A23)-1, "")</f>
        <v/>
      </c>
    </row>
    <row r="26" spans="1:35" x14ac:dyDescent="0.3">
      <c r="A26" s="1" t="str">
        <f>IF(Person3!$B$3+ROW(A24)-1&lt;=Person3!$C$3, Person3!$B$3+ROW(A24)-1, "")</f>
        <v/>
      </c>
      <c r="B26" s="1" t="str">
        <f>IF(Person3!$B$4+ROW(B24)-1&lt;=Person3!$C$4, Person3!$B$4+ROW(B24)-1, "")</f>
        <v/>
      </c>
      <c r="C26" s="1" t="str">
        <f>IF(Person3!$B$5+ROW(B24)-1&lt;=Person3!$C$5, Person3!$B$5+ROW(B24)-1, "")</f>
        <v/>
      </c>
      <c r="D26" s="1" t="str">
        <f>IF(Person3!$B$6+ROW(B24)-1&lt;=Person3!$C$6, Person3!$B$6+ROW(B24)-1, "")</f>
        <v/>
      </c>
      <c r="E26" s="1" t="str">
        <f>IF(Person3!$B$7+ROW(B24)-1&lt;=Person3!$C$7, Person3!$B$7+ROW(B24)-1, "")</f>
        <v/>
      </c>
      <c r="F26" s="1" t="str">
        <f>IF(Person3!$B$8+ROW(B24)-1&lt;=Person3!$C$8, Person3!$B$8+ROW(B24)-1, "")</f>
        <v/>
      </c>
      <c r="G26" s="1" t="str">
        <f>IF(Person3!$B$9+ROW(B24)-1&lt;=Person3!$C$9, Person3!$B$9+ROW(B24)-1, "")</f>
        <v/>
      </c>
      <c r="H26" s="1" t="str">
        <f>IF(Person3!$B$10+ROW(B24)-1&lt;=Person3!$C$10, Person3!$B$10+ROW(B24)-1, "")</f>
        <v/>
      </c>
      <c r="I26" s="1" t="str">
        <f>IF(Person3!$B$11+ROW(B24)-1&lt;=Person3!$C$11, Person3!$B$11+ROW(B24)-1, "")</f>
        <v/>
      </c>
      <c r="J26" s="1" t="str">
        <f>IF(Person3!$B$12+ROW(B24)-1&lt;=Person3!$C$12, Person3!$B$12+ROW(B24)-1, "")</f>
        <v/>
      </c>
      <c r="K26" s="1" t="str">
        <f>IF(Person3!$B$13+ROW(B24)-1&lt;=Person3!$C$13, Person3!$B$13+ROW(B24)-1, "")</f>
        <v/>
      </c>
      <c r="L26" s="1" t="str">
        <f>IF(Person3!$B$14+ROW(B24)-1&lt;=Person3!$C$14, Person3!$B$14+ROW(B24)-1, "")</f>
        <v/>
      </c>
      <c r="M26" s="1" t="str">
        <f>IF(Person3!$B$15+ROW(B24)-1&lt;=Person3!$C$15, Person3!$B$15+ROW(B24)-1, "")</f>
        <v/>
      </c>
      <c r="N26" s="1" t="str">
        <f>IF(Person3!$B$16+ROW(B24)-1&lt;=Person3!$C$16, Person3!$B$16+ROW(B24)-1, "")</f>
        <v/>
      </c>
      <c r="O26" s="1" t="str">
        <f>IF(Person3!$B$17+ROW(B24)-1&lt;=Person3!$C$17, Person3!$B$17+ROW(B24)-1, "")</f>
        <v/>
      </c>
      <c r="V26" s="1" t="str">
        <f>IF(Person3!$D$3+ROW(A24)-1&lt;=Person3!$E$3, Person3!$D$3+ROW(A24)-1, "")</f>
        <v/>
      </c>
      <c r="W26" s="1" t="str">
        <f>IF(Person3!$D$4+ROW(A24)-1&lt;=Person3!$E$4, Person3!$D$4+ROW(A24)-1, "")</f>
        <v/>
      </c>
      <c r="X26" s="1" t="str">
        <f>IF(Person3!$D$5+ROW(A24)-1&lt;=Person3!$E$5, Person3!$D$5+ROW(A24)-1, "")</f>
        <v/>
      </c>
      <c r="Y26" s="1" t="str">
        <f>IF(Person3!$D$6+ROW(A24)-1&lt;=Person3!$E$6, Person3!$D$6+ROW(A24)-1, "")</f>
        <v/>
      </c>
      <c r="Z26" s="1" t="str">
        <f>IF(Person3!$D$7+ROW(A24)-1&lt;=Person3!$E$7, Person3!$D$7+ROW(A24)-1, "")</f>
        <v/>
      </c>
      <c r="AA26" s="1" t="str">
        <f>IF(Person3!$D$8+ROW(A24)-1&lt;=Person3!$E$8, Person3!$D$8+ROW(A24)-1, "")</f>
        <v/>
      </c>
      <c r="AE26" s="1" t="str">
        <f>IF(Person3!$F$3+ROW(A24)-1&lt;=Person3!$G$3, Person3!$F$3+ROW(A24)-1, "")</f>
        <v/>
      </c>
      <c r="AF26" s="1" t="str">
        <f>IF(Person3!$F$4+ROW(A24)-1&lt;=Person3!$G$4, Person3!$F$4+ROW(A24)-1, "")</f>
        <v/>
      </c>
      <c r="AG26" s="1" t="str">
        <f>IF(Person3!$F$5+ROW(A24)-1&lt;=Person3!$G$5, Person3!$F$5+ROW(A24)-1, "")</f>
        <v/>
      </c>
      <c r="AH26" s="1" t="str">
        <f>IF(Person3!$F$6+ROW(A24)-1&lt;=Person3!$G$6, Person3!$F$6+ROW(A24)-1, "")</f>
        <v/>
      </c>
      <c r="AI26" s="1" t="str">
        <f>IF(Person3!$F$7+ROW(A24)-1&lt;=Person3!$G$7, Person3!$F$7+ROW(A24)-1, "")</f>
        <v/>
      </c>
    </row>
    <row r="27" spans="1:35" x14ac:dyDescent="0.3">
      <c r="A27" s="1" t="str">
        <f>IF(Person3!$B$3+ROW(A25)-1&lt;=Person3!$C$3, Person3!$B$3+ROW(A25)-1, "")</f>
        <v/>
      </c>
      <c r="B27" s="1" t="str">
        <f>IF(Person3!$B$4+ROW(B25)-1&lt;=Person3!$C$4, Person3!$B$4+ROW(B25)-1, "")</f>
        <v/>
      </c>
      <c r="C27" s="1" t="str">
        <f>IF(Person3!$B$5+ROW(B25)-1&lt;=Person3!$C$5, Person3!$B$5+ROW(B25)-1, "")</f>
        <v/>
      </c>
      <c r="D27" s="1" t="str">
        <f>IF(Person3!$B$6+ROW(B25)-1&lt;=Person3!$C$6, Person3!$B$6+ROW(B25)-1, "")</f>
        <v/>
      </c>
      <c r="E27" s="1" t="str">
        <f>IF(Person3!$B$7+ROW(B25)-1&lt;=Person3!$C$7, Person3!$B$7+ROW(B25)-1, "")</f>
        <v/>
      </c>
      <c r="F27" s="1" t="str">
        <f>IF(Person3!$B$8+ROW(B25)-1&lt;=Person3!$C$8, Person3!$B$8+ROW(B25)-1, "")</f>
        <v/>
      </c>
      <c r="G27" s="1" t="str">
        <f>IF(Person3!$B$9+ROW(B25)-1&lt;=Person3!$C$9, Person3!$B$9+ROW(B25)-1, "")</f>
        <v/>
      </c>
      <c r="H27" s="1" t="str">
        <f>IF(Person3!$B$10+ROW(B25)-1&lt;=Person3!$C$10, Person3!$B$10+ROW(B25)-1, "")</f>
        <v/>
      </c>
      <c r="I27" s="1" t="str">
        <f>IF(Person3!$B$11+ROW(B25)-1&lt;=Person3!$C$11, Person3!$B$11+ROW(B25)-1, "")</f>
        <v/>
      </c>
      <c r="J27" s="1" t="str">
        <f>IF(Person3!$B$12+ROW(B25)-1&lt;=Person3!$C$12, Person3!$B$12+ROW(B25)-1, "")</f>
        <v/>
      </c>
      <c r="K27" s="1" t="str">
        <f>IF(Person3!$B$13+ROW(B25)-1&lt;=Person3!$C$13, Person3!$B$13+ROW(B25)-1, "")</f>
        <v/>
      </c>
      <c r="L27" s="1" t="str">
        <f>IF(Person3!$B$14+ROW(B25)-1&lt;=Person3!$C$14, Person3!$B$14+ROW(B25)-1, "")</f>
        <v/>
      </c>
      <c r="M27" s="1" t="str">
        <f>IF(Person3!$B$15+ROW(B25)-1&lt;=Person3!$C$15, Person3!$B$15+ROW(B25)-1, "")</f>
        <v/>
      </c>
      <c r="N27" s="1" t="str">
        <f>IF(Person3!$B$16+ROW(B25)-1&lt;=Person3!$C$16, Person3!$B$16+ROW(B25)-1, "")</f>
        <v/>
      </c>
      <c r="O27" s="1" t="str">
        <f>IF(Person3!$B$17+ROW(B25)-1&lt;=Person3!$C$17, Person3!$B$17+ROW(B25)-1, "")</f>
        <v/>
      </c>
      <c r="V27" s="1" t="str">
        <f>IF(Person3!$D$3+ROW(A25)-1&lt;=Person3!$E$3, Person3!$D$3+ROW(A25)-1, "")</f>
        <v/>
      </c>
      <c r="W27" s="1" t="str">
        <f>IF(Person3!$D$4+ROW(A25)-1&lt;=Person3!$E$4, Person3!$D$4+ROW(A25)-1, "")</f>
        <v/>
      </c>
      <c r="X27" s="1" t="str">
        <f>IF(Person3!$D$5+ROW(A25)-1&lt;=Person3!$E$5, Person3!$D$5+ROW(A25)-1, "")</f>
        <v/>
      </c>
      <c r="Y27" s="1" t="str">
        <f>IF(Person3!$D$6+ROW(A25)-1&lt;=Person3!$E$6, Person3!$D$6+ROW(A25)-1, "")</f>
        <v/>
      </c>
      <c r="Z27" s="1" t="str">
        <f>IF(Person3!$D$7+ROW(A25)-1&lt;=Person3!$E$7, Person3!$D$7+ROW(A25)-1, "")</f>
        <v/>
      </c>
      <c r="AA27" s="1" t="str">
        <f>IF(Person3!$D$8+ROW(A25)-1&lt;=Person3!$E$8, Person3!$D$8+ROW(A25)-1, "")</f>
        <v/>
      </c>
      <c r="AE27" s="1" t="str">
        <f>IF(Person3!$F$3+ROW(A25)-1&lt;=Person3!$G$3, Person3!$F$3+ROW(A25)-1, "")</f>
        <v/>
      </c>
      <c r="AF27" s="1" t="str">
        <f>IF(Person3!$F$4+ROW(A25)-1&lt;=Person3!$G$4, Person3!$F$4+ROW(A25)-1, "")</f>
        <v/>
      </c>
      <c r="AG27" s="1" t="str">
        <f>IF(Person3!$F$5+ROW(A25)-1&lt;=Person3!$G$5, Person3!$F$5+ROW(A25)-1, "")</f>
        <v/>
      </c>
      <c r="AH27" s="1" t="str">
        <f>IF(Person3!$F$6+ROW(A25)-1&lt;=Person3!$G$6, Person3!$F$6+ROW(A25)-1, "")</f>
        <v/>
      </c>
      <c r="AI27" s="1" t="str">
        <f>IF(Person3!$F$7+ROW(A25)-1&lt;=Person3!$G$7, Person3!$F$7+ROW(A25)-1, "")</f>
        <v/>
      </c>
    </row>
    <row r="28" spans="1:35" x14ac:dyDescent="0.3">
      <c r="A28" s="1" t="str">
        <f>IF(Person3!$B$3+ROW(A26)-1&lt;=Person3!$C$3, Person3!$B$3+ROW(A26)-1, "")</f>
        <v/>
      </c>
      <c r="B28" s="1" t="str">
        <f>IF(Person3!$B$4+ROW(B26)-1&lt;=Person3!$C$4, Person3!$B$4+ROW(B26)-1, "")</f>
        <v/>
      </c>
      <c r="C28" s="1" t="str">
        <f>IF(Person3!$B$5+ROW(B26)-1&lt;=Person3!$C$5, Person3!$B$5+ROW(B26)-1, "")</f>
        <v/>
      </c>
      <c r="D28" s="1" t="str">
        <f>IF(Person3!$B$6+ROW(B26)-1&lt;=Person3!$C$6, Person3!$B$6+ROW(B26)-1, "")</f>
        <v/>
      </c>
      <c r="E28" s="1" t="str">
        <f>IF(Person3!$B$7+ROW(B26)-1&lt;=Person3!$C$7, Person3!$B$7+ROW(B26)-1, "")</f>
        <v/>
      </c>
      <c r="F28" s="1" t="str">
        <f>IF(Person3!$B$8+ROW(B26)-1&lt;=Person3!$C$8, Person3!$B$8+ROW(B26)-1, "")</f>
        <v/>
      </c>
      <c r="G28" s="1" t="str">
        <f>IF(Person3!$B$9+ROW(B26)-1&lt;=Person3!$C$9, Person3!$B$9+ROW(B26)-1, "")</f>
        <v/>
      </c>
      <c r="H28" s="1" t="str">
        <f>IF(Person3!$B$10+ROW(B26)-1&lt;=Person3!$C$10, Person3!$B$10+ROW(B26)-1, "")</f>
        <v/>
      </c>
      <c r="I28" s="1" t="str">
        <f>IF(Person3!$B$11+ROW(B26)-1&lt;=Person3!$C$11, Person3!$B$11+ROW(B26)-1, "")</f>
        <v/>
      </c>
      <c r="J28" s="1" t="str">
        <f>IF(Person3!$B$12+ROW(B26)-1&lt;=Person3!$C$12, Person3!$B$12+ROW(B26)-1, "")</f>
        <v/>
      </c>
      <c r="K28" s="1" t="str">
        <f>IF(Person3!$B$13+ROW(B26)-1&lt;=Person3!$C$13, Person3!$B$13+ROW(B26)-1, "")</f>
        <v/>
      </c>
      <c r="L28" s="1" t="str">
        <f>IF(Person3!$B$14+ROW(B26)-1&lt;=Person3!$C$14, Person3!$B$14+ROW(B26)-1, "")</f>
        <v/>
      </c>
      <c r="M28" s="1" t="str">
        <f>IF(Person3!$B$15+ROW(B26)-1&lt;=Person3!$C$15, Person3!$B$15+ROW(B26)-1, "")</f>
        <v/>
      </c>
      <c r="N28" s="1" t="str">
        <f>IF(Person3!$B$16+ROW(B26)-1&lt;=Person3!$C$16, Person3!$B$16+ROW(B26)-1, "")</f>
        <v/>
      </c>
      <c r="O28" s="1" t="str">
        <f>IF(Person3!$B$17+ROW(B26)-1&lt;=Person3!$C$17, Person3!$B$17+ROW(B26)-1, "")</f>
        <v/>
      </c>
      <c r="V28" s="1" t="str">
        <f>IF(Person3!$D$3+ROW(A26)-1&lt;=Person3!$E$3, Person3!$D$3+ROW(A26)-1, "")</f>
        <v/>
      </c>
      <c r="W28" s="1" t="str">
        <f>IF(Person3!$D$4+ROW(A26)-1&lt;=Person3!$E$4, Person3!$D$4+ROW(A26)-1, "")</f>
        <v/>
      </c>
      <c r="X28" s="1" t="str">
        <f>IF(Person3!$D$5+ROW(A26)-1&lt;=Person3!$E$5, Person3!$D$5+ROW(A26)-1, "")</f>
        <v/>
      </c>
      <c r="Y28" s="1" t="str">
        <f>IF(Person3!$D$6+ROW(A26)-1&lt;=Person3!$E$6, Person3!$D$6+ROW(A26)-1, "")</f>
        <v/>
      </c>
      <c r="Z28" s="1" t="str">
        <f>IF(Person3!$D$7+ROW(A26)-1&lt;=Person3!$E$7, Person3!$D$7+ROW(A26)-1, "")</f>
        <v/>
      </c>
      <c r="AA28" s="1" t="str">
        <f>IF(Person3!$D$8+ROW(A26)-1&lt;=Person3!$E$8, Person3!$D$8+ROW(A26)-1, "")</f>
        <v/>
      </c>
      <c r="AE28" s="1" t="str">
        <f>IF(Person3!$F$3+ROW(A26)-1&lt;=Person3!$G$3, Person3!$F$3+ROW(A26)-1, "")</f>
        <v/>
      </c>
      <c r="AF28" s="1" t="str">
        <f>IF(Person3!$F$4+ROW(A26)-1&lt;=Person3!$G$4, Person3!$F$4+ROW(A26)-1, "")</f>
        <v/>
      </c>
      <c r="AG28" s="1" t="str">
        <f>IF(Person3!$F$5+ROW(A26)-1&lt;=Person3!$G$5, Person3!$F$5+ROW(A26)-1, "")</f>
        <v/>
      </c>
      <c r="AH28" s="1" t="str">
        <f>IF(Person3!$F$6+ROW(A26)-1&lt;=Person3!$G$6, Person3!$F$6+ROW(A26)-1, "")</f>
        <v/>
      </c>
      <c r="AI28" s="1" t="str">
        <f>IF(Person3!$F$7+ROW(A26)-1&lt;=Person3!$G$7, Person3!$F$7+ROW(A26)-1, "")</f>
        <v/>
      </c>
    </row>
    <row r="29" spans="1:35" x14ac:dyDescent="0.3">
      <c r="A29" s="1" t="str">
        <f>IF(Person3!$B$3+ROW(A27)-1&lt;=Person3!$C$3, Person3!$B$3+ROW(A27)-1, "")</f>
        <v/>
      </c>
      <c r="B29" s="1" t="str">
        <f>IF(Person3!$B$4+ROW(B27)-1&lt;=Person3!$C$4, Person3!$B$4+ROW(B27)-1, "")</f>
        <v/>
      </c>
      <c r="C29" s="1" t="str">
        <f>IF(Person3!$B$5+ROW(B27)-1&lt;=Person3!$C$5, Person3!$B$5+ROW(B27)-1, "")</f>
        <v/>
      </c>
      <c r="D29" s="1" t="str">
        <f>IF(Person3!$B$6+ROW(B27)-1&lt;=Person3!$C$6, Person3!$B$6+ROW(B27)-1, "")</f>
        <v/>
      </c>
      <c r="E29" s="1" t="str">
        <f>IF(Person3!$B$7+ROW(B27)-1&lt;=Person3!$C$7, Person3!$B$7+ROW(B27)-1, "")</f>
        <v/>
      </c>
      <c r="F29" s="1" t="str">
        <f>IF(Person3!$B$8+ROW(B27)-1&lt;=Person3!$C$8, Person3!$B$8+ROW(B27)-1, "")</f>
        <v/>
      </c>
      <c r="G29" s="1" t="str">
        <f>IF(Person3!$B$9+ROW(B27)-1&lt;=Person3!$C$9, Person3!$B$9+ROW(B27)-1, "")</f>
        <v/>
      </c>
      <c r="H29" s="1" t="str">
        <f>IF(Person3!$B$10+ROW(B27)-1&lt;=Person3!$C$10, Person3!$B$10+ROW(B27)-1, "")</f>
        <v/>
      </c>
      <c r="I29" s="1" t="str">
        <f>IF(Person3!$B$11+ROW(B27)-1&lt;=Person3!$C$11, Person3!$B$11+ROW(B27)-1, "")</f>
        <v/>
      </c>
      <c r="J29" s="1" t="str">
        <f>IF(Person3!$B$12+ROW(B27)-1&lt;=Person3!$C$12, Person3!$B$12+ROW(B27)-1, "")</f>
        <v/>
      </c>
      <c r="K29" s="1" t="str">
        <f>IF(Person3!$B$13+ROW(B27)-1&lt;=Person3!$C$13, Person3!$B$13+ROW(B27)-1, "")</f>
        <v/>
      </c>
      <c r="L29" s="1" t="str">
        <f>IF(Person3!$B$14+ROW(B27)-1&lt;=Person3!$C$14, Person3!$B$14+ROW(B27)-1, "")</f>
        <v/>
      </c>
      <c r="M29" s="1" t="str">
        <f>IF(Person3!$B$15+ROW(B27)-1&lt;=Person3!$C$15, Person3!$B$15+ROW(B27)-1, "")</f>
        <v/>
      </c>
      <c r="N29" s="1" t="str">
        <f>IF(Person3!$B$16+ROW(B27)-1&lt;=Person3!$C$16, Person3!$B$16+ROW(B27)-1, "")</f>
        <v/>
      </c>
      <c r="O29" s="1" t="str">
        <f>IF(Person3!$B$17+ROW(B27)-1&lt;=Person3!$C$17, Person3!$B$17+ROW(B27)-1, "")</f>
        <v/>
      </c>
      <c r="V29" s="1" t="str">
        <f>IF(Person3!$D$3+ROW(A27)-1&lt;=Person3!$E$3, Person3!$D$3+ROW(A27)-1, "")</f>
        <v/>
      </c>
      <c r="W29" s="1" t="str">
        <f>IF(Person3!$D$4+ROW(A27)-1&lt;=Person3!$E$4, Person3!$D$4+ROW(A27)-1, "")</f>
        <v/>
      </c>
      <c r="X29" s="1" t="str">
        <f>IF(Person3!$D$5+ROW(A27)-1&lt;=Person3!$E$5, Person3!$D$5+ROW(A27)-1, "")</f>
        <v/>
      </c>
      <c r="Y29" s="1" t="str">
        <f>IF(Person3!$D$6+ROW(A27)-1&lt;=Person3!$E$6, Person3!$D$6+ROW(A27)-1, "")</f>
        <v/>
      </c>
      <c r="Z29" s="1" t="str">
        <f>IF(Person3!$D$7+ROW(A27)-1&lt;=Person3!$E$7, Person3!$D$7+ROW(A27)-1, "")</f>
        <v/>
      </c>
      <c r="AA29" s="1" t="str">
        <f>IF(Person3!$D$8+ROW(A27)-1&lt;=Person3!$E$8, Person3!$D$8+ROW(A27)-1, "")</f>
        <v/>
      </c>
      <c r="AE29" s="1" t="str">
        <f>IF(Person3!$F$3+ROW(A27)-1&lt;=Person3!$G$3, Person3!$F$3+ROW(A27)-1, "")</f>
        <v/>
      </c>
      <c r="AF29" s="1" t="str">
        <f>IF(Person3!$F$4+ROW(A27)-1&lt;=Person3!$G$4, Person3!$F$4+ROW(A27)-1, "")</f>
        <v/>
      </c>
      <c r="AG29" s="1" t="str">
        <f>IF(Person3!$F$5+ROW(A27)-1&lt;=Person3!$G$5, Person3!$F$5+ROW(A27)-1, "")</f>
        <v/>
      </c>
      <c r="AH29" s="1" t="str">
        <f>IF(Person3!$F$6+ROW(A27)-1&lt;=Person3!$G$6, Person3!$F$6+ROW(A27)-1, "")</f>
        <v/>
      </c>
      <c r="AI29" s="1" t="str">
        <f>IF(Person3!$F$7+ROW(A27)-1&lt;=Person3!$G$7, Person3!$F$7+ROW(A27)-1, "")</f>
        <v/>
      </c>
    </row>
    <row r="30" spans="1:35" x14ac:dyDescent="0.3">
      <c r="A30" s="1" t="str">
        <f>IF(Person3!$B$3+ROW(A28)-1&lt;=Person3!$C$3, Person3!$B$3+ROW(A28)-1, "")</f>
        <v/>
      </c>
      <c r="B30" s="1" t="str">
        <f>IF(Person3!$B$4+ROW(B28)-1&lt;=Person3!$C$4, Person3!$B$4+ROW(B28)-1, "")</f>
        <v/>
      </c>
      <c r="C30" s="1" t="str">
        <f>IF(Person3!$B$5+ROW(B28)-1&lt;=Person3!$C$5, Person3!$B$5+ROW(B28)-1, "")</f>
        <v/>
      </c>
      <c r="D30" s="1" t="str">
        <f>IF(Person3!$B$6+ROW(B28)-1&lt;=Person3!$C$6, Person3!$B$6+ROW(B28)-1, "")</f>
        <v/>
      </c>
      <c r="E30" s="1" t="str">
        <f>IF(Person3!$B$7+ROW(B28)-1&lt;=Person3!$C$7, Person3!$B$7+ROW(B28)-1, "")</f>
        <v/>
      </c>
      <c r="F30" s="1" t="str">
        <f>IF(Person3!$B$8+ROW(B28)-1&lt;=Person3!$C$8, Person3!$B$8+ROW(B28)-1, "")</f>
        <v/>
      </c>
      <c r="G30" s="1" t="str">
        <f>IF(Person3!$B$9+ROW(B28)-1&lt;=Person3!$C$9, Person3!$B$9+ROW(B28)-1, "")</f>
        <v/>
      </c>
      <c r="H30" s="1" t="str">
        <f>IF(Person3!$B$10+ROW(B28)-1&lt;=Person3!$C$10, Person3!$B$10+ROW(B28)-1, "")</f>
        <v/>
      </c>
      <c r="I30" s="1" t="str">
        <f>IF(Person3!$B$11+ROW(B28)-1&lt;=Person3!$C$11, Person3!$B$11+ROW(B28)-1, "")</f>
        <v/>
      </c>
      <c r="J30" s="1" t="str">
        <f>IF(Person3!$B$12+ROW(B28)-1&lt;=Person3!$C$12, Person3!$B$12+ROW(B28)-1, "")</f>
        <v/>
      </c>
      <c r="K30" s="1" t="str">
        <f>IF(Person3!$B$13+ROW(B28)-1&lt;=Person3!$C$13, Person3!$B$13+ROW(B28)-1, "")</f>
        <v/>
      </c>
      <c r="L30" s="1" t="str">
        <f>IF(Person3!$B$14+ROW(B28)-1&lt;=Person3!$C$14, Person3!$B$14+ROW(B28)-1, "")</f>
        <v/>
      </c>
      <c r="M30" s="1" t="str">
        <f>IF(Person3!$B$15+ROW(B28)-1&lt;=Person3!$C$15, Person3!$B$15+ROW(B28)-1, "")</f>
        <v/>
      </c>
      <c r="N30" s="1" t="str">
        <f>IF(Person3!$B$16+ROW(B28)-1&lt;=Person3!$C$16, Person3!$B$16+ROW(B28)-1, "")</f>
        <v/>
      </c>
      <c r="O30" s="1" t="str">
        <f>IF(Person3!$B$17+ROW(B28)-1&lt;=Person3!$C$17, Person3!$B$17+ROW(B28)-1, "")</f>
        <v/>
      </c>
      <c r="V30" s="1" t="str">
        <f>IF(Person3!$D$3+ROW(A28)-1&lt;=Person3!$E$3, Person3!$D$3+ROW(A28)-1, "")</f>
        <v/>
      </c>
      <c r="W30" s="1" t="str">
        <f>IF(Person3!$D$4+ROW(A28)-1&lt;=Person3!$E$4, Person3!$D$4+ROW(A28)-1, "")</f>
        <v/>
      </c>
      <c r="X30" s="1" t="str">
        <f>IF(Person3!$D$5+ROW(A28)-1&lt;=Person3!$E$5, Person3!$D$5+ROW(A28)-1, "")</f>
        <v/>
      </c>
      <c r="Y30" s="1" t="str">
        <f>IF(Person3!$D$6+ROW(A28)-1&lt;=Person3!$E$6, Person3!$D$6+ROW(A28)-1, "")</f>
        <v/>
      </c>
      <c r="Z30" s="1" t="str">
        <f>IF(Person3!$D$7+ROW(A28)-1&lt;=Person3!$E$7, Person3!$D$7+ROW(A28)-1, "")</f>
        <v/>
      </c>
      <c r="AA30" s="1" t="str">
        <f>IF(Person3!$D$8+ROW(A28)-1&lt;=Person3!$E$8, Person3!$D$8+ROW(A28)-1, "")</f>
        <v/>
      </c>
      <c r="AE30" s="1" t="str">
        <f>IF(Person3!$F$3+ROW(A28)-1&lt;=Person3!$G$3, Person3!$F$3+ROW(A28)-1, "")</f>
        <v/>
      </c>
      <c r="AF30" s="1" t="str">
        <f>IF(Person3!$F$4+ROW(A28)-1&lt;=Person3!$G$4, Person3!$F$4+ROW(A28)-1, "")</f>
        <v/>
      </c>
      <c r="AG30" s="1" t="str">
        <f>IF(Person3!$F$5+ROW(A28)-1&lt;=Person3!$G$5, Person3!$F$5+ROW(A28)-1, "")</f>
        <v/>
      </c>
      <c r="AH30" s="1" t="str">
        <f>IF(Person3!$F$6+ROW(A28)-1&lt;=Person3!$G$6, Person3!$F$6+ROW(A28)-1, "")</f>
        <v/>
      </c>
      <c r="AI30" s="1" t="str">
        <f>IF(Person3!$F$7+ROW(A28)-1&lt;=Person3!$G$7, Person3!$F$7+ROW(A28)-1, "")</f>
        <v/>
      </c>
    </row>
    <row r="31" spans="1:35" x14ac:dyDescent="0.3">
      <c r="A31" s="1" t="str">
        <f>IF(Person3!$B$3+ROW(A29)-1&lt;=Person3!$C$3, Person3!$B$3+ROW(A29)-1, "")</f>
        <v/>
      </c>
      <c r="B31" s="1" t="str">
        <f>IF(Person3!$B$4+ROW(B29)-1&lt;=Person3!$C$4, Person3!$B$4+ROW(B29)-1, "")</f>
        <v/>
      </c>
      <c r="C31" s="1" t="str">
        <f>IF(Person3!$B$5+ROW(B29)-1&lt;=Person3!$C$5, Person3!$B$5+ROW(B29)-1, "")</f>
        <v/>
      </c>
      <c r="D31" s="1" t="str">
        <f>IF(Person3!$B$6+ROW(B29)-1&lt;=Person3!$C$6, Person3!$B$6+ROW(B29)-1, "")</f>
        <v/>
      </c>
      <c r="E31" s="1" t="str">
        <f>IF(Person3!$B$7+ROW(B29)-1&lt;=Person3!$C$7, Person3!$B$7+ROW(B29)-1, "")</f>
        <v/>
      </c>
      <c r="F31" s="1" t="str">
        <f>IF(Person3!$B$8+ROW(B29)-1&lt;=Person3!$C$8, Person3!$B$8+ROW(B29)-1, "")</f>
        <v/>
      </c>
      <c r="G31" s="1" t="str">
        <f>IF(Person3!$B$9+ROW(B29)-1&lt;=Person3!$C$9, Person3!$B$9+ROW(B29)-1, "")</f>
        <v/>
      </c>
      <c r="H31" s="1" t="str">
        <f>IF(Person3!$B$10+ROW(B29)-1&lt;=Person3!$C$10, Person3!$B$10+ROW(B29)-1, "")</f>
        <v/>
      </c>
      <c r="I31" s="1" t="str">
        <f>IF(Person3!$B$11+ROW(B29)-1&lt;=Person3!$C$11, Person3!$B$11+ROW(B29)-1, "")</f>
        <v/>
      </c>
      <c r="J31" s="1" t="str">
        <f>IF(Person3!$B$12+ROW(B29)-1&lt;=Person3!$C$12, Person3!$B$12+ROW(B29)-1, "")</f>
        <v/>
      </c>
      <c r="K31" s="1" t="str">
        <f>IF(Person3!$B$13+ROW(B29)-1&lt;=Person3!$C$13, Person3!$B$13+ROW(B29)-1, "")</f>
        <v/>
      </c>
      <c r="L31" s="1" t="str">
        <f>IF(Person3!$B$14+ROW(B29)-1&lt;=Person3!$C$14, Person3!$B$14+ROW(B29)-1, "")</f>
        <v/>
      </c>
      <c r="M31" s="1" t="str">
        <f>IF(Person3!$B$15+ROW(B29)-1&lt;=Person3!$C$15, Person3!$B$15+ROW(B29)-1, "")</f>
        <v/>
      </c>
      <c r="N31" s="1" t="str">
        <f>IF(Person3!$B$16+ROW(B29)-1&lt;=Person3!$C$16, Person3!$B$16+ROW(B29)-1, "")</f>
        <v/>
      </c>
      <c r="O31" s="1" t="str">
        <f>IF(Person3!$B$17+ROW(B29)-1&lt;=Person3!$C$17, Person3!$B$17+ROW(B29)-1, "")</f>
        <v/>
      </c>
      <c r="V31" s="1" t="str">
        <f>IF(Person3!$D$3+ROW(A29)-1&lt;=Person3!$E$3, Person3!$D$3+ROW(A29)-1, "")</f>
        <v/>
      </c>
      <c r="W31" s="1" t="str">
        <f>IF(Person3!$D$4+ROW(A29)-1&lt;=Person3!$E$4, Person3!$D$4+ROW(A29)-1, "")</f>
        <v/>
      </c>
      <c r="X31" s="1" t="str">
        <f>IF(Person3!$D$5+ROW(A29)-1&lt;=Person3!$E$5, Person3!$D$5+ROW(A29)-1, "")</f>
        <v/>
      </c>
      <c r="Y31" s="1" t="str">
        <f>IF(Person3!$D$6+ROW(A29)-1&lt;=Person3!$E$6, Person3!$D$6+ROW(A29)-1, "")</f>
        <v/>
      </c>
      <c r="Z31" s="1" t="str">
        <f>IF(Person3!$D$7+ROW(A29)-1&lt;=Person3!$E$7, Person3!$D$7+ROW(A29)-1, "")</f>
        <v/>
      </c>
      <c r="AA31" s="1" t="str">
        <f>IF(Person3!$D$8+ROW(A29)-1&lt;=Person3!$E$8, Person3!$D$8+ROW(A29)-1, "")</f>
        <v/>
      </c>
      <c r="AE31" s="1" t="str">
        <f>IF(Person3!$F$3+ROW(A29)-1&lt;=Person3!$G$3, Person3!$F$3+ROW(A29)-1, "")</f>
        <v/>
      </c>
      <c r="AF31" s="1" t="str">
        <f>IF(Person3!$F$4+ROW(A29)-1&lt;=Person3!$G$4, Person3!$F$4+ROW(A29)-1, "")</f>
        <v/>
      </c>
      <c r="AG31" s="1" t="str">
        <f>IF(Person3!$F$5+ROW(A29)-1&lt;=Person3!$G$5, Person3!$F$5+ROW(A29)-1, "")</f>
        <v/>
      </c>
      <c r="AH31" s="1" t="str">
        <f>IF(Person3!$F$6+ROW(A29)-1&lt;=Person3!$G$6, Person3!$F$6+ROW(A29)-1, "")</f>
        <v/>
      </c>
      <c r="AI31" s="1" t="str">
        <f>IF(Person3!$F$7+ROW(A29)-1&lt;=Person3!$G$7, Person3!$F$7+ROW(A29)-1, "")</f>
        <v/>
      </c>
    </row>
    <row r="32" spans="1:35" x14ac:dyDescent="0.3">
      <c r="A32" s="1" t="str">
        <f>IF(Person3!$B$3+ROW(A30)-1&lt;=Person3!$C$3, Person3!$B$3+ROW(A30)-1, "")</f>
        <v/>
      </c>
      <c r="B32" s="1" t="str">
        <f>IF(Person3!$B$4+ROW(B30)-1&lt;=Person3!$C$4, Person3!$B$4+ROW(B30)-1, "")</f>
        <v/>
      </c>
      <c r="C32" s="1" t="str">
        <f>IF(Person3!$B$5+ROW(B30)-1&lt;=Person3!$C$5, Person3!$B$5+ROW(B30)-1, "")</f>
        <v/>
      </c>
      <c r="D32" s="1" t="str">
        <f>IF(Person3!$B$6+ROW(B30)-1&lt;=Person3!$C$6, Person3!$B$6+ROW(B30)-1, "")</f>
        <v/>
      </c>
      <c r="E32" s="1" t="str">
        <f>IF(Person3!$B$7+ROW(B30)-1&lt;=Person3!$C$7, Person3!$B$7+ROW(B30)-1, "")</f>
        <v/>
      </c>
      <c r="F32" s="1" t="str">
        <f>IF(Person3!$B$8+ROW(B30)-1&lt;=Person3!$C$8, Person3!$B$8+ROW(B30)-1, "")</f>
        <v/>
      </c>
      <c r="G32" s="1" t="str">
        <f>IF(Person3!$B$9+ROW(B30)-1&lt;=Person3!$C$9, Person3!$B$9+ROW(B30)-1, "")</f>
        <v/>
      </c>
      <c r="H32" s="1" t="str">
        <f>IF(Person3!$B$10+ROW(B30)-1&lt;=Person3!$C$10, Person3!$B$10+ROW(B30)-1, "")</f>
        <v/>
      </c>
      <c r="I32" s="1" t="str">
        <f>IF(Person3!$B$11+ROW(B30)-1&lt;=Person3!$C$11, Person3!$B$11+ROW(B30)-1, "")</f>
        <v/>
      </c>
      <c r="J32" s="1" t="str">
        <f>IF(Person3!$B$12+ROW(B30)-1&lt;=Person3!$C$12, Person3!$B$12+ROW(B30)-1, "")</f>
        <v/>
      </c>
      <c r="K32" s="1" t="str">
        <f>IF(Person3!$B$13+ROW(B30)-1&lt;=Person3!$C$13, Person3!$B$13+ROW(B30)-1, "")</f>
        <v/>
      </c>
      <c r="L32" s="1" t="str">
        <f>IF(Person3!$B$14+ROW(B30)-1&lt;=Person3!$C$14, Person3!$B$14+ROW(B30)-1, "")</f>
        <v/>
      </c>
      <c r="M32" s="1" t="str">
        <f>IF(Person3!$B$15+ROW(B30)-1&lt;=Person3!$C$15, Person3!$B$15+ROW(B30)-1, "")</f>
        <v/>
      </c>
      <c r="N32" s="1" t="str">
        <f>IF(Person3!$B$16+ROW(B30)-1&lt;=Person3!$C$16, Person3!$B$16+ROW(B30)-1, "")</f>
        <v/>
      </c>
      <c r="O32" s="1" t="str">
        <f>IF(Person3!$B$17+ROW(B30)-1&lt;=Person3!$C$17, Person3!$B$17+ROW(B30)-1, "")</f>
        <v/>
      </c>
      <c r="V32" s="1" t="str">
        <f>IF(Person3!$D$3+ROW(A30)-1&lt;=Person3!$E$3, Person3!$D$3+ROW(A30)-1, "")</f>
        <v/>
      </c>
      <c r="W32" s="1" t="str">
        <f>IF(Person3!$D$4+ROW(A30)-1&lt;=Person3!$E$4, Person3!$D$4+ROW(A30)-1, "")</f>
        <v/>
      </c>
      <c r="X32" s="1" t="str">
        <f>IF(Person3!$D$5+ROW(A30)-1&lt;=Person3!$E$5, Person3!$D$5+ROW(A30)-1, "")</f>
        <v/>
      </c>
      <c r="Y32" s="1" t="str">
        <f>IF(Person3!$D$6+ROW(A30)-1&lt;=Person3!$E$6, Person3!$D$6+ROW(A30)-1, "")</f>
        <v/>
      </c>
      <c r="Z32" s="1" t="str">
        <f>IF(Person3!$D$7+ROW(A30)-1&lt;=Person3!$E$7, Person3!$D$7+ROW(A30)-1, "")</f>
        <v/>
      </c>
      <c r="AA32" s="1" t="str">
        <f>IF(Person3!$D$8+ROW(A30)-1&lt;=Person3!$E$8, Person3!$D$8+ROW(A30)-1, "")</f>
        <v/>
      </c>
      <c r="AE32" s="1" t="str">
        <f>IF(Person3!$F$3+ROW(A30)-1&lt;=Person3!$G$3, Person3!$F$3+ROW(A30)-1, "")</f>
        <v/>
      </c>
      <c r="AF32" s="1" t="str">
        <f>IF(Person3!$F$4+ROW(A30)-1&lt;=Person3!$G$4, Person3!$F$4+ROW(A30)-1, "")</f>
        <v/>
      </c>
      <c r="AG32" s="1" t="str">
        <f>IF(Person3!$F$5+ROW(A30)-1&lt;=Person3!$G$5, Person3!$F$5+ROW(A30)-1, "")</f>
        <v/>
      </c>
      <c r="AH32" s="1" t="str">
        <f>IF(Person3!$F$6+ROW(A30)-1&lt;=Person3!$G$6, Person3!$F$6+ROW(A30)-1, "")</f>
        <v/>
      </c>
      <c r="AI32" s="1" t="str">
        <f>IF(Person3!$F$7+ROW(A30)-1&lt;=Person3!$G$7, Person3!$F$7+ROW(A30)-1, "")</f>
        <v/>
      </c>
    </row>
    <row r="33" spans="1:35" x14ac:dyDescent="0.3">
      <c r="A33" s="1" t="str">
        <f>IF(Person3!$B$3+ROW(A31)-1&lt;=Person3!$C$3, Person3!$B$3+ROW(A31)-1, "")</f>
        <v/>
      </c>
      <c r="B33" s="1" t="str">
        <f>IF(Person3!$B$4+ROW(B31)-1&lt;=Person3!$C$4, Person3!$B$4+ROW(B31)-1, "")</f>
        <v/>
      </c>
      <c r="C33" s="1" t="str">
        <f>IF(Person3!$B$5+ROW(B31)-1&lt;=Person3!$C$5, Person3!$B$5+ROW(B31)-1, "")</f>
        <v/>
      </c>
      <c r="D33" s="1" t="str">
        <f>IF(Person3!$B$6+ROW(B31)-1&lt;=Person3!$C$6, Person3!$B$6+ROW(B31)-1, "")</f>
        <v/>
      </c>
      <c r="E33" s="1" t="str">
        <f>IF(Person3!$B$7+ROW(B31)-1&lt;=Person3!$C$7, Person3!$B$7+ROW(B31)-1, "")</f>
        <v/>
      </c>
      <c r="F33" s="1" t="str">
        <f>IF(Person3!$B$8+ROW(B31)-1&lt;=Person3!$C$8, Person3!$B$8+ROW(B31)-1, "")</f>
        <v/>
      </c>
      <c r="G33" s="1" t="str">
        <f>IF(Person3!$B$9+ROW(B31)-1&lt;=Person3!$C$9, Person3!$B$9+ROW(B31)-1, "")</f>
        <v/>
      </c>
      <c r="H33" s="1" t="str">
        <f>IF(Person3!$B$10+ROW(B31)-1&lt;=Person3!$C$10, Person3!$B$10+ROW(B31)-1, "")</f>
        <v/>
      </c>
      <c r="I33" s="1" t="str">
        <f>IF(Person3!$B$11+ROW(B31)-1&lt;=Person3!$C$11, Person3!$B$11+ROW(B31)-1, "")</f>
        <v/>
      </c>
      <c r="J33" s="1" t="str">
        <f>IF(Person3!$B$12+ROW(B31)-1&lt;=Person3!$C$12, Person3!$B$12+ROW(B31)-1, "")</f>
        <v/>
      </c>
      <c r="K33" s="1" t="str">
        <f>IF(Person3!$B$13+ROW(B31)-1&lt;=Person3!$C$13, Person3!$B$13+ROW(B31)-1, "")</f>
        <v/>
      </c>
      <c r="L33" s="1" t="str">
        <f>IF(Person3!$B$14+ROW(B31)-1&lt;=Person3!$C$14, Person3!$B$14+ROW(B31)-1, "")</f>
        <v/>
      </c>
      <c r="M33" s="1" t="str">
        <f>IF(Person3!$B$15+ROW(B31)-1&lt;=Person3!$C$15, Person3!$B$15+ROW(B31)-1, "")</f>
        <v/>
      </c>
      <c r="N33" s="1" t="str">
        <f>IF(Person3!$B$16+ROW(B31)-1&lt;=Person3!$C$16, Person3!$B$16+ROW(B31)-1, "")</f>
        <v/>
      </c>
      <c r="O33" s="1" t="str">
        <f>IF(Person3!$B$17+ROW(B31)-1&lt;=Person3!$C$17, Person3!$B$17+ROW(B31)-1, "")</f>
        <v/>
      </c>
      <c r="V33" s="1" t="str">
        <f>IF(Person3!$D$3+ROW(A31)-1&lt;=Person3!$E$3, Person3!$D$3+ROW(A31)-1, "")</f>
        <v/>
      </c>
      <c r="W33" s="1" t="str">
        <f>IF(Person3!$D$4+ROW(A31)-1&lt;=Person3!$E$4, Person3!$D$4+ROW(A31)-1, "")</f>
        <v/>
      </c>
      <c r="X33" s="1" t="str">
        <f>IF(Person3!$D$5+ROW(A31)-1&lt;=Person3!$E$5, Person3!$D$5+ROW(A31)-1, "")</f>
        <v/>
      </c>
      <c r="Y33" s="1" t="str">
        <f>IF(Person3!$D$6+ROW(A31)-1&lt;=Person3!$E$6, Person3!$D$6+ROW(A31)-1, "")</f>
        <v/>
      </c>
      <c r="Z33" s="1" t="str">
        <f>IF(Person3!$D$7+ROW(A31)-1&lt;=Person3!$E$7, Person3!$D$7+ROW(A31)-1, "")</f>
        <v/>
      </c>
      <c r="AA33" s="1" t="str">
        <f>IF(Person3!$D$8+ROW(A31)-1&lt;=Person3!$E$8, Person3!$D$8+ROW(A31)-1, "")</f>
        <v/>
      </c>
      <c r="AE33" s="1" t="str">
        <f>IF(Person3!$F$3+ROW(A31)-1&lt;=Person3!$G$3, Person3!$F$3+ROW(A31)-1, "")</f>
        <v/>
      </c>
      <c r="AF33" s="1" t="str">
        <f>IF(Person3!$F$4+ROW(A31)-1&lt;=Person3!$G$4, Person3!$F$4+ROW(A31)-1, "")</f>
        <v/>
      </c>
      <c r="AG33" s="1" t="str">
        <f>IF(Person3!$F$5+ROW(A31)-1&lt;=Person3!$G$5, Person3!$F$5+ROW(A31)-1, "")</f>
        <v/>
      </c>
      <c r="AH33" s="1" t="str">
        <f>IF(Person3!$F$6+ROW(A31)-1&lt;=Person3!$G$6, Person3!$F$6+ROW(A31)-1, "")</f>
        <v/>
      </c>
      <c r="AI33" s="1" t="str">
        <f>IF(Person3!$F$7+ROW(A31)-1&lt;=Person3!$G$7, Person3!$F$7+ROW(A31)-1, "")</f>
        <v/>
      </c>
    </row>
    <row r="34" spans="1:35" x14ac:dyDescent="0.3">
      <c r="A34" s="1" t="str">
        <f>IF(Person3!$B$3+ROW(A32)-1&lt;=Person3!$C$3, Person3!$B$3+ROW(A32)-1, "")</f>
        <v/>
      </c>
      <c r="B34" s="1" t="str">
        <f>IF(Person3!$B$4+ROW(B32)-1&lt;=Person3!$C$4, Person3!$B$4+ROW(B32)-1, "")</f>
        <v/>
      </c>
      <c r="C34" s="1" t="str">
        <f>IF(Person3!$B$5+ROW(B32)-1&lt;=Person3!$C$5, Person3!$B$5+ROW(B32)-1, "")</f>
        <v/>
      </c>
      <c r="D34" s="1" t="str">
        <f>IF(Person3!$B$6+ROW(B32)-1&lt;=Person3!$C$6, Person3!$B$6+ROW(B32)-1, "")</f>
        <v/>
      </c>
      <c r="E34" s="1" t="str">
        <f>IF(Person3!$B$7+ROW(B32)-1&lt;=Person3!$C$7, Person3!$B$7+ROW(B32)-1, "")</f>
        <v/>
      </c>
      <c r="F34" s="1" t="str">
        <f>IF(Person3!$B$8+ROW(B32)-1&lt;=Person3!$C$8, Person3!$B$8+ROW(B32)-1, "")</f>
        <v/>
      </c>
      <c r="G34" s="1" t="str">
        <f>IF(Person3!$B$9+ROW(B32)-1&lt;=Person3!$C$9, Person3!$B$9+ROW(B32)-1, "")</f>
        <v/>
      </c>
      <c r="H34" s="1" t="str">
        <f>IF(Person3!$B$10+ROW(B32)-1&lt;=Person3!$C$10, Person3!$B$10+ROW(B32)-1, "")</f>
        <v/>
      </c>
      <c r="I34" s="1" t="str">
        <f>IF(Person3!$B$11+ROW(B32)-1&lt;=Person3!$C$11, Person3!$B$11+ROW(B32)-1, "")</f>
        <v/>
      </c>
      <c r="J34" s="1" t="str">
        <f>IF(Person3!$B$12+ROW(B32)-1&lt;=Person3!$C$12, Person3!$B$12+ROW(B32)-1, "")</f>
        <v/>
      </c>
      <c r="K34" s="1" t="str">
        <f>IF(Person3!$B$13+ROW(B32)-1&lt;=Person3!$C$13, Person3!$B$13+ROW(B32)-1, "")</f>
        <v/>
      </c>
      <c r="L34" s="1" t="str">
        <f>IF(Person3!$B$14+ROW(B32)-1&lt;=Person3!$C$14, Person3!$B$14+ROW(B32)-1, "")</f>
        <v/>
      </c>
      <c r="M34" s="1" t="str">
        <f>IF(Person3!$B$15+ROW(B32)-1&lt;=Person3!$C$15, Person3!$B$15+ROW(B32)-1, "")</f>
        <v/>
      </c>
      <c r="N34" s="1" t="str">
        <f>IF(Person3!$B$16+ROW(B32)-1&lt;=Person3!$C$16, Person3!$B$16+ROW(B32)-1, "")</f>
        <v/>
      </c>
      <c r="O34" s="1" t="str">
        <f>IF(Person3!$B$17+ROW(B32)-1&lt;=Person3!$C$17, Person3!$B$17+ROW(B32)-1, "")</f>
        <v/>
      </c>
      <c r="V34" s="1" t="str">
        <f>IF(Person3!$D$3+ROW(A32)-1&lt;=Person3!$E$3, Person3!$D$3+ROW(A32)-1, "")</f>
        <v/>
      </c>
      <c r="W34" s="1" t="str">
        <f>IF(Person3!$D$4+ROW(A32)-1&lt;=Person3!$E$4, Person3!$D$4+ROW(A32)-1, "")</f>
        <v/>
      </c>
      <c r="X34" s="1" t="str">
        <f>IF(Person3!$D$5+ROW(A32)-1&lt;=Person3!$E$5, Person3!$D$5+ROW(A32)-1, "")</f>
        <v/>
      </c>
      <c r="Y34" s="1" t="str">
        <f>IF(Person3!$D$6+ROW(A32)-1&lt;=Person3!$E$6, Person3!$D$6+ROW(A32)-1, "")</f>
        <v/>
      </c>
      <c r="Z34" s="1" t="str">
        <f>IF(Person3!$D$7+ROW(A32)-1&lt;=Person3!$E$7, Person3!$D$7+ROW(A32)-1, "")</f>
        <v/>
      </c>
      <c r="AA34" s="1" t="str">
        <f>IF(Person3!$D$8+ROW(A32)-1&lt;=Person3!$E$8, Person3!$D$8+ROW(A32)-1, "")</f>
        <v/>
      </c>
      <c r="AE34" s="1" t="str">
        <f>IF(Person3!$F$3+ROW(A32)-1&lt;=Person3!$G$3, Person3!$F$3+ROW(A32)-1, "")</f>
        <v/>
      </c>
      <c r="AF34" s="1" t="str">
        <f>IF(Person3!$F$4+ROW(A32)-1&lt;=Person3!$G$4, Person3!$F$4+ROW(A32)-1, "")</f>
        <v/>
      </c>
      <c r="AG34" s="1" t="str">
        <f>IF(Person3!$F$5+ROW(A32)-1&lt;=Person3!$G$5, Person3!$F$5+ROW(A32)-1, "")</f>
        <v/>
      </c>
      <c r="AH34" s="1" t="str">
        <f>IF(Person3!$F$6+ROW(A32)-1&lt;=Person3!$G$6, Person3!$F$6+ROW(A32)-1, "")</f>
        <v/>
      </c>
      <c r="AI34" s="1" t="str">
        <f>IF(Person3!$F$7+ROW(A32)-1&lt;=Person3!$G$7, Person3!$F$7+ROW(A32)-1, "")</f>
        <v/>
      </c>
    </row>
    <row r="35" spans="1:35" x14ac:dyDescent="0.3">
      <c r="A35" s="1" t="str">
        <f>IF(Person3!$B$3+ROW(A33)-1&lt;=Person3!$C$3, Person3!$B$3+ROW(A33)-1, "")</f>
        <v/>
      </c>
      <c r="B35" s="1" t="str">
        <f>IF(Person3!$B$4+ROW(B33)-1&lt;=Person3!$C$4, Person3!$B$4+ROW(B33)-1, "")</f>
        <v/>
      </c>
      <c r="C35" s="1" t="str">
        <f>IF(Person3!$B$5+ROW(B33)-1&lt;=Person3!$C$5, Person3!$B$5+ROW(B33)-1, "")</f>
        <v/>
      </c>
      <c r="D35" s="1" t="str">
        <f>IF(Person3!$B$6+ROW(B33)-1&lt;=Person3!$C$6, Person3!$B$6+ROW(B33)-1, "")</f>
        <v/>
      </c>
      <c r="E35" s="1" t="str">
        <f>IF(Person3!$B$7+ROW(B33)-1&lt;=Person3!$C$7, Person3!$B$7+ROW(B33)-1, "")</f>
        <v/>
      </c>
      <c r="F35" s="1" t="str">
        <f>IF(Person3!$B$8+ROW(B33)-1&lt;=Person3!$C$8, Person3!$B$8+ROW(B33)-1, "")</f>
        <v/>
      </c>
      <c r="G35" s="1" t="str">
        <f>IF(Person3!$B$9+ROW(B33)-1&lt;=Person3!$C$9, Person3!$B$9+ROW(B33)-1, "")</f>
        <v/>
      </c>
      <c r="H35" s="1" t="str">
        <f>IF(Person3!$B$10+ROW(B33)-1&lt;=Person3!$C$10, Person3!$B$10+ROW(B33)-1, "")</f>
        <v/>
      </c>
      <c r="I35" s="1" t="str">
        <f>IF(Person3!$B$11+ROW(B33)-1&lt;=Person3!$C$11, Person3!$B$11+ROW(B33)-1, "")</f>
        <v/>
      </c>
      <c r="J35" s="1" t="str">
        <f>IF(Person3!$B$12+ROW(B33)-1&lt;=Person3!$C$12, Person3!$B$12+ROW(B33)-1, "")</f>
        <v/>
      </c>
      <c r="K35" s="1" t="str">
        <f>IF(Person3!$B$13+ROW(B33)-1&lt;=Person3!$C$13, Person3!$B$13+ROW(B33)-1, "")</f>
        <v/>
      </c>
      <c r="L35" s="1" t="str">
        <f>IF(Person3!$B$14+ROW(B33)-1&lt;=Person3!$C$14, Person3!$B$14+ROW(B33)-1, "")</f>
        <v/>
      </c>
      <c r="M35" s="1" t="str">
        <f>IF(Person3!$B$15+ROW(B33)-1&lt;=Person3!$C$15, Person3!$B$15+ROW(B33)-1, "")</f>
        <v/>
      </c>
      <c r="N35" s="1" t="str">
        <f>IF(Person3!$B$16+ROW(B33)-1&lt;=Person3!$C$16, Person3!$B$16+ROW(B33)-1, "")</f>
        <v/>
      </c>
      <c r="O35" s="1" t="str">
        <f>IF(Person3!$B$17+ROW(B33)-1&lt;=Person3!$C$17, Person3!$B$17+ROW(B33)-1, "")</f>
        <v/>
      </c>
      <c r="V35" s="1" t="str">
        <f>IF(Person3!$D$3+ROW(A33)-1&lt;=Person3!$E$3, Person3!$D$3+ROW(A33)-1, "")</f>
        <v/>
      </c>
      <c r="W35" s="1" t="str">
        <f>IF(Person3!$D$4+ROW(A33)-1&lt;=Person3!$E$4, Person3!$D$4+ROW(A33)-1, "")</f>
        <v/>
      </c>
      <c r="X35" s="1" t="str">
        <f>IF(Person3!$D$5+ROW(A33)-1&lt;=Person3!$E$5, Person3!$D$5+ROW(A33)-1, "")</f>
        <v/>
      </c>
      <c r="Y35" s="1" t="str">
        <f>IF(Person3!$D$6+ROW(A33)-1&lt;=Person3!$E$6, Person3!$D$6+ROW(A33)-1, "")</f>
        <v/>
      </c>
      <c r="Z35" s="1" t="str">
        <f>IF(Person3!$D$7+ROW(A33)-1&lt;=Person3!$E$7, Person3!$D$7+ROW(A33)-1, "")</f>
        <v/>
      </c>
      <c r="AA35" s="1" t="str">
        <f>IF(Person3!$D$8+ROW(A33)-1&lt;=Person3!$E$8, Person3!$D$8+ROW(A33)-1, "")</f>
        <v/>
      </c>
      <c r="AE35" s="1" t="str">
        <f>IF(Person3!$F$3+ROW(A33)-1&lt;=Person3!$G$3, Person3!$F$3+ROW(A33)-1, "")</f>
        <v/>
      </c>
      <c r="AF35" s="1" t="str">
        <f>IF(Person3!$F$4+ROW(A33)-1&lt;=Person3!$G$4, Person3!$F$4+ROW(A33)-1, "")</f>
        <v/>
      </c>
      <c r="AG35" s="1" t="str">
        <f>IF(Person3!$F$5+ROW(A33)-1&lt;=Person3!$G$5, Person3!$F$5+ROW(A33)-1, "")</f>
        <v/>
      </c>
      <c r="AH35" s="1" t="str">
        <f>IF(Person3!$F$6+ROW(A33)-1&lt;=Person3!$G$6, Person3!$F$6+ROW(A33)-1, "")</f>
        <v/>
      </c>
      <c r="AI35" s="1" t="str">
        <f>IF(Person3!$F$7+ROW(A33)-1&lt;=Person3!$G$7, Person3!$F$7+ROW(A33)-1, "")</f>
        <v/>
      </c>
    </row>
    <row r="36" spans="1:35" x14ac:dyDescent="0.3">
      <c r="A36" s="1" t="str">
        <f>IF(Person3!$B$3+ROW(A34)-1&lt;=Person3!$C$3, Person3!$B$3+ROW(A34)-1, "")</f>
        <v/>
      </c>
      <c r="B36" s="1" t="str">
        <f>IF(Person3!$B$4+ROW(B34)-1&lt;=Person3!$C$4, Person3!$B$4+ROW(B34)-1, "")</f>
        <v/>
      </c>
      <c r="C36" s="1" t="str">
        <f>IF(Person3!$B$5+ROW(B34)-1&lt;=Person3!$C$5, Person3!$B$5+ROW(B34)-1, "")</f>
        <v/>
      </c>
      <c r="D36" s="1" t="str">
        <f>IF(Person3!$B$6+ROW(B34)-1&lt;=Person3!$C$6, Person3!$B$6+ROW(B34)-1, "")</f>
        <v/>
      </c>
      <c r="E36" s="1" t="str">
        <f>IF(Person3!$B$7+ROW(B34)-1&lt;=Person3!$C$7, Person3!$B$7+ROW(B34)-1, "")</f>
        <v/>
      </c>
      <c r="F36" s="1" t="str">
        <f>IF(Person3!$B$8+ROW(B34)-1&lt;=Person3!$C$8, Person3!$B$8+ROW(B34)-1, "")</f>
        <v/>
      </c>
      <c r="G36" s="1" t="str">
        <f>IF(Person3!$B$9+ROW(B34)-1&lt;=Person3!$C$9, Person3!$B$9+ROW(B34)-1, "")</f>
        <v/>
      </c>
      <c r="H36" s="1" t="str">
        <f>IF(Person3!$B$10+ROW(B34)-1&lt;=Person3!$C$10, Person3!$B$10+ROW(B34)-1, "")</f>
        <v/>
      </c>
      <c r="I36" s="1" t="str">
        <f>IF(Person3!$B$11+ROW(B34)-1&lt;=Person3!$C$11, Person3!$B$11+ROW(B34)-1, "")</f>
        <v/>
      </c>
      <c r="J36" s="1" t="str">
        <f>IF(Person3!$B$12+ROW(B34)-1&lt;=Person3!$C$12, Person3!$B$12+ROW(B34)-1, "")</f>
        <v/>
      </c>
      <c r="K36" s="1" t="str">
        <f>IF(Person3!$B$13+ROW(B34)-1&lt;=Person3!$C$13, Person3!$B$13+ROW(B34)-1, "")</f>
        <v/>
      </c>
      <c r="L36" s="1" t="str">
        <f>IF(Person3!$B$14+ROW(B34)-1&lt;=Person3!$C$14, Person3!$B$14+ROW(B34)-1, "")</f>
        <v/>
      </c>
      <c r="M36" s="1" t="str">
        <f>IF(Person3!$B$15+ROW(B34)-1&lt;=Person3!$C$15, Person3!$B$15+ROW(B34)-1, "")</f>
        <v/>
      </c>
      <c r="N36" s="1" t="str">
        <f>IF(Person3!$B$16+ROW(B34)-1&lt;=Person3!$C$16, Person3!$B$16+ROW(B34)-1, "")</f>
        <v/>
      </c>
      <c r="O36" s="1" t="str">
        <f>IF(Person3!$B$17+ROW(B34)-1&lt;=Person3!$C$17, Person3!$B$17+ROW(B34)-1, "")</f>
        <v/>
      </c>
      <c r="V36" s="1" t="str">
        <f>IF(Person3!$D$3+ROW(A34)-1&lt;=Person3!$E$3, Person3!$D$3+ROW(A34)-1, "")</f>
        <v/>
      </c>
      <c r="W36" s="1" t="str">
        <f>IF(Person3!$D$4+ROW(A34)-1&lt;=Person3!$E$4, Person3!$D$4+ROW(A34)-1, "")</f>
        <v/>
      </c>
      <c r="X36" s="1" t="str">
        <f>IF(Person3!$D$5+ROW(A34)-1&lt;=Person3!$E$5, Person3!$D$5+ROW(A34)-1, "")</f>
        <v/>
      </c>
      <c r="Y36" s="1" t="str">
        <f>IF(Person3!$D$6+ROW(A34)-1&lt;=Person3!$E$6, Person3!$D$6+ROW(A34)-1, "")</f>
        <v/>
      </c>
      <c r="Z36" s="1" t="str">
        <f>IF(Person3!$D$7+ROW(A34)-1&lt;=Person3!$E$7, Person3!$D$7+ROW(A34)-1, "")</f>
        <v/>
      </c>
      <c r="AA36" s="1" t="str">
        <f>IF(Person3!$D$8+ROW(A34)-1&lt;=Person3!$E$8, Person3!$D$8+ROW(A34)-1, "")</f>
        <v/>
      </c>
      <c r="AE36" s="1" t="str">
        <f>IF(Person3!$F$3+ROW(A34)-1&lt;=Person3!$G$3, Person3!$F$3+ROW(A34)-1, "")</f>
        <v/>
      </c>
      <c r="AF36" s="1" t="str">
        <f>IF(Person3!$F$4+ROW(A34)-1&lt;=Person3!$G$4, Person3!$F$4+ROW(A34)-1, "")</f>
        <v/>
      </c>
      <c r="AG36" s="1" t="str">
        <f>IF(Person3!$F$5+ROW(A34)-1&lt;=Person3!$G$5, Person3!$F$5+ROW(A34)-1, "")</f>
        <v/>
      </c>
      <c r="AH36" s="1" t="str">
        <f>IF(Person3!$F$6+ROW(A34)-1&lt;=Person3!$G$6, Person3!$F$6+ROW(A34)-1, "")</f>
        <v/>
      </c>
      <c r="AI36" s="1" t="str">
        <f>IF(Person3!$F$7+ROW(A34)-1&lt;=Person3!$G$7, Person3!$F$7+ROW(A34)-1, "")</f>
        <v/>
      </c>
    </row>
    <row r="37" spans="1:35" x14ac:dyDescent="0.3">
      <c r="A37" s="1" t="str">
        <f>IF(Person3!$B$3+ROW(A35)-1&lt;=Person3!$C$3, Person3!$B$3+ROW(A35)-1, "")</f>
        <v/>
      </c>
      <c r="B37" s="1" t="str">
        <f>IF(Person3!$B$4+ROW(B35)-1&lt;=Person3!$C$4, Person3!$B$4+ROW(B35)-1, "")</f>
        <v/>
      </c>
      <c r="C37" s="1" t="str">
        <f>IF(Person3!$B$5+ROW(B35)-1&lt;=Person3!$C$5, Person3!$B$5+ROW(B35)-1, "")</f>
        <v/>
      </c>
      <c r="D37" s="1" t="str">
        <f>IF(Person3!$B$6+ROW(B35)-1&lt;=Person3!$C$6, Person3!$B$6+ROW(B35)-1, "")</f>
        <v/>
      </c>
      <c r="E37" s="1" t="str">
        <f>IF(Person3!$B$7+ROW(B35)-1&lt;=Person3!$C$7, Person3!$B$7+ROW(B35)-1, "")</f>
        <v/>
      </c>
      <c r="F37" s="1" t="str">
        <f>IF(Person3!$B$8+ROW(B35)-1&lt;=Person3!$C$8, Person3!$B$8+ROW(B35)-1, "")</f>
        <v/>
      </c>
      <c r="G37" s="1" t="str">
        <f>IF(Person3!$B$9+ROW(B35)-1&lt;=Person3!$C$9, Person3!$B$9+ROW(B35)-1, "")</f>
        <v/>
      </c>
      <c r="H37" s="1" t="str">
        <f>IF(Person3!$B$10+ROW(B35)-1&lt;=Person3!$C$10, Person3!$B$10+ROW(B35)-1, "")</f>
        <v/>
      </c>
      <c r="I37" s="1" t="str">
        <f>IF(Person3!$B$11+ROW(B35)-1&lt;=Person3!$C$11, Person3!$B$11+ROW(B35)-1, "")</f>
        <v/>
      </c>
      <c r="J37" s="1" t="str">
        <f>IF(Person3!$B$12+ROW(B35)-1&lt;=Person3!$C$12, Person3!$B$12+ROW(B35)-1, "")</f>
        <v/>
      </c>
      <c r="K37" s="1" t="str">
        <f>IF(Person3!$B$13+ROW(B35)-1&lt;=Person3!$C$13, Person3!$B$13+ROW(B35)-1, "")</f>
        <v/>
      </c>
      <c r="L37" s="1" t="str">
        <f>IF(Person3!$B$14+ROW(B35)-1&lt;=Person3!$C$14, Person3!$B$14+ROW(B35)-1, "")</f>
        <v/>
      </c>
      <c r="M37" s="1" t="str">
        <f>IF(Person3!$B$15+ROW(B35)-1&lt;=Person3!$C$15, Person3!$B$15+ROW(B35)-1, "")</f>
        <v/>
      </c>
      <c r="N37" s="1" t="str">
        <f>IF(Person3!$B$16+ROW(B35)-1&lt;=Person3!$C$16, Person3!$B$16+ROW(B35)-1, "")</f>
        <v/>
      </c>
      <c r="O37" s="1" t="str">
        <f>IF(Person3!$B$17+ROW(B35)-1&lt;=Person3!$C$17, Person3!$B$17+ROW(B35)-1, "")</f>
        <v/>
      </c>
      <c r="V37" s="1" t="str">
        <f>IF(Person3!$D$3+ROW(A35)-1&lt;=Person3!$E$3, Person3!$D$3+ROW(A35)-1, "")</f>
        <v/>
      </c>
      <c r="W37" s="1" t="str">
        <f>IF(Person3!$D$4+ROW(A35)-1&lt;=Person3!$E$4, Person3!$D$4+ROW(A35)-1, "")</f>
        <v/>
      </c>
      <c r="X37" s="1" t="str">
        <f>IF(Person3!$D$5+ROW(A35)-1&lt;=Person3!$E$5, Person3!$D$5+ROW(A35)-1, "")</f>
        <v/>
      </c>
      <c r="Y37" s="1" t="str">
        <f>IF(Person3!$D$6+ROW(A35)-1&lt;=Person3!$E$6, Person3!$D$6+ROW(A35)-1, "")</f>
        <v/>
      </c>
      <c r="Z37" s="1" t="str">
        <f>IF(Person3!$D$7+ROW(A35)-1&lt;=Person3!$E$7, Person3!$D$7+ROW(A35)-1, "")</f>
        <v/>
      </c>
      <c r="AA37" s="1" t="str">
        <f>IF(Person3!$D$8+ROW(A35)-1&lt;=Person3!$E$8, Person3!$D$8+ROW(A35)-1, "")</f>
        <v/>
      </c>
      <c r="AE37" s="1" t="str">
        <f>IF(Person3!$F$3+ROW(A35)-1&lt;=Person3!$G$3, Person3!$F$3+ROW(A35)-1, "")</f>
        <v/>
      </c>
      <c r="AF37" s="1" t="str">
        <f>IF(Person3!$F$4+ROW(A35)-1&lt;=Person3!$G$4, Person3!$F$4+ROW(A35)-1, "")</f>
        <v/>
      </c>
      <c r="AG37" s="1" t="str">
        <f>IF(Person3!$F$5+ROW(A35)-1&lt;=Person3!$G$5, Person3!$F$5+ROW(A35)-1, "")</f>
        <v/>
      </c>
      <c r="AH37" s="1" t="str">
        <f>IF(Person3!$F$6+ROW(A35)-1&lt;=Person3!$G$6, Person3!$F$6+ROW(A35)-1, "")</f>
        <v/>
      </c>
      <c r="AI37" s="1" t="str">
        <f>IF(Person3!$F$7+ROW(A35)-1&lt;=Person3!$G$7, Person3!$F$7+ROW(A35)-1, "")</f>
        <v/>
      </c>
    </row>
    <row r="38" spans="1:35" x14ac:dyDescent="0.3">
      <c r="A38" s="1" t="str">
        <f>IF(Person3!$B$3+ROW(A36)-1&lt;=Person3!$C$3, Person3!$B$3+ROW(A36)-1, "")</f>
        <v/>
      </c>
      <c r="B38" s="1" t="str">
        <f>IF(Person3!$B$4+ROW(B36)-1&lt;=Person3!$C$4, Person3!$B$4+ROW(B36)-1, "")</f>
        <v/>
      </c>
      <c r="C38" s="1" t="str">
        <f>IF(Person3!$B$5+ROW(B36)-1&lt;=Person3!$C$5, Person3!$B$5+ROW(B36)-1, "")</f>
        <v/>
      </c>
      <c r="D38" s="1" t="str">
        <f>IF(Person3!$B$6+ROW(B36)-1&lt;=Person3!$C$6, Person3!$B$6+ROW(B36)-1, "")</f>
        <v/>
      </c>
      <c r="E38" s="1" t="str">
        <f>IF(Person3!$B$7+ROW(B36)-1&lt;=Person3!$C$7, Person3!$B$7+ROW(B36)-1, "")</f>
        <v/>
      </c>
      <c r="F38" s="1" t="str">
        <f>IF(Person3!$B$8+ROW(B36)-1&lt;=Person3!$C$8, Person3!$B$8+ROW(B36)-1, "")</f>
        <v/>
      </c>
      <c r="G38" s="1" t="str">
        <f>IF(Person3!$B$9+ROW(B36)-1&lt;=Person3!$C$9, Person3!$B$9+ROW(B36)-1, "")</f>
        <v/>
      </c>
      <c r="H38" s="1" t="str">
        <f>IF(Person3!$B$10+ROW(B36)-1&lt;=Person3!$C$10, Person3!$B$10+ROW(B36)-1, "")</f>
        <v/>
      </c>
      <c r="I38" s="1" t="str">
        <f>IF(Person3!$B$11+ROW(B36)-1&lt;=Person3!$C$11, Person3!$B$11+ROW(B36)-1, "")</f>
        <v/>
      </c>
      <c r="J38" s="1" t="str">
        <f>IF(Person3!$B$12+ROW(B36)-1&lt;=Person3!$C$12, Person3!$B$12+ROW(B36)-1, "")</f>
        <v/>
      </c>
      <c r="K38" s="1" t="str">
        <f>IF(Person3!$B$13+ROW(B36)-1&lt;=Person3!$C$13, Person3!$B$13+ROW(B36)-1, "")</f>
        <v/>
      </c>
      <c r="L38" s="1" t="str">
        <f>IF(Person3!$B$14+ROW(B36)-1&lt;=Person3!$C$14, Person3!$B$14+ROW(B36)-1, "")</f>
        <v/>
      </c>
      <c r="M38" s="1" t="str">
        <f>IF(Person3!$B$15+ROW(B36)-1&lt;=Person3!$C$15, Person3!$B$15+ROW(B36)-1, "")</f>
        <v/>
      </c>
      <c r="N38" s="1" t="str">
        <f>IF(Person3!$B$16+ROW(B36)-1&lt;=Person3!$C$16, Person3!$B$16+ROW(B36)-1, "")</f>
        <v/>
      </c>
      <c r="O38" s="1" t="str">
        <f>IF(Person3!$B$17+ROW(B36)-1&lt;=Person3!$C$17, Person3!$B$17+ROW(B36)-1, "")</f>
        <v/>
      </c>
      <c r="V38" s="1" t="str">
        <f>IF(Person3!$D$3+ROW(A36)-1&lt;=Person3!$E$3, Person3!$D$3+ROW(A36)-1, "")</f>
        <v/>
      </c>
      <c r="W38" s="1" t="str">
        <f>IF(Person3!$D$4+ROW(A36)-1&lt;=Person3!$E$4, Person3!$D$4+ROW(A36)-1, "")</f>
        <v/>
      </c>
      <c r="X38" s="1" t="str">
        <f>IF(Person3!$D$5+ROW(A36)-1&lt;=Person3!$E$5, Person3!$D$5+ROW(A36)-1, "")</f>
        <v/>
      </c>
      <c r="Y38" s="1" t="str">
        <f>IF(Person3!$D$6+ROW(A36)-1&lt;=Person3!$E$6, Person3!$D$6+ROW(A36)-1, "")</f>
        <v/>
      </c>
      <c r="Z38" s="1" t="str">
        <f>IF(Person3!$D$7+ROW(A36)-1&lt;=Person3!$E$7, Person3!$D$7+ROW(A36)-1, "")</f>
        <v/>
      </c>
      <c r="AA38" s="1" t="str">
        <f>IF(Person3!$D$8+ROW(A36)-1&lt;=Person3!$E$8, Person3!$D$8+ROW(A36)-1, "")</f>
        <v/>
      </c>
      <c r="AE38" s="1" t="str">
        <f>IF(Person3!$F$3+ROW(A36)-1&lt;=Person3!$G$3, Person3!$F$3+ROW(A36)-1, "")</f>
        <v/>
      </c>
      <c r="AF38" s="1" t="str">
        <f>IF(Person3!$F$4+ROW(A36)-1&lt;=Person3!$G$4, Person3!$F$4+ROW(A36)-1, "")</f>
        <v/>
      </c>
      <c r="AG38" s="1" t="str">
        <f>IF(Person3!$F$5+ROW(A36)-1&lt;=Person3!$G$5, Person3!$F$5+ROW(A36)-1, "")</f>
        <v/>
      </c>
      <c r="AH38" s="1" t="str">
        <f>IF(Person3!$F$6+ROW(A36)-1&lt;=Person3!$G$6, Person3!$F$6+ROW(A36)-1, "")</f>
        <v/>
      </c>
      <c r="AI38" s="1" t="str">
        <f>IF(Person3!$F$7+ROW(A36)-1&lt;=Person3!$G$7, Person3!$F$7+ROW(A36)-1, "")</f>
        <v/>
      </c>
    </row>
    <row r="39" spans="1:35" x14ac:dyDescent="0.3">
      <c r="A39" s="1" t="str">
        <f>IF(Person3!$B$3+ROW(A37)-1&lt;=Person3!$C$3, Person3!$B$3+ROW(A37)-1, "")</f>
        <v/>
      </c>
      <c r="B39" s="1" t="str">
        <f>IF(Person3!$B$4+ROW(B37)-1&lt;=Person3!$C$4, Person3!$B$4+ROW(B37)-1, "")</f>
        <v/>
      </c>
      <c r="C39" s="1" t="str">
        <f>IF(Person3!$B$5+ROW(B37)-1&lt;=Person3!$C$5, Person3!$B$5+ROW(B37)-1, "")</f>
        <v/>
      </c>
      <c r="D39" s="1" t="str">
        <f>IF(Person3!$B$6+ROW(B37)-1&lt;=Person3!$C$6, Person3!$B$6+ROW(B37)-1, "")</f>
        <v/>
      </c>
      <c r="E39" s="1" t="str">
        <f>IF(Person3!$B$7+ROW(B37)-1&lt;=Person3!$C$7, Person3!$B$7+ROW(B37)-1, "")</f>
        <v/>
      </c>
      <c r="F39" s="1" t="str">
        <f>IF(Person3!$B$8+ROW(B37)-1&lt;=Person3!$C$8, Person3!$B$8+ROW(B37)-1, "")</f>
        <v/>
      </c>
      <c r="G39" s="1" t="str">
        <f>IF(Person3!$B$9+ROW(B37)-1&lt;=Person3!$C$9, Person3!$B$9+ROW(B37)-1, "")</f>
        <v/>
      </c>
      <c r="H39" s="1" t="str">
        <f>IF(Person3!$B$10+ROW(B37)-1&lt;=Person3!$C$10, Person3!$B$10+ROW(B37)-1, "")</f>
        <v/>
      </c>
      <c r="I39" s="1" t="str">
        <f>IF(Person3!$B$11+ROW(B37)-1&lt;=Person3!$C$11, Person3!$B$11+ROW(B37)-1, "")</f>
        <v/>
      </c>
      <c r="J39" s="1" t="str">
        <f>IF(Person3!$B$12+ROW(B37)-1&lt;=Person3!$C$12, Person3!$B$12+ROW(B37)-1, "")</f>
        <v/>
      </c>
      <c r="K39" s="1" t="str">
        <f>IF(Person3!$B$13+ROW(B37)-1&lt;=Person3!$C$13, Person3!$B$13+ROW(B37)-1, "")</f>
        <v/>
      </c>
      <c r="L39" s="1" t="str">
        <f>IF(Person3!$B$14+ROW(B37)-1&lt;=Person3!$C$14, Person3!$B$14+ROW(B37)-1, "")</f>
        <v/>
      </c>
      <c r="M39" s="1" t="str">
        <f>IF(Person3!$B$15+ROW(B37)-1&lt;=Person3!$C$15, Person3!$B$15+ROW(B37)-1, "")</f>
        <v/>
      </c>
      <c r="N39" s="1" t="str">
        <f>IF(Person3!$B$16+ROW(B37)-1&lt;=Person3!$C$16, Person3!$B$16+ROW(B37)-1, "")</f>
        <v/>
      </c>
      <c r="O39" s="1" t="str">
        <f>IF(Person3!$B$17+ROW(B37)-1&lt;=Person3!$C$17, Person3!$B$17+ROW(B37)-1, "")</f>
        <v/>
      </c>
      <c r="V39" s="1" t="str">
        <f>IF(Person3!$D$3+ROW(A37)-1&lt;=Person3!$E$3, Person3!$D$3+ROW(A37)-1, "")</f>
        <v/>
      </c>
      <c r="W39" s="1" t="str">
        <f>IF(Person3!$D$4+ROW(A37)-1&lt;=Person3!$E$4, Person3!$D$4+ROW(A37)-1, "")</f>
        <v/>
      </c>
      <c r="X39" s="1" t="str">
        <f>IF(Person3!$D$5+ROW(A37)-1&lt;=Person3!$E$5, Person3!$D$5+ROW(A37)-1, "")</f>
        <v/>
      </c>
      <c r="Y39" s="1" t="str">
        <f>IF(Person3!$D$6+ROW(A37)-1&lt;=Person3!$E$6, Person3!$D$6+ROW(A37)-1, "")</f>
        <v/>
      </c>
      <c r="Z39" s="1" t="str">
        <f>IF(Person3!$D$7+ROW(A37)-1&lt;=Person3!$E$7, Person3!$D$7+ROW(A37)-1, "")</f>
        <v/>
      </c>
      <c r="AA39" s="1" t="str">
        <f>IF(Person3!$D$8+ROW(A37)-1&lt;=Person3!$E$8, Person3!$D$8+ROW(A37)-1, "")</f>
        <v/>
      </c>
      <c r="AE39" s="1" t="str">
        <f>IF(Person3!$F$3+ROW(A37)-1&lt;=Person3!$G$3, Person3!$F$3+ROW(A37)-1, "")</f>
        <v/>
      </c>
      <c r="AF39" s="1" t="str">
        <f>IF(Person3!$F$4+ROW(A37)-1&lt;=Person3!$G$4, Person3!$F$4+ROW(A37)-1, "")</f>
        <v/>
      </c>
      <c r="AG39" s="1" t="str">
        <f>IF(Person3!$F$5+ROW(A37)-1&lt;=Person3!$G$5, Person3!$F$5+ROW(A37)-1, "")</f>
        <v/>
      </c>
      <c r="AH39" s="1" t="str">
        <f>IF(Person3!$F$6+ROW(A37)-1&lt;=Person3!$G$6, Person3!$F$6+ROW(A37)-1, "")</f>
        <v/>
      </c>
      <c r="AI39" s="1" t="str">
        <f>IF(Person3!$F$7+ROW(A37)-1&lt;=Person3!$G$7, Person3!$F$7+ROW(A37)-1, "")</f>
        <v/>
      </c>
    </row>
    <row r="40" spans="1:35" x14ac:dyDescent="0.3">
      <c r="A40" s="1" t="str">
        <f>IF(Person3!$B$3+ROW(A38)-1&lt;=Person3!$C$3, Person3!$B$3+ROW(A38)-1, "")</f>
        <v/>
      </c>
      <c r="B40" s="1" t="str">
        <f>IF(Person3!$B$4+ROW(B38)-1&lt;=Person3!$C$4, Person3!$B$4+ROW(B38)-1, "")</f>
        <v/>
      </c>
      <c r="C40" s="1" t="str">
        <f>IF(Person3!$B$5+ROW(B38)-1&lt;=Person3!$C$5, Person3!$B$5+ROW(B38)-1, "")</f>
        <v/>
      </c>
      <c r="D40" s="1" t="str">
        <f>IF(Person3!$B$6+ROW(B38)-1&lt;=Person3!$C$6, Person3!$B$6+ROW(B38)-1, "")</f>
        <v/>
      </c>
      <c r="E40" s="1" t="str">
        <f>IF(Person3!$B$7+ROW(B38)-1&lt;=Person3!$C$7, Person3!$B$7+ROW(B38)-1, "")</f>
        <v/>
      </c>
      <c r="F40" s="1" t="str">
        <f>IF(Person3!$B$8+ROW(B38)-1&lt;=Person3!$C$8, Person3!$B$8+ROW(B38)-1, "")</f>
        <v/>
      </c>
      <c r="G40" s="1" t="str">
        <f>IF(Person3!$B$9+ROW(B38)-1&lt;=Person3!$C$9, Person3!$B$9+ROW(B38)-1, "")</f>
        <v/>
      </c>
      <c r="H40" s="1" t="str">
        <f>IF(Person3!$B$10+ROW(B38)-1&lt;=Person3!$C$10, Person3!$B$10+ROW(B38)-1, "")</f>
        <v/>
      </c>
      <c r="I40" s="1" t="str">
        <f>IF(Person3!$B$11+ROW(B38)-1&lt;=Person3!$C$11, Person3!$B$11+ROW(B38)-1, "")</f>
        <v/>
      </c>
      <c r="J40" s="1" t="str">
        <f>IF(Person3!$B$12+ROW(B38)-1&lt;=Person3!$C$12, Person3!$B$12+ROW(B38)-1, "")</f>
        <v/>
      </c>
      <c r="K40" s="1" t="str">
        <f>IF(Person3!$B$13+ROW(B38)-1&lt;=Person3!$C$13, Person3!$B$13+ROW(B38)-1, "")</f>
        <v/>
      </c>
      <c r="L40" s="1" t="str">
        <f>IF(Person3!$B$14+ROW(B38)-1&lt;=Person3!$C$14, Person3!$B$14+ROW(B38)-1, "")</f>
        <v/>
      </c>
      <c r="M40" s="1" t="str">
        <f>IF(Person3!$B$15+ROW(B38)-1&lt;=Person3!$C$15, Person3!$B$15+ROW(B38)-1, "")</f>
        <v/>
      </c>
      <c r="N40" s="1" t="str">
        <f>IF(Person3!$B$16+ROW(B38)-1&lt;=Person3!$C$16, Person3!$B$16+ROW(B38)-1, "")</f>
        <v/>
      </c>
      <c r="O40" s="1" t="str">
        <f>IF(Person3!$B$17+ROW(B38)-1&lt;=Person3!$C$17, Person3!$B$17+ROW(B38)-1, "")</f>
        <v/>
      </c>
      <c r="V40" s="1" t="str">
        <f>IF(Person3!$D$3+ROW(A38)-1&lt;=Person3!$E$3, Person3!$D$3+ROW(A38)-1, "")</f>
        <v/>
      </c>
      <c r="W40" s="1" t="str">
        <f>IF(Person3!$D$4+ROW(A38)-1&lt;=Person3!$E$4, Person3!$D$4+ROW(A38)-1, "")</f>
        <v/>
      </c>
      <c r="X40" s="1" t="str">
        <f>IF(Person3!$D$5+ROW(A38)-1&lt;=Person3!$E$5, Person3!$D$5+ROW(A38)-1, "")</f>
        <v/>
      </c>
      <c r="Y40" s="1" t="str">
        <f>IF(Person3!$D$6+ROW(A38)-1&lt;=Person3!$E$6, Person3!$D$6+ROW(A38)-1, "")</f>
        <v/>
      </c>
      <c r="Z40" s="1" t="str">
        <f>IF(Person3!$D$7+ROW(A38)-1&lt;=Person3!$E$7, Person3!$D$7+ROW(A38)-1, "")</f>
        <v/>
      </c>
      <c r="AA40" s="1" t="str">
        <f>IF(Person3!$D$8+ROW(A38)-1&lt;=Person3!$E$8, Person3!$D$8+ROW(A38)-1, "")</f>
        <v/>
      </c>
      <c r="AE40" s="1" t="str">
        <f>IF(Person3!$F$3+ROW(A38)-1&lt;=Person3!$G$3, Person3!$F$3+ROW(A38)-1, "")</f>
        <v/>
      </c>
      <c r="AF40" s="1" t="str">
        <f>IF(Person3!$F$4+ROW(A38)-1&lt;=Person3!$G$4, Person3!$F$4+ROW(A38)-1, "")</f>
        <v/>
      </c>
      <c r="AG40" s="1" t="str">
        <f>IF(Person3!$F$5+ROW(A38)-1&lt;=Person3!$G$5, Person3!$F$5+ROW(A38)-1, "")</f>
        <v/>
      </c>
      <c r="AH40" s="1" t="str">
        <f>IF(Person3!$F$6+ROW(A38)-1&lt;=Person3!$G$6, Person3!$F$6+ROW(A38)-1, "")</f>
        <v/>
      </c>
      <c r="AI40" s="1" t="str">
        <f>IF(Person3!$F$7+ROW(A38)-1&lt;=Person3!$G$7, Person3!$F$7+ROW(A38)-1, "")</f>
        <v/>
      </c>
    </row>
    <row r="41" spans="1:35" x14ac:dyDescent="0.3">
      <c r="A41" s="1" t="str">
        <f>IF(Person3!$B$3+ROW(A39)-1&lt;=Person3!$C$3, Person3!$B$3+ROW(A39)-1, "")</f>
        <v/>
      </c>
      <c r="B41" s="1" t="str">
        <f>IF(Person3!$B$4+ROW(B39)-1&lt;=Person3!$C$4, Person3!$B$4+ROW(B39)-1, "")</f>
        <v/>
      </c>
      <c r="C41" s="1" t="str">
        <f>IF(Person3!$B$5+ROW(B39)-1&lt;=Person3!$C$5, Person3!$B$5+ROW(B39)-1, "")</f>
        <v/>
      </c>
      <c r="D41" s="1" t="str">
        <f>IF(Person3!$B$6+ROW(B39)-1&lt;=Person3!$C$6, Person3!$B$6+ROW(B39)-1, "")</f>
        <v/>
      </c>
      <c r="E41" s="1" t="str">
        <f>IF(Person3!$B$7+ROW(B39)-1&lt;=Person3!$C$7, Person3!$B$7+ROW(B39)-1, "")</f>
        <v/>
      </c>
      <c r="F41" s="1" t="str">
        <f>IF(Person3!$B$8+ROW(B39)-1&lt;=Person3!$C$8, Person3!$B$8+ROW(B39)-1, "")</f>
        <v/>
      </c>
      <c r="G41" s="1" t="str">
        <f>IF(Person3!$B$9+ROW(B39)-1&lt;=Person3!$C$9, Person3!$B$9+ROW(B39)-1, "")</f>
        <v/>
      </c>
      <c r="H41" s="1" t="str">
        <f>IF(Person3!$B$10+ROW(B39)-1&lt;=Person3!$C$10, Person3!$B$10+ROW(B39)-1, "")</f>
        <v/>
      </c>
      <c r="I41" s="1" t="str">
        <f>IF(Person3!$B$11+ROW(B39)-1&lt;=Person3!$C$11, Person3!$B$11+ROW(B39)-1, "")</f>
        <v/>
      </c>
      <c r="J41" s="1" t="str">
        <f>IF(Person3!$B$12+ROW(B39)-1&lt;=Person3!$C$12, Person3!$B$12+ROW(B39)-1, "")</f>
        <v/>
      </c>
      <c r="K41" s="1" t="str">
        <f>IF(Person3!$B$13+ROW(B39)-1&lt;=Person3!$C$13, Person3!$B$13+ROW(B39)-1, "")</f>
        <v/>
      </c>
      <c r="L41" s="1" t="str">
        <f>IF(Person3!$B$14+ROW(B39)-1&lt;=Person3!$C$14, Person3!$B$14+ROW(B39)-1, "")</f>
        <v/>
      </c>
      <c r="M41" s="1" t="str">
        <f>IF(Person3!$B$15+ROW(B39)-1&lt;=Person3!$C$15, Person3!$B$15+ROW(B39)-1, "")</f>
        <v/>
      </c>
      <c r="N41" s="1" t="str">
        <f>IF(Person3!$B$16+ROW(B39)-1&lt;=Person3!$C$16, Person3!$B$16+ROW(B39)-1, "")</f>
        <v/>
      </c>
      <c r="O41" s="1" t="str">
        <f>IF(Person3!$B$17+ROW(B39)-1&lt;=Person3!$C$17, Person3!$B$17+ROW(B39)-1, "")</f>
        <v/>
      </c>
      <c r="V41" s="1" t="str">
        <f>IF(Person3!$D$3+ROW(A39)-1&lt;=Person3!$E$3, Person3!$D$3+ROW(A39)-1, "")</f>
        <v/>
      </c>
      <c r="W41" s="1" t="str">
        <f>IF(Person3!$D$4+ROW(A39)-1&lt;=Person3!$E$4, Person3!$D$4+ROW(A39)-1, "")</f>
        <v/>
      </c>
      <c r="X41" s="1" t="str">
        <f>IF(Person3!$D$5+ROW(A39)-1&lt;=Person3!$E$5, Person3!$D$5+ROW(A39)-1, "")</f>
        <v/>
      </c>
      <c r="Y41" s="1" t="str">
        <f>IF(Person3!$D$6+ROW(A39)-1&lt;=Person3!$E$6, Person3!$D$6+ROW(A39)-1, "")</f>
        <v/>
      </c>
      <c r="Z41" s="1" t="str">
        <f>IF(Person3!$D$7+ROW(A39)-1&lt;=Person3!$E$7, Person3!$D$7+ROW(A39)-1, "")</f>
        <v/>
      </c>
      <c r="AA41" s="1" t="str">
        <f>IF(Person3!$D$8+ROW(A39)-1&lt;=Person3!$E$8, Person3!$D$8+ROW(A39)-1, "")</f>
        <v/>
      </c>
      <c r="AE41" s="1" t="str">
        <f>IF(Person3!$F$3+ROW(A39)-1&lt;=Person3!$G$3, Person3!$F$3+ROW(A39)-1, "")</f>
        <v/>
      </c>
      <c r="AF41" s="1" t="str">
        <f>IF(Person3!$F$4+ROW(A39)-1&lt;=Person3!$G$4, Person3!$F$4+ROW(A39)-1, "")</f>
        <v/>
      </c>
      <c r="AG41" s="1" t="str">
        <f>IF(Person3!$F$5+ROW(A39)-1&lt;=Person3!$G$5, Person3!$F$5+ROW(A39)-1, "")</f>
        <v/>
      </c>
      <c r="AH41" s="1" t="str">
        <f>IF(Person3!$F$6+ROW(A39)-1&lt;=Person3!$G$6, Person3!$F$6+ROW(A39)-1, "")</f>
        <v/>
      </c>
      <c r="AI41" s="1" t="str">
        <f>IF(Person3!$F$7+ROW(A39)-1&lt;=Person3!$G$7, Person3!$F$7+ROW(A39)-1, "")</f>
        <v/>
      </c>
    </row>
    <row r="42" spans="1:35" x14ac:dyDescent="0.3">
      <c r="A42" s="1" t="str">
        <f>IF(Person3!$B$3+ROW(A40)-1&lt;=Person3!$C$3, Person3!$B$3+ROW(A40)-1, "")</f>
        <v/>
      </c>
      <c r="B42" s="1" t="str">
        <f>IF(Person3!$B$4+ROW(B40)-1&lt;=Person3!$C$4, Person3!$B$4+ROW(B40)-1, "")</f>
        <v/>
      </c>
      <c r="C42" s="1" t="str">
        <f>IF(Person3!$B$5+ROW(B40)-1&lt;=Person3!$C$5, Person3!$B$5+ROW(B40)-1, "")</f>
        <v/>
      </c>
      <c r="D42" s="1" t="str">
        <f>IF(Person3!$B$6+ROW(B40)-1&lt;=Person3!$C$6, Person3!$B$6+ROW(B40)-1, "")</f>
        <v/>
      </c>
      <c r="E42" s="1" t="str">
        <f>IF(Person3!$B$7+ROW(B40)-1&lt;=Person3!$C$7, Person3!$B$7+ROW(B40)-1, "")</f>
        <v/>
      </c>
      <c r="F42" s="1" t="str">
        <f>IF(Person3!$B$8+ROW(B40)-1&lt;=Person3!$C$8, Person3!$B$8+ROW(B40)-1, "")</f>
        <v/>
      </c>
      <c r="G42" s="1" t="str">
        <f>IF(Person3!$B$9+ROW(B40)-1&lt;=Person3!$C$9, Person3!$B$9+ROW(B40)-1, "")</f>
        <v/>
      </c>
      <c r="H42" s="1" t="str">
        <f>IF(Person3!$B$10+ROW(B40)-1&lt;=Person3!$C$10, Person3!$B$10+ROW(B40)-1, "")</f>
        <v/>
      </c>
      <c r="I42" s="1" t="str">
        <f>IF(Person3!$B$11+ROW(B40)-1&lt;=Person3!$C$11, Person3!$B$11+ROW(B40)-1, "")</f>
        <v/>
      </c>
      <c r="J42" s="1" t="str">
        <f>IF(Person3!$B$12+ROW(B40)-1&lt;=Person3!$C$12, Person3!$B$12+ROW(B40)-1, "")</f>
        <v/>
      </c>
      <c r="K42" s="1" t="str">
        <f>IF(Person3!$B$13+ROW(B40)-1&lt;=Person3!$C$13, Person3!$B$13+ROW(B40)-1, "")</f>
        <v/>
      </c>
      <c r="L42" s="1" t="str">
        <f>IF(Person3!$B$14+ROW(B40)-1&lt;=Person3!$C$14, Person3!$B$14+ROW(B40)-1, "")</f>
        <v/>
      </c>
      <c r="M42" s="1" t="str">
        <f>IF(Person3!$B$15+ROW(B40)-1&lt;=Person3!$C$15, Person3!$B$15+ROW(B40)-1, "")</f>
        <v/>
      </c>
      <c r="N42" s="1" t="str">
        <f>IF(Person3!$B$16+ROW(B40)-1&lt;=Person3!$C$16, Person3!$B$16+ROW(B40)-1, "")</f>
        <v/>
      </c>
      <c r="O42" s="1" t="str">
        <f>IF(Person3!$B$17+ROW(B40)-1&lt;=Person3!$C$17, Person3!$B$17+ROW(B40)-1, "")</f>
        <v/>
      </c>
      <c r="V42" s="1" t="str">
        <f>IF(Person3!$D$3+ROW(A40)-1&lt;=Person3!$E$3, Person3!$D$3+ROW(A40)-1, "")</f>
        <v/>
      </c>
      <c r="W42" s="1" t="str">
        <f>IF(Person3!$D$4+ROW(A40)-1&lt;=Person3!$E$4, Person3!$D$4+ROW(A40)-1, "")</f>
        <v/>
      </c>
      <c r="X42" s="1" t="str">
        <f>IF(Person3!$D$5+ROW(A40)-1&lt;=Person3!$E$5, Person3!$D$5+ROW(A40)-1, "")</f>
        <v/>
      </c>
      <c r="Y42" s="1" t="str">
        <f>IF(Person3!$D$6+ROW(A40)-1&lt;=Person3!$E$6, Person3!$D$6+ROW(A40)-1, "")</f>
        <v/>
      </c>
      <c r="Z42" s="1" t="str">
        <f>IF(Person3!$D$7+ROW(A40)-1&lt;=Person3!$E$7, Person3!$D$7+ROW(A40)-1, "")</f>
        <v/>
      </c>
      <c r="AA42" s="1" t="str">
        <f>IF(Person3!$D$8+ROW(A40)-1&lt;=Person3!$E$8, Person3!$D$8+ROW(A40)-1, "")</f>
        <v/>
      </c>
      <c r="AE42" s="1" t="str">
        <f>IF(Person3!$F$3+ROW(A40)-1&lt;=Person3!$G$3, Person3!$F$3+ROW(A40)-1, "")</f>
        <v/>
      </c>
      <c r="AF42" s="1" t="str">
        <f>IF(Person3!$F$4+ROW(A40)-1&lt;=Person3!$G$4, Person3!$F$4+ROW(A40)-1, "")</f>
        <v/>
      </c>
      <c r="AG42" s="1" t="str">
        <f>IF(Person3!$F$5+ROW(A40)-1&lt;=Person3!$G$5, Person3!$F$5+ROW(A40)-1, "")</f>
        <v/>
      </c>
      <c r="AH42" s="1" t="str">
        <f>IF(Person3!$F$6+ROW(A40)-1&lt;=Person3!$G$6, Person3!$F$6+ROW(A40)-1, "")</f>
        <v/>
      </c>
      <c r="AI42" s="1" t="str">
        <f>IF(Person3!$F$7+ROW(A40)-1&lt;=Person3!$G$7, Person3!$F$7+ROW(A40)-1, "")</f>
        <v/>
      </c>
    </row>
    <row r="43" spans="1:35" x14ac:dyDescent="0.3">
      <c r="A43" s="1" t="str">
        <f>IF(Person3!$B$3+ROW(A41)-1&lt;=Person3!$C$3, Person3!$B$3+ROW(A41)-1, "")</f>
        <v/>
      </c>
      <c r="B43" s="1" t="str">
        <f>IF(Person3!$B$4+ROW(B41)-1&lt;=Person3!$C$4, Person3!$B$4+ROW(B41)-1, "")</f>
        <v/>
      </c>
      <c r="C43" s="1" t="str">
        <f>IF(Person3!$B$5+ROW(B41)-1&lt;=Person3!$C$5, Person3!$B$5+ROW(B41)-1, "")</f>
        <v/>
      </c>
      <c r="D43" s="1" t="str">
        <f>IF(Person3!$B$6+ROW(B41)-1&lt;=Person3!$C$6, Person3!$B$6+ROW(B41)-1, "")</f>
        <v/>
      </c>
      <c r="E43" s="1" t="str">
        <f>IF(Person3!$B$7+ROW(B41)-1&lt;=Person3!$C$7, Person3!$B$7+ROW(B41)-1, "")</f>
        <v/>
      </c>
      <c r="F43" s="1" t="str">
        <f>IF(Person3!$B$8+ROW(B41)-1&lt;=Person3!$C$8, Person3!$B$8+ROW(B41)-1, "")</f>
        <v/>
      </c>
      <c r="G43" s="1" t="str">
        <f>IF(Person3!$B$9+ROW(B41)-1&lt;=Person3!$C$9, Person3!$B$9+ROW(B41)-1, "")</f>
        <v/>
      </c>
      <c r="H43" s="1" t="str">
        <f>IF(Person3!$B$10+ROW(B41)-1&lt;=Person3!$C$10, Person3!$B$10+ROW(B41)-1, "")</f>
        <v/>
      </c>
      <c r="I43" s="1" t="str">
        <f>IF(Person3!$B$11+ROW(B41)-1&lt;=Person3!$C$11, Person3!$B$11+ROW(B41)-1, "")</f>
        <v/>
      </c>
      <c r="J43" s="1" t="str">
        <f>IF(Person3!$B$12+ROW(B41)-1&lt;=Person3!$C$12, Person3!$B$12+ROW(B41)-1, "")</f>
        <v/>
      </c>
      <c r="K43" s="1" t="str">
        <f>IF(Person3!$B$13+ROW(B41)-1&lt;=Person3!$C$13, Person3!$B$13+ROW(B41)-1, "")</f>
        <v/>
      </c>
      <c r="L43" s="1" t="str">
        <f>IF(Person3!$B$14+ROW(B41)-1&lt;=Person3!$C$14, Person3!$B$14+ROW(B41)-1, "")</f>
        <v/>
      </c>
      <c r="M43" s="1" t="str">
        <f>IF(Person3!$B$15+ROW(B41)-1&lt;=Person3!$C$15, Person3!$B$15+ROW(B41)-1, "")</f>
        <v/>
      </c>
      <c r="N43" s="1" t="str">
        <f>IF(Person3!$B$16+ROW(B41)-1&lt;=Person3!$C$16, Person3!$B$16+ROW(B41)-1, "")</f>
        <v/>
      </c>
      <c r="O43" s="1" t="str">
        <f>IF(Person3!$B$17+ROW(B41)-1&lt;=Person3!$C$17, Person3!$B$17+ROW(B41)-1, "")</f>
        <v/>
      </c>
      <c r="V43" s="1" t="str">
        <f>IF(Person3!$D$3+ROW(A41)-1&lt;=Person3!$E$3, Person3!$D$3+ROW(A41)-1, "")</f>
        <v/>
      </c>
      <c r="W43" s="1" t="str">
        <f>IF(Person3!$D$4+ROW(A41)-1&lt;=Person3!$E$4, Person3!$D$4+ROW(A41)-1, "")</f>
        <v/>
      </c>
      <c r="X43" s="1" t="str">
        <f>IF(Person3!$D$5+ROW(A41)-1&lt;=Person3!$E$5, Person3!$D$5+ROW(A41)-1, "")</f>
        <v/>
      </c>
      <c r="Y43" s="1" t="str">
        <f>IF(Person3!$D$6+ROW(A41)-1&lt;=Person3!$E$6, Person3!$D$6+ROW(A41)-1, "")</f>
        <v/>
      </c>
      <c r="Z43" s="1" t="str">
        <f>IF(Person3!$D$7+ROW(A41)-1&lt;=Person3!$E$7, Person3!$D$7+ROW(A41)-1, "")</f>
        <v/>
      </c>
      <c r="AA43" s="1" t="str">
        <f>IF(Person3!$D$8+ROW(A41)-1&lt;=Person3!$E$8, Person3!$D$8+ROW(A41)-1, "")</f>
        <v/>
      </c>
      <c r="AE43" s="1" t="str">
        <f>IF(Person3!$F$3+ROW(A41)-1&lt;=Person3!$G$3, Person3!$F$3+ROW(A41)-1, "")</f>
        <v/>
      </c>
      <c r="AF43" s="1" t="str">
        <f>IF(Person3!$F$4+ROW(A41)-1&lt;=Person3!$G$4, Person3!$F$4+ROW(A41)-1, "")</f>
        <v/>
      </c>
      <c r="AG43" s="1" t="str">
        <f>IF(Person3!$F$5+ROW(A41)-1&lt;=Person3!$G$5, Person3!$F$5+ROW(A41)-1, "")</f>
        <v/>
      </c>
      <c r="AH43" s="1" t="str">
        <f>IF(Person3!$F$6+ROW(A41)-1&lt;=Person3!$G$6, Person3!$F$6+ROW(A41)-1, "")</f>
        <v/>
      </c>
      <c r="AI43" s="1" t="str">
        <f>IF(Person3!$F$7+ROW(A41)-1&lt;=Person3!$G$7, Person3!$F$7+ROW(A41)-1, "")</f>
        <v/>
      </c>
    </row>
    <row r="44" spans="1:35" x14ac:dyDescent="0.3">
      <c r="A44" s="1" t="str">
        <f>IF(Person3!$B$3+ROW(A42)-1&lt;=Person3!$C$3, Person3!$B$3+ROW(A42)-1, "")</f>
        <v/>
      </c>
      <c r="B44" s="1" t="str">
        <f>IF(Person3!$B$4+ROW(B42)-1&lt;=Person3!$C$4, Person3!$B$4+ROW(B42)-1, "")</f>
        <v/>
      </c>
      <c r="C44" s="1" t="str">
        <f>IF(Person3!$B$5+ROW(B42)-1&lt;=Person3!$C$5, Person3!$B$5+ROW(B42)-1, "")</f>
        <v/>
      </c>
      <c r="D44" s="1" t="str">
        <f>IF(Person3!$B$6+ROW(B42)-1&lt;=Person3!$C$6, Person3!$B$6+ROW(B42)-1, "")</f>
        <v/>
      </c>
      <c r="E44" s="1" t="str">
        <f>IF(Person3!$B$7+ROW(B42)-1&lt;=Person3!$C$7, Person3!$B$7+ROW(B42)-1, "")</f>
        <v/>
      </c>
      <c r="F44" s="1" t="str">
        <f>IF(Person3!$B$8+ROW(B42)-1&lt;=Person3!$C$8, Person3!$B$8+ROW(B42)-1, "")</f>
        <v/>
      </c>
      <c r="G44" s="1" t="str">
        <f>IF(Person3!$B$9+ROW(B42)-1&lt;=Person3!$C$9, Person3!$B$9+ROW(B42)-1, "")</f>
        <v/>
      </c>
      <c r="H44" s="1" t="str">
        <f>IF(Person3!$B$10+ROW(B42)-1&lt;=Person3!$C$10, Person3!$B$10+ROW(B42)-1, "")</f>
        <v/>
      </c>
      <c r="I44" s="1" t="str">
        <f>IF(Person3!$B$11+ROW(B42)-1&lt;=Person3!$C$11, Person3!$B$11+ROW(B42)-1, "")</f>
        <v/>
      </c>
      <c r="J44" s="1" t="str">
        <f>IF(Person3!$B$12+ROW(B42)-1&lt;=Person3!$C$12, Person3!$B$12+ROW(B42)-1, "")</f>
        <v/>
      </c>
      <c r="K44" s="1" t="str">
        <f>IF(Person3!$B$13+ROW(B42)-1&lt;=Person3!$C$13, Person3!$B$13+ROW(B42)-1, "")</f>
        <v/>
      </c>
      <c r="L44" s="1" t="str">
        <f>IF(Person3!$B$14+ROW(B42)-1&lt;=Person3!$C$14, Person3!$B$14+ROW(B42)-1, "")</f>
        <v/>
      </c>
      <c r="M44" s="1" t="str">
        <f>IF(Person3!$B$15+ROW(B42)-1&lt;=Person3!$C$15, Person3!$B$15+ROW(B42)-1, "")</f>
        <v/>
      </c>
      <c r="N44" s="1" t="str">
        <f>IF(Person3!$B$16+ROW(B42)-1&lt;=Person3!$C$16, Person3!$B$16+ROW(B42)-1, "")</f>
        <v/>
      </c>
      <c r="O44" s="1" t="str">
        <f>IF(Person3!$B$17+ROW(B42)-1&lt;=Person3!$C$17, Person3!$B$17+ROW(B42)-1, "")</f>
        <v/>
      </c>
      <c r="V44" s="1" t="str">
        <f>IF(Person3!$D$3+ROW(A42)-1&lt;=Person3!$E$3, Person3!$D$3+ROW(A42)-1, "")</f>
        <v/>
      </c>
      <c r="W44" s="1" t="str">
        <f>IF(Person3!$D$4+ROW(A42)-1&lt;=Person3!$E$4, Person3!$D$4+ROW(A42)-1, "")</f>
        <v/>
      </c>
      <c r="X44" s="1" t="str">
        <f>IF(Person3!$D$5+ROW(A42)-1&lt;=Person3!$E$5, Person3!$D$5+ROW(A42)-1, "")</f>
        <v/>
      </c>
      <c r="Y44" s="1" t="str">
        <f>IF(Person3!$D$6+ROW(A42)-1&lt;=Person3!$E$6, Person3!$D$6+ROW(A42)-1, "")</f>
        <v/>
      </c>
      <c r="Z44" s="1" t="str">
        <f>IF(Person3!$D$7+ROW(A42)-1&lt;=Person3!$E$7, Person3!$D$7+ROW(A42)-1, "")</f>
        <v/>
      </c>
      <c r="AA44" s="1" t="str">
        <f>IF(Person3!$D$8+ROW(A42)-1&lt;=Person3!$E$8, Person3!$D$8+ROW(A42)-1, "")</f>
        <v/>
      </c>
      <c r="AE44" s="1" t="str">
        <f>IF(Person3!$F$3+ROW(A42)-1&lt;=Person3!$G$3, Person3!$F$3+ROW(A42)-1, "")</f>
        <v/>
      </c>
      <c r="AF44" s="1" t="str">
        <f>IF(Person3!$F$4+ROW(A42)-1&lt;=Person3!$G$4, Person3!$F$4+ROW(A42)-1, "")</f>
        <v/>
      </c>
      <c r="AG44" s="1" t="str">
        <f>IF(Person3!$F$5+ROW(A42)-1&lt;=Person3!$G$5, Person3!$F$5+ROW(A42)-1, "")</f>
        <v/>
      </c>
      <c r="AH44" s="1" t="str">
        <f>IF(Person3!$F$6+ROW(A42)-1&lt;=Person3!$G$6, Person3!$F$6+ROW(A42)-1, "")</f>
        <v/>
      </c>
      <c r="AI44" s="1" t="str">
        <f>IF(Person3!$F$7+ROW(A42)-1&lt;=Person3!$G$7, Person3!$F$7+ROW(A42)-1, "")</f>
        <v/>
      </c>
    </row>
    <row r="45" spans="1:35" x14ac:dyDescent="0.3">
      <c r="A45" s="1" t="str">
        <f>IF(Person3!$B$3+ROW(A43)-1&lt;=Person3!$C$3, Person3!$B$3+ROW(A43)-1, "")</f>
        <v/>
      </c>
      <c r="B45" s="1" t="str">
        <f>IF(Person3!$B$4+ROW(B43)-1&lt;=Person3!$C$4, Person3!$B$4+ROW(B43)-1, "")</f>
        <v/>
      </c>
      <c r="C45" s="1" t="str">
        <f>IF(Person3!$B$5+ROW(B43)-1&lt;=Person3!$C$5, Person3!$B$5+ROW(B43)-1, "")</f>
        <v/>
      </c>
      <c r="D45" s="1" t="str">
        <f>IF(Person3!$B$6+ROW(B43)-1&lt;=Person3!$C$6, Person3!$B$6+ROW(B43)-1, "")</f>
        <v/>
      </c>
      <c r="E45" s="1" t="str">
        <f>IF(Person3!$B$7+ROW(B43)-1&lt;=Person3!$C$7, Person3!$B$7+ROW(B43)-1, "")</f>
        <v/>
      </c>
      <c r="F45" s="1" t="str">
        <f>IF(Person3!$B$8+ROW(B43)-1&lt;=Person3!$C$8, Person3!$B$8+ROW(B43)-1, "")</f>
        <v/>
      </c>
      <c r="G45" s="1" t="str">
        <f>IF(Person3!$B$9+ROW(B43)-1&lt;=Person3!$C$9, Person3!$B$9+ROW(B43)-1, "")</f>
        <v/>
      </c>
      <c r="H45" s="1" t="str">
        <f>IF(Person3!$B$10+ROW(B43)-1&lt;=Person3!$C$10, Person3!$B$10+ROW(B43)-1, "")</f>
        <v/>
      </c>
      <c r="I45" s="1" t="str">
        <f>IF(Person3!$B$11+ROW(B43)-1&lt;=Person3!$C$11, Person3!$B$11+ROW(B43)-1, "")</f>
        <v/>
      </c>
      <c r="J45" s="1" t="str">
        <f>IF(Person3!$B$12+ROW(B43)-1&lt;=Person3!$C$12, Person3!$B$12+ROW(B43)-1, "")</f>
        <v/>
      </c>
      <c r="K45" s="1" t="str">
        <f>IF(Person3!$B$13+ROW(B43)-1&lt;=Person3!$C$13, Person3!$B$13+ROW(B43)-1, "")</f>
        <v/>
      </c>
      <c r="L45" s="1" t="str">
        <f>IF(Person3!$B$14+ROW(B43)-1&lt;=Person3!$C$14, Person3!$B$14+ROW(B43)-1, "")</f>
        <v/>
      </c>
      <c r="M45" s="1" t="str">
        <f>IF(Person3!$B$15+ROW(B43)-1&lt;=Person3!$C$15, Person3!$B$15+ROW(B43)-1, "")</f>
        <v/>
      </c>
      <c r="N45" s="1" t="str">
        <f>IF(Person3!$B$16+ROW(B43)-1&lt;=Person3!$C$16, Person3!$B$16+ROW(B43)-1, "")</f>
        <v/>
      </c>
      <c r="O45" s="1" t="str">
        <f>IF(Person3!$B$17+ROW(B43)-1&lt;=Person3!$C$17, Person3!$B$17+ROW(B43)-1, "")</f>
        <v/>
      </c>
      <c r="V45" s="1" t="str">
        <f>IF(Person3!$D$3+ROW(A43)-1&lt;=Person3!$E$3, Person3!$D$3+ROW(A43)-1, "")</f>
        <v/>
      </c>
      <c r="W45" s="1" t="str">
        <f>IF(Person3!$D$4+ROW(A43)-1&lt;=Person3!$E$4, Person3!$D$4+ROW(A43)-1, "")</f>
        <v/>
      </c>
      <c r="X45" s="1" t="str">
        <f>IF(Person3!$D$5+ROW(A43)-1&lt;=Person3!$E$5, Person3!$D$5+ROW(A43)-1, "")</f>
        <v/>
      </c>
      <c r="Y45" s="1" t="str">
        <f>IF(Person3!$D$6+ROW(A43)-1&lt;=Person3!$E$6, Person3!$D$6+ROW(A43)-1, "")</f>
        <v/>
      </c>
      <c r="Z45" s="1" t="str">
        <f>IF(Person3!$D$7+ROW(A43)-1&lt;=Person3!$E$7, Person3!$D$7+ROW(A43)-1, "")</f>
        <v/>
      </c>
      <c r="AA45" s="1" t="str">
        <f>IF(Person3!$D$8+ROW(A43)-1&lt;=Person3!$E$8, Person3!$D$8+ROW(A43)-1, "")</f>
        <v/>
      </c>
      <c r="AE45" s="1" t="str">
        <f>IF(Person3!$F$3+ROW(A43)-1&lt;=Person3!$G$3, Person3!$F$3+ROW(A43)-1, "")</f>
        <v/>
      </c>
      <c r="AF45" s="1" t="str">
        <f>IF(Person3!$F$4+ROW(A43)-1&lt;=Person3!$G$4, Person3!$F$4+ROW(A43)-1, "")</f>
        <v/>
      </c>
      <c r="AG45" s="1" t="str">
        <f>IF(Person3!$F$5+ROW(A43)-1&lt;=Person3!$G$5, Person3!$F$5+ROW(A43)-1, "")</f>
        <v/>
      </c>
      <c r="AH45" s="1" t="str">
        <f>IF(Person3!$F$6+ROW(A43)-1&lt;=Person3!$G$6, Person3!$F$6+ROW(A43)-1, "")</f>
        <v/>
      </c>
      <c r="AI45" s="1" t="str">
        <f>IF(Person3!$F$7+ROW(A43)-1&lt;=Person3!$G$7, Person3!$F$7+ROW(A43)-1, "")</f>
        <v/>
      </c>
    </row>
    <row r="46" spans="1:35" x14ac:dyDescent="0.3">
      <c r="A46" s="1" t="str">
        <f>IF(Person3!$B$3+ROW(A44)-1&lt;=Person3!$C$3, Person3!$B$3+ROW(A44)-1, "")</f>
        <v/>
      </c>
      <c r="B46" s="1" t="str">
        <f>IF(Person3!$B$4+ROW(B44)-1&lt;=Person3!$C$4, Person3!$B$4+ROW(B44)-1, "")</f>
        <v/>
      </c>
      <c r="C46" s="1" t="str">
        <f>IF(Person3!$B$5+ROW(B44)-1&lt;=Person3!$C$5, Person3!$B$5+ROW(B44)-1, "")</f>
        <v/>
      </c>
      <c r="D46" s="1" t="str">
        <f>IF(Person3!$B$6+ROW(B44)-1&lt;=Person3!$C$6, Person3!$B$6+ROW(B44)-1, "")</f>
        <v/>
      </c>
      <c r="E46" s="1" t="str">
        <f>IF(Person3!$B$7+ROW(B44)-1&lt;=Person3!$C$7, Person3!$B$7+ROW(B44)-1, "")</f>
        <v/>
      </c>
      <c r="F46" s="1" t="str">
        <f>IF(Person3!$B$8+ROW(B44)-1&lt;=Person3!$C$8, Person3!$B$8+ROW(B44)-1, "")</f>
        <v/>
      </c>
      <c r="G46" s="1" t="str">
        <f>IF(Person3!$B$9+ROW(B44)-1&lt;=Person3!$C$9, Person3!$B$9+ROW(B44)-1, "")</f>
        <v/>
      </c>
      <c r="H46" s="1" t="str">
        <f>IF(Person3!$B$10+ROW(B44)-1&lt;=Person3!$C$10, Person3!$B$10+ROW(B44)-1, "")</f>
        <v/>
      </c>
      <c r="I46" s="1" t="str">
        <f>IF(Person3!$B$11+ROW(B44)-1&lt;=Person3!$C$11, Person3!$B$11+ROW(B44)-1, "")</f>
        <v/>
      </c>
      <c r="J46" s="1" t="str">
        <f>IF(Person3!$B$12+ROW(B44)-1&lt;=Person3!$C$12, Person3!$B$12+ROW(B44)-1, "")</f>
        <v/>
      </c>
      <c r="K46" s="1" t="str">
        <f>IF(Person3!$B$13+ROW(B44)-1&lt;=Person3!$C$13, Person3!$B$13+ROW(B44)-1, "")</f>
        <v/>
      </c>
      <c r="L46" s="1" t="str">
        <f>IF(Person3!$B$14+ROW(B44)-1&lt;=Person3!$C$14, Person3!$B$14+ROW(B44)-1, "")</f>
        <v/>
      </c>
      <c r="M46" s="1" t="str">
        <f>IF(Person3!$B$15+ROW(B44)-1&lt;=Person3!$C$15, Person3!$B$15+ROW(B44)-1, "")</f>
        <v/>
      </c>
      <c r="N46" s="1" t="str">
        <f>IF(Person3!$B$16+ROW(B44)-1&lt;=Person3!$C$16, Person3!$B$16+ROW(B44)-1, "")</f>
        <v/>
      </c>
      <c r="O46" s="1" t="str">
        <f>IF(Person3!$B$17+ROW(B44)-1&lt;=Person3!$C$17, Person3!$B$17+ROW(B44)-1, "")</f>
        <v/>
      </c>
      <c r="V46" s="1" t="str">
        <f>IF(Person3!$D$3+ROW(A44)-1&lt;=Person3!$E$3, Person3!$D$3+ROW(A44)-1, "")</f>
        <v/>
      </c>
      <c r="W46" s="1" t="str">
        <f>IF(Person3!$D$4+ROW(A44)-1&lt;=Person3!$E$4, Person3!$D$4+ROW(A44)-1, "")</f>
        <v/>
      </c>
      <c r="X46" s="1" t="str">
        <f>IF(Person3!$D$5+ROW(A44)-1&lt;=Person3!$E$5, Person3!$D$5+ROW(A44)-1, "")</f>
        <v/>
      </c>
      <c r="Y46" s="1" t="str">
        <f>IF(Person3!$D$6+ROW(A44)-1&lt;=Person3!$E$6, Person3!$D$6+ROW(A44)-1, "")</f>
        <v/>
      </c>
      <c r="Z46" s="1" t="str">
        <f>IF(Person3!$D$7+ROW(A44)-1&lt;=Person3!$E$7, Person3!$D$7+ROW(A44)-1, "")</f>
        <v/>
      </c>
      <c r="AA46" s="1" t="str">
        <f>IF(Person3!$D$8+ROW(A44)-1&lt;=Person3!$E$8, Person3!$D$8+ROW(A44)-1, "")</f>
        <v/>
      </c>
      <c r="AE46" s="1" t="str">
        <f>IF(Person3!$F$3+ROW(A44)-1&lt;=Person3!$G$3, Person3!$F$3+ROW(A44)-1, "")</f>
        <v/>
      </c>
      <c r="AF46" s="1" t="str">
        <f>IF(Person3!$F$4+ROW(A44)-1&lt;=Person3!$G$4, Person3!$F$4+ROW(A44)-1, "")</f>
        <v/>
      </c>
      <c r="AG46" s="1" t="str">
        <f>IF(Person3!$F$5+ROW(A44)-1&lt;=Person3!$G$5, Person3!$F$5+ROW(A44)-1, "")</f>
        <v/>
      </c>
      <c r="AH46" s="1" t="str">
        <f>IF(Person3!$F$6+ROW(A44)-1&lt;=Person3!$G$6, Person3!$F$6+ROW(A44)-1, "")</f>
        <v/>
      </c>
      <c r="AI46" s="1" t="str">
        <f>IF(Person3!$F$7+ROW(A44)-1&lt;=Person3!$G$7, Person3!$F$7+ROW(A44)-1, "")</f>
        <v/>
      </c>
    </row>
    <row r="47" spans="1:35" x14ac:dyDescent="0.3">
      <c r="A47" s="1" t="str">
        <f>IF(Person3!$B$3+ROW(A45)-1&lt;=Person3!$C$3, Person3!$B$3+ROW(A45)-1, "")</f>
        <v/>
      </c>
      <c r="B47" s="1" t="str">
        <f>IF(Person3!$B$4+ROW(B45)-1&lt;=Person3!$C$4, Person3!$B$4+ROW(B45)-1, "")</f>
        <v/>
      </c>
      <c r="C47" s="1" t="str">
        <f>IF(Person3!$B$5+ROW(B45)-1&lt;=Person3!$C$5, Person3!$B$5+ROW(B45)-1, "")</f>
        <v/>
      </c>
      <c r="D47" s="1" t="str">
        <f>IF(Person3!$B$6+ROW(B45)-1&lt;=Person3!$C$6, Person3!$B$6+ROW(B45)-1, "")</f>
        <v/>
      </c>
      <c r="E47" s="1" t="str">
        <f>IF(Person3!$B$7+ROW(B45)-1&lt;=Person3!$C$7, Person3!$B$7+ROW(B45)-1, "")</f>
        <v/>
      </c>
      <c r="F47" s="1" t="str">
        <f>IF(Person3!$B$8+ROW(B45)-1&lt;=Person3!$C$8, Person3!$B$8+ROW(B45)-1, "")</f>
        <v/>
      </c>
      <c r="G47" s="1" t="str">
        <f>IF(Person3!$B$9+ROW(B45)-1&lt;=Person3!$C$9, Person3!$B$9+ROW(B45)-1, "")</f>
        <v/>
      </c>
      <c r="H47" s="1" t="str">
        <f>IF(Person3!$B$10+ROW(B45)-1&lt;=Person3!$C$10, Person3!$B$10+ROW(B45)-1, "")</f>
        <v/>
      </c>
      <c r="I47" s="1" t="str">
        <f>IF(Person3!$B$11+ROW(B45)-1&lt;=Person3!$C$11, Person3!$B$11+ROW(B45)-1, "")</f>
        <v/>
      </c>
      <c r="J47" s="1" t="str">
        <f>IF(Person3!$B$12+ROW(B45)-1&lt;=Person3!$C$12, Person3!$B$12+ROW(B45)-1, "")</f>
        <v/>
      </c>
      <c r="K47" s="1" t="str">
        <f>IF(Person3!$B$13+ROW(B45)-1&lt;=Person3!$C$13, Person3!$B$13+ROW(B45)-1, "")</f>
        <v/>
      </c>
      <c r="L47" s="1" t="str">
        <f>IF(Person3!$B$14+ROW(B45)-1&lt;=Person3!$C$14, Person3!$B$14+ROW(B45)-1, "")</f>
        <v/>
      </c>
      <c r="M47" s="1" t="str">
        <f>IF(Person3!$B$15+ROW(B45)-1&lt;=Person3!$C$15, Person3!$B$15+ROW(B45)-1, "")</f>
        <v/>
      </c>
      <c r="N47" s="1" t="str">
        <f>IF(Person3!$B$16+ROW(B45)-1&lt;=Person3!$C$16, Person3!$B$16+ROW(B45)-1, "")</f>
        <v/>
      </c>
      <c r="O47" s="1" t="str">
        <f>IF(Person3!$B$17+ROW(B45)-1&lt;=Person3!$C$17, Person3!$B$17+ROW(B45)-1, "")</f>
        <v/>
      </c>
      <c r="V47" s="1" t="str">
        <f>IF(Person3!$D$3+ROW(A45)-1&lt;=Person3!$E$3, Person3!$D$3+ROW(A45)-1, "")</f>
        <v/>
      </c>
      <c r="W47" s="1" t="str">
        <f>IF(Person3!$D$4+ROW(A45)-1&lt;=Person3!$E$4, Person3!$D$4+ROW(A45)-1, "")</f>
        <v/>
      </c>
      <c r="X47" s="1" t="str">
        <f>IF(Person3!$D$5+ROW(A45)-1&lt;=Person3!$E$5, Person3!$D$5+ROW(A45)-1, "")</f>
        <v/>
      </c>
      <c r="Y47" s="1" t="str">
        <f>IF(Person3!$D$6+ROW(A45)-1&lt;=Person3!$E$6, Person3!$D$6+ROW(A45)-1, "")</f>
        <v/>
      </c>
      <c r="Z47" s="1" t="str">
        <f>IF(Person3!$D$7+ROW(A45)-1&lt;=Person3!$E$7, Person3!$D$7+ROW(A45)-1, "")</f>
        <v/>
      </c>
      <c r="AA47" s="1" t="str">
        <f>IF(Person3!$D$8+ROW(A45)-1&lt;=Person3!$E$8, Person3!$D$8+ROW(A45)-1, "")</f>
        <v/>
      </c>
      <c r="AE47" s="1" t="str">
        <f>IF(Person3!$F$3+ROW(A45)-1&lt;=Person3!$G$3, Person3!$F$3+ROW(A45)-1, "")</f>
        <v/>
      </c>
      <c r="AF47" s="1" t="str">
        <f>IF(Person3!$F$4+ROW(A45)-1&lt;=Person3!$G$4, Person3!$F$4+ROW(A45)-1, "")</f>
        <v/>
      </c>
      <c r="AG47" s="1" t="str">
        <f>IF(Person3!$F$5+ROW(A45)-1&lt;=Person3!$G$5, Person3!$F$5+ROW(A45)-1, "")</f>
        <v/>
      </c>
      <c r="AH47" s="1" t="str">
        <f>IF(Person3!$F$6+ROW(A45)-1&lt;=Person3!$G$6, Person3!$F$6+ROW(A45)-1, "")</f>
        <v/>
      </c>
      <c r="AI47" s="1" t="str">
        <f>IF(Person3!$F$7+ROW(A45)-1&lt;=Person3!$G$7, Person3!$F$7+ROW(A45)-1, "")</f>
        <v/>
      </c>
    </row>
    <row r="48" spans="1:35" x14ac:dyDescent="0.3">
      <c r="A48" s="1" t="str">
        <f>IF(Person3!$B$3+ROW(A46)-1&lt;=Person3!$C$3, Person3!$B$3+ROW(A46)-1, "")</f>
        <v/>
      </c>
      <c r="B48" s="1" t="str">
        <f>IF(Person3!$B$4+ROW(B46)-1&lt;=Person3!$C$4, Person3!$B$4+ROW(B46)-1, "")</f>
        <v/>
      </c>
      <c r="C48" s="1" t="str">
        <f>IF(Person3!$B$5+ROW(B46)-1&lt;=Person3!$C$5, Person3!$B$5+ROW(B46)-1, "")</f>
        <v/>
      </c>
      <c r="D48" s="1" t="str">
        <f>IF(Person3!$B$6+ROW(B46)-1&lt;=Person3!$C$6, Person3!$B$6+ROW(B46)-1, "")</f>
        <v/>
      </c>
      <c r="E48" s="1" t="str">
        <f>IF(Person3!$B$7+ROW(B46)-1&lt;=Person3!$C$7, Person3!$B$7+ROW(B46)-1, "")</f>
        <v/>
      </c>
      <c r="F48" s="1" t="str">
        <f>IF(Person3!$B$8+ROW(B46)-1&lt;=Person3!$C$8, Person3!$B$8+ROW(B46)-1, "")</f>
        <v/>
      </c>
      <c r="G48" s="1" t="str">
        <f>IF(Person3!$B$9+ROW(B46)-1&lt;=Person3!$C$9, Person3!$B$9+ROW(B46)-1, "")</f>
        <v/>
      </c>
      <c r="H48" s="1" t="str">
        <f>IF(Person3!$B$10+ROW(B46)-1&lt;=Person3!$C$10, Person3!$B$10+ROW(B46)-1, "")</f>
        <v/>
      </c>
      <c r="I48" s="1" t="str">
        <f>IF(Person3!$B$11+ROW(B46)-1&lt;=Person3!$C$11, Person3!$B$11+ROW(B46)-1, "")</f>
        <v/>
      </c>
      <c r="J48" s="1" t="str">
        <f>IF(Person3!$B$12+ROW(B46)-1&lt;=Person3!$C$12, Person3!$B$12+ROW(B46)-1, "")</f>
        <v/>
      </c>
      <c r="K48" s="1" t="str">
        <f>IF(Person3!$B$13+ROW(B46)-1&lt;=Person3!$C$13, Person3!$B$13+ROW(B46)-1, "")</f>
        <v/>
      </c>
      <c r="L48" s="1" t="str">
        <f>IF(Person3!$B$14+ROW(B46)-1&lt;=Person3!$C$14, Person3!$B$14+ROW(B46)-1, "")</f>
        <v/>
      </c>
      <c r="M48" s="1" t="str">
        <f>IF(Person3!$B$15+ROW(B46)-1&lt;=Person3!$C$15, Person3!$B$15+ROW(B46)-1, "")</f>
        <v/>
      </c>
      <c r="N48" s="1" t="str">
        <f>IF(Person3!$B$16+ROW(B46)-1&lt;=Person3!$C$16, Person3!$B$16+ROW(B46)-1, "")</f>
        <v/>
      </c>
      <c r="O48" s="1" t="str">
        <f>IF(Person3!$B$17+ROW(B46)-1&lt;=Person3!$C$17, Person3!$B$17+ROW(B46)-1, "")</f>
        <v/>
      </c>
      <c r="V48" s="1" t="str">
        <f>IF(Person3!$D$3+ROW(A46)-1&lt;=Person3!$E$3, Person3!$D$3+ROW(A46)-1, "")</f>
        <v/>
      </c>
      <c r="W48" s="1" t="str">
        <f>IF(Person3!$D$4+ROW(A46)-1&lt;=Person3!$E$4, Person3!$D$4+ROW(A46)-1, "")</f>
        <v/>
      </c>
      <c r="X48" s="1" t="str">
        <f>IF(Person3!$D$5+ROW(A46)-1&lt;=Person3!$E$5, Person3!$D$5+ROW(A46)-1, "")</f>
        <v/>
      </c>
      <c r="Y48" s="1" t="str">
        <f>IF(Person3!$D$6+ROW(A46)-1&lt;=Person3!$E$6, Person3!$D$6+ROW(A46)-1, "")</f>
        <v/>
      </c>
      <c r="Z48" s="1" t="str">
        <f>IF(Person3!$D$7+ROW(A46)-1&lt;=Person3!$E$7, Person3!$D$7+ROW(A46)-1, "")</f>
        <v/>
      </c>
      <c r="AA48" s="1" t="str">
        <f>IF(Person3!$D$8+ROW(A46)-1&lt;=Person3!$E$8, Person3!$D$8+ROW(A46)-1, "")</f>
        <v/>
      </c>
      <c r="AE48" s="1" t="str">
        <f>IF(Person3!$F$3+ROW(A46)-1&lt;=Person3!$G$3, Person3!$F$3+ROW(A46)-1, "")</f>
        <v/>
      </c>
      <c r="AF48" s="1" t="str">
        <f>IF(Person3!$F$4+ROW(A46)-1&lt;=Person3!$G$4, Person3!$F$4+ROW(A46)-1, "")</f>
        <v/>
      </c>
      <c r="AG48" s="1" t="str">
        <f>IF(Person3!$F$5+ROW(A46)-1&lt;=Person3!$G$5, Person3!$F$5+ROW(A46)-1, "")</f>
        <v/>
      </c>
      <c r="AH48" s="1" t="str">
        <f>IF(Person3!$F$6+ROW(A46)-1&lt;=Person3!$G$6, Person3!$F$6+ROW(A46)-1, "")</f>
        <v/>
      </c>
      <c r="AI48" s="1" t="str">
        <f>IF(Person3!$F$7+ROW(A46)-1&lt;=Person3!$G$7, Person3!$F$7+ROW(A46)-1, "")</f>
        <v/>
      </c>
    </row>
    <row r="49" spans="1:35" x14ac:dyDescent="0.3">
      <c r="A49" s="1" t="str">
        <f>IF(Person3!$B$3+ROW(A47)-1&lt;=Person3!$C$3, Person3!$B$3+ROW(A47)-1, "")</f>
        <v/>
      </c>
      <c r="B49" s="1" t="str">
        <f>IF(Person3!$B$4+ROW(B47)-1&lt;=Person3!$C$4, Person3!$B$4+ROW(B47)-1, "")</f>
        <v/>
      </c>
      <c r="C49" s="1" t="str">
        <f>IF(Person3!$B$5+ROW(B47)-1&lt;=Person3!$C$5, Person3!$B$5+ROW(B47)-1, "")</f>
        <v/>
      </c>
      <c r="D49" s="1" t="str">
        <f>IF(Person3!$B$6+ROW(B47)-1&lt;=Person3!$C$6, Person3!$B$6+ROW(B47)-1, "")</f>
        <v/>
      </c>
      <c r="E49" s="1" t="str">
        <f>IF(Person3!$B$7+ROW(B47)-1&lt;=Person3!$C$7, Person3!$B$7+ROW(B47)-1, "")</f>
        <v/>
      </c>
      <c r="F49" s="1" t="str">
        <f>IF(Person3!$B$8+ROW(B47)-1&lt;=Person3!$C$8, Person3!$B$8+ROW(B47)-1, "")</f>
        <v/>
      </c>
      <c r="G49" s="1" t="str">
        <f>IF(Person3!$B$9+ROW(B47)-1&lt;=Person3!$C$9, Person3!$B$9+ROW(B47)-1, "")</f>
        <v/>
      </c>
      <c r="H49" s="1" t="str">
        <f>IF(Person3!$B$10+ROW(B47)-1&lt;=Person3!$C$10, Person3!$B$10+ROW(B47)-1, "")</f>
        <v/>
      </c>
      <c r="I49" s="1" t="str">
        <f>IF(Person3!$B$11+ROW(B47)-1&lt;=Person3!$C$11, Person3!$B$11+ROW(B47)-1, "")</f>
        <v/>
      </c>
      <c r="J49" s="1" t="str">
        <f>IF(Person3!$B$12+ROW(B47)-1&lt;=Person3!$C$12, Person3!$B$12+ROW(B47)-1, "")</f>
        <v/>
      </c>
      <c r="K49" s="1" t="str">
        <f>IF(Person3!$B$13+ROW(B47)-1&lt;=Person3!$C$13, Person3!$B$13+ROW(B47)-1, "")</f>
        <v/>
      </c>
      <c r="L49" s="1" t="str">
        <f>IF(Person3!$B$14+ROW(B47)-1&lt;=Person3!$C$14, Person3!$B$14+ROW(B47)-1, "")</f>
        <v/>
      </c>
      <c r="M49" s="1" t="str">
        <f>IF(Person3!$B$15+ROW(B47)-1&lt;=Person3!$C$15, Person3!$B$15+ROW(B47)-1, "")</f>
        <v/>
      </c>
      <c r="N49" s="1" t="str">
        <f>IF(Person3!$B$16+ROW(B47)-1&lt;=Person3!$C$16, Person3!$B$16+ROW(B47)-1, "")</f>
        <v/>
      </c>
      <c r="O49" s="1" t="str">
        <f>IF(Person3!$B$17+ROW(B47)-1&lt;=Person3!$C$17, Person3!$B$17+ROW(B47)-1, "")</f>
        <v/>
      </c>
      <c r="V49" s="1" t="str">
        <f>IF(Person3!$D$3+ROW(A47)-1&lt;=Person3!$E$3, Person3!$D$3+ROW(A47)-1, "")</f>
        <v/>
      </c>
      <c r="W49" s="1" t="str">
        <f>IF(Person3!$D$4+ROW(A47)-1&lt;=Person3!$E$4, Person3!$D$4+ROW(A47)-1, "")</f>
        <v/>
      </c>
      <c r="X49" s="1" t="str">
        <f>IF(Person3!$D$5+ROW(A47)-1&lt;=Person3!$E$5, Person3!$D$5+ROW(A47)-1, "")</f>
        <v/>
      </c>
      <c r="Y49" s="1" t="str">
        <f>IF(Person3!$D$6+ROW(A47)-1&lt;=Person3!$E$6, Person3!$D$6+ROW(A47)-1, "")</f>
        <v/>
      </c>
      <c r="Z49" s="1" t="str">
        <f>IF(Person3!$D$7+ROW(A47)-1&lt;=Person3!$E$7, Person3!$D$7+ROW(A47)-1, "")</f>
        <v/>
      </c>
      <c r="AA49" s="1" t="str">
        <f>IF(Person3!$D$8+ROW(A47)-1&lt;=Person3!$E$8, Person3!$D$8+ROW(A47)-1, "")</f>
        <v/>
      </c>
      <c r="AE49" s="1" t="str">
        <f>IF(Person3!$F$3+ROW(A47)-1&lt;=Person3!$G$3, Person3!$F$3+ROW(A47)-1, "")</f>
        <v/>
      </c>
      <c r="AF49" s="1" t="str">
        <f>IF(Person3!$F$4+ROW(A47)-1&lt;=Person3!$G$4, Person3!$F$4+ROW(A47)-1, "")</f>
        <v/>
      </c>
      <c r="AG49" s="1" t="str">
        <f>IF(Person3!$F$5+ROW(A47)-1&lt;=Person3!$G$5, Person3!$F$5+ROW(A47)-1, "")</f>
        <v/>
      </c>
      <c r="AH49" s="1" t="str">
        <f>IF(Person3!$F$6+ROW(A47)-1&lt;=Person3!$G$6, Person3!$F$6+ROW(A47)-1, "")</f>
        <v/>
      </c>
      <c r="AI49" s="1" t="str">
        <f>IF(Person3!$F$7+ROW(A47)-1&lt;=Person3!$G$7, Person3!$F$7+ROW(A47)-1, "")</f>
        <v/>
      </c>
    </row>
    <row r="50" spans="1:35" x14ac:dyDescent="0.3">
      <c r="A50" s="1" t="str">
        <f>IF(Person3!$B$3+ROW(A48)-1&lt;=Person3!$C$3, Person3!$B$3+ROW(A48)-1, "")</f>
        <v/>
      </c>
      <c r="B50" s="1" t="str">
        <f>IF(Person3!$B$4+ROW(B48)-1&lt;=Person3!$C$4, Person3!$B$4+ROW(B48)-1, "")</f>
        <v/>
      </c>
      <c r="C50" s="1" t="str">
        <f>IF(Person3!$B$5+ROW(B48)-1&lt;=Person3!$C$5, Person3!$B$5+ROW(B48)-1, "")</f>
        <v/>
      </c>
      <c r="D50" s="1" t="str">
        <f>IF(Person3!$B$6+ROW(B48)-1&lt;=Person3!$C$6, Person3!$B$6+ROW(B48)-1, "")</f>
        <v/>
      </c>
      <c r="E50" s="1" t="str">
        <f>IF(Person3!$B$7+ROW(B48)-1&lt;=Person3!$C$7, Person3!$B$7+ROW(B48)-1, "")</f>
        <v/>
      </c>
      <c r="F50" s="1" t="str">
        <f>IF(Person3!$B$8+ROW(B48)-1&lt;=Person3!$C$8, Person3!$B$8+ROW(B48)-1, "")</f>
        <v/>
      </c>
      <c r="G50" s="1" t="str">
        <f>IF(Person3!$B$9+ROW(B48)-1&lt;=Person3!$C$9, Person3!$B$9+ROW(B48)-1, "")</f>
        <v/>
      </c>
      <c r="H50" s="1" t="str">
        <f>IF(Person3!$B$10+ROW(B48)-1&lt;=Person3!$C$10, Person3!$B$10+ROW(B48)-1, "")</f>
        <v/>
      </c>
      <c r="I50" s="1" t="str">
        <f>IF(Person3!$B$11+ROW(B48)-1&lt;=Person3!$C$11, Person3!$B$11+ROW(B48)-1, "")</f>
        <v/>
      </c>
      <c r="J50" s="1" t="str">
        <f>IF(Person3!$B$12+ROW(B48)-1&lt;=Person3!$C$12, Person3!$B$12+ROW(B48)-1, "")</f>
        <v/>
      </c>
      <c r="K50" s="1" t="str">
        <f>IF(Person3!$B$13+ROW(B48)-1&lt;=Person3!$C$13, Person3!$B$13+ROW(B48)-1, "")</f>
        <v/>
      </c>
      <c r="L50" s="1" t="str">
        <f>IF(Person3!$B$14+ROW(B48)-1&lt;=Person3!$C$14, Person3!$B$14+ROW(B48)-1, "")</f>
        <v/>
      </c>
      <c r="M50" s="1" t="str">
        <f>IF(Person3!$B$15+ROW(B48)-1&lt;=Person3!$C$15, Person3!$B$15+ROW(B48)-1, "")</f>
        <v/>
      </c>
      <c r="N50" s="1" t="str">
        <f>IF(Person3!$B$16+ROW(B48)-1&lt;=Person3!$C$16, Person3!$B$16+ROW(B48)-1, "")</f>
        <v/>
      </c>
      <c r="O50" s="1" t="str">
        <f>IF(Person3!$B$17+ROW(B48)-1&lt;=Person3!$C$17, Person3!$B$17+ROW(B48)-1, "")</f>
        <v/>
      </c>
      <c r="V50" s="1" t="str">
        <f>IF(Person3!$D$3+ROW(A48)-1&lt;=Person3!$E$3, Person3!$D$3+ROW(A48)-1, "")</f>
        <v/>
      </c>
      <c r="W50" s="1" t="str">
        <f>IF(Person3!$D$4+ROW(A48)-1&lt;=Person3!$E$4, Person3!$D$4+ROW(A48)-1, "")</f>
        <v/>
      </c>
      <c r="X50" s="1" t="str">
        <f>IF(Person3!$D$5+ROW(A48)-1&lt;=Person3!$E$5, Person3!$D$5+ROW(A48)-1, "")</f>
        <v/>
      </c>
      <c r="Y50" s="1" t="str">
        <f>IF(Person3!$D$6+ROW(A48)-1&lt;=Person3!$E$6, Person3!$D$6+ROW(A48)-1, "")</f>
        <v/>
      </c>
      <c r="Z50" s="1" t="str">
        <f>IF(Person3!$D$7+ROW(A48)-1&lt;=Person3!$E$7, Person3!$D$7+ROW(A48)-1, "")</f>
        <v/>
      </c>
      <c r="AA50" s="1" t="str">
        <f>IF(Person3!$D$8+ROW(A48)-1&lt;=Person3!$E$8, Person3!$D$8+ROW(A48)-1, "")</f>
        <v/>
      </c>
      <c r="AE50" s="1" t="str">
        <f>IF(Person3!$F$3+ROW(A48)-1&lt;=Person3!$G$3, Person3!$F$3+ROW(A48)-1, "")</f>
        <v/>
      </c>
      <c r="AF50" s="1" t="str">
        <f>IF(Person3!$F$4+ROW(A48)-1&lt;=Person3!$G$4, Person3!$F$4+ROW(A48)-1, "")</f>
        <v/>
      </c>
      <c r="AG50" s="1" t="str">
        <f>IF(Person3!$F$5+ROW(A48)-1&lt;=Person3!$G$5, Person3!$F$5+ROW(A48)-1, "")</f>
        <v/>
      </c>
      <c r="AH50" s="1" t="str">
        <f>IF(Person3!$F$6+ROW(A48)-1&lt;=Person3!$G$6, Person3!$F$6+ROW(A48)-1, "")</f>
        <v/>
      </c>
      <c r="AI50" s="1" t="str">
        <f>IF(Person3!$F$7+ROW(A48)-1&lt;=Person3!$G$7, Person3!$F$7+ROW(A48)-1, "")</f>
        <v/>
      </c>
    </row>
    <row r="51" spans="1:35" x14ac:dyDescent="0.3">
      <c r="A51" s="1" t="str">
        <f>IF(Person3!$B$3+ROW(A49)-1&lt;=Person3!$C$3, Person3!$B$3+ROW(A49)-1, "")</f>
        <v/>
      </c>
      <c r="B51" s="1" t="str">
        <f>IF(Person3!$B$4+ROW(B49)-1&lt;=Person3!$C$4, Person3!$B$4+ROW(B49)-1, "")</f>
        <v/>
      </c>
      <c r="C51" s="1" t="str">
        <f>IF(Person3!$B$5+ROW(B49)-1&lt;=Person3!$C$5, Person3!$B$5+ROW(B49)-1, "")</f>
        <v/>
      </c>
      <c r="D51" s="1" t="str">
        <f>IF(Person3!$B$6+ROW(B49)-1&lt;=Person3!$C$6, Person3!$B$6+ROW(B49)-1, "")</f>
        <v/>
      </c>
      <c r="E51" s="1" t="str">
        <f>IF(Person3!$B$7+ROW(B49)-1&lt;=Person3!$C$7, Person3!$B$7+ROW(B49)-1, "")</f>
        <v/>
      </c>
      <c r="F51" s="1" t="str">
        <f>IF(Person3!$B$8+ROW(B49)-1&lt;=Person3!$C$8, Person3!$B$8+ROW(B49)-1, "")</f>
        <v/>
      </c>
      <c r="G51" s="1" t="str">
        <f>IF(Person3!$B$9+ROW(B49)-1&lt;=Person3!$C$9, Person3!$B$9+ROW(B49)-1, "")</f>
        <v/>
      </c>
      <c r="H51" s="1" t="str">
        <f>IF(Person3!$B$10+ROW(B49)-1&lt;=Person3!$C$10, Person3!$B$10+ROW(B49)-1, "")</f>
        <v/>
      </c>
      <c r="I51" s="1" t="str">
        <f>IF(Person3!$B$11+ROW(B49)-1&lt;=Person3!$C$11, Person3!$B$11+ROW(B49)-1, "")</f>
        <v/>
      </c>
      <c r="J51" s="1" t="str">
        <f>IF(Person3!$B$12+ROW(B49)-1&lt;=Person3!$C$12, Person3!$B$12+ROW(B49)-1, "")</f>
        <v/>
      </c>
      <c r="K51" s="1" t="str">
        <f>IF(Person3!$B$13+ROW(B49)-1&lt;=Person3!$C$13, Person3!$B$13+ROW(B49)-1, "")</f>
        <v/>
      </c>
      <c r="L51" s="1" t="str">
        <f>IF(Person3!$B$14+ROW(B49)-1&lt;=Person3!$C$14, Person3!$B$14+ROW(B49)-1, "")</f>
        <v/>
      </c>
      <c r="M51" s="1" t="str">
        <f>IF(Person3!$B$15+ROW(B49)-1&lt;=Person3!$C$15, Person3!$B$15+ROW(B49)-1, "")</f>
        <v/>
      </c>
      <c r="N51" s="1" t="str">
        <f>IF(Person3!$B$16+ROW(B49)-1&lt;=Person3!$C$16, Person3!$B$16+ROW(B49)-1, "")</f>
        <v/>
      </c>
      <c r="O51" s="1" t="str">
        <f>IF(Person3!$B$17+ROW(B49)-1&lt;=Person3!$C$17, Person3!$B$17+ROW(B49)-1, "")</f>
        <v/>
      </c>
      <c r="V51" s="1" t="str">
        <f>IF(Person3!$D$3+ROW(A49)-1&lt;=Person3!$E$3, Person3!$D$3+ROW(A49)-1, "")</f>
        <v/>
      </c>
      <c r="W51" s="1" t="str">
        <f>IF(Person3!$D$4+ROW(A49)-1&lt;=Person3!$E$4, Person3!$D$4+ROW(A49)-1, "")</f>
        <v/>
      </c>
      <c r="X51" s="1" t="str">
        <f>IF(Person3!$D$5+ROW(A49)-1&lt;=Person3!$E$5, Person3!$D$5+ROW(A49)-1, "")</f>
        <v/>
      </c>
      <c r="Y51" s="1" t="str">
        <f>IF(Person3!$D$6+ROW(A49)-1&lt;=Person3!$E$6, Person3!$D$6+ROW(A49)-1, "")</f>
        <v/>
      </c>
      <c r="Z51" s="1" t="str">
        <f>IF(Person3!$D$7+ROW(A49)-1&lt;=Person3!$E$7, Person3!$D$7+ROW(A49)-1, "")</f>
        <v/>
      </c>
      <c r="AA51" s="1" t="str">
        <f>IF(Person3!$D$8+ROW(A49)-1&lt;=Person3!$E$8, Person3!$D$8+ROW(A49)-1, "")</f>
        <v/>
      </c>
      <c r="AE51" s="1" t="str">
        <f>IF(Person3!$F$3+ROW(A49)-1&lt;=Person3!$G$3, Person3!$F$3+ROW(A49)-1, "")</f>
        <v/>
      </c>
      <c r="AF51" s="1" t="str">
        <f>IF(Person3!$F$4+ROW(A49)-1&lt;=Person3!$G$4, Person3!$F$4+ROW(A49)-1, "")</f>
        <v/>
      </c>
      <c r="AG51" s="1" t="str">
        <f>IF(Person3!$F$5+ROW(A49)-1&lt;=Person3!$G$5, Person3!$F$5+ROW(A49)-1, "")</f>
        <v/>
      </c>
      <c r="AH51" s="1" t="str">
        <f>IF(Person3!$F$6+ROW(A49)-1&lt;=Person3!$G$6, Person3!$F$6+ROW(A49)-1, "")</f>
        <v/>
      </c>
      <c r="AI51" s="1" t="str">
        <f>IF(Person3!$F$7+ROW(A49)-1&lt;=Person3!$G$7, Person3!$F$7+ROW(A49)-1, "")</f>
        <v/>
      </c>
    </row>
    <row r="52" spans="1:35" x14ac:dyDescent="0.3">
      <c r="A52" s="1" t="str">
        <f>IF(Person3!$B$3+ROW(A50)-1&lt;=Person3!$C$3, Person3!$B$3+ROW(A50)-1, "")</f>
        <v/>
      </c>
      <c r="B52" s="1" t="str">
        <f>IF(Person3!$B$4+ROW(B50)-1&lt;=Person3!$C$4, Person3!$B$4+ROW(B50)-1, "")</f>
        <v/>
      </c>
      <c r="C52" s="1" t="str">
        <f>IF(Person3!$B$5+ROW(B50)-1&lt;=Person3!$C$5, Person3!$B$5+ROW(B50)-1, "")</f>
        <v/>
      </c>
      <c r="D52" s="1" t="str">
        <f>IF(Person3!$B$6+ROW(B50)-1&lt;=Person3!$C$6, Person3!$B$6+ROW(B50)-1, "")</f>
        <v/>
      </c>
      <c r="E52" s="1" t="str">
        <f>IF(Person3!$B$7+ROW(B50)-1&lt;=Person3!$C$7, Person3!$B$7+ROW(B50)-1, "")</f>
        <v/>
      </c>
      <c r="F52" s="1" t="str">
        <f>IF(Person3!$B$8+ROW(B50)-1&lt;=Person3!$C$8, Person3!$B$8+ROW(B50)-1, "")</f>
        <v/>
      </c>
      <c r="G52" s="1" t="str">
        <f>IF(Person3!$B$9+ROW(B50)-1&lt;=Person3!$C$9, Person3!$B$9+ROW(B50)-1, "")</f>
        <v/>
      </c>
      <c r="H52" s="1" t="str">
        <f>IF(Person3!$B$10+ROW(B50)-1&lt;=Person3!$C$10, Person3!$B$10+ROW(B50)-1, "")</f>
        <v/>
      </c>
      <c r="I52" s="1" t="str">
        <f>IF(Person3!$B$11+ROW(B50)-1&lt;=Person3!$C$11, Person3!$B$11+ROW(B50)-1, "")</f>
        <v/>
      </c>
      <c r="J52" s="1" t="str">
        <f>IF(Person3!$B$12+ROW(B50)-1&lt;=Person3!$C$12, Person3!$B$12+ROW(B50)-1, "")</f>
        <v/>
      </c>
      <c r="K52" s="1" t="str">
        <f>IF(Person3!$B$13+ROW(B50)-1&lt;=Person3!$C$13, Person3!$B$13+ROW(B50)-1, "")</f>
        <v/>
      </c>
      <c r="L52" s="1" t="str">
        <f>IF(Person3!$B$14+ROW(B50)-1&lt;=Person3!$C$14, Person3!$B$14+ROW(B50)-1, "")</f>
        <v/>
      </c>
      <c r="M52" s="1" t="str">
        <f>IF(Person3!$B$15+ROW(B50)-1&lt;=Person3!$C$15, Person3!$B$15+ROW(B50)-1, "")</f>
        <v/>
      </c>
      <c r="N52" s="1" t="str">
        <f>IF(Person3!$B$16+ROW(B50)-1&lt;=Person3!$C$16, Person3!$B$16+ROW(B50)-1, "")</f>
        <v/>
      </c>
      <c r="O52" s="1" t="str">
        <f>IF(Person3!$B$17+ROW(B50)-1&lt;=Person3!$C$17, Person3!$B$17+ROW(B50)-1, "")</f>
        <v/>
      </c>
      <c r="V52" s="1" t="str">
        <f>IF(Person3!$D$3+ROW(A50)-1&lt;=Person3!$E$3, Person3!$D$3+ROW(A50)-1, "")</f>
        <v/>
      </c>
      <c r="W52" s="1" t="str">
        <f>IF(Person3!$D$4+ROW(A50)-1&lt;=Person3!$E$4, Person3!$D$4+ROW(A50)-1, "")</f>
        <v/>
      </c>
      <c r="X52" s="1" t="str">
        <f>IF(Person3!$D$5+ROW(A50)-1&lt;=Person3!$E$5, Person3!$D$5+ROW(A50)-1, "")</f>
        <v/>
      </c>
      <c r="Y52" s="1" t="str">
        <f>IF(Person3!$D$6+ROW(A50)-1&lt;=Person3!$E$6, Person3!$D$6+ROW(A50)-1, "")</f>
        <v/>
      </c>
      <c r="Z52" s="1" t="str">
        <f>IF(Person3!$D$7+ROW(A50)-1&lt;=Person3!$E$7, Person3!$D$7+ROW(A50)-1, "")</f>
        <v/>
      </c>
      <c r="AA52" s="1" t="str">
        <f>IF(Person3!$D$8+ROW(A50)-1&lt;=Person3!$E$8, Person3!$D$8+ROW(A50)-1, "")</f>
        <v/>
      </c>
      <c r="AE52" s="1" t="str">
        <f>IF(Person3!$F$3+ROW(A50)-1&lt;=Person3!$G$3, Person3!$F$3+ROW(A50)-1, "")</f>
        <v/>
      </c>
      <c r="AF52" s="1" t="str">
        <f>IF(Person3!$F$4+ROW(A50)-1&lt;=Person3!$G$4, Person3!$F$4+ROW(A50)-1, "")</f>
        <v/>
      </c>
      <c r="AG52" s="1" t="str">
        <f>IF(Person3!$F$5+ROW(A50)-1&lt;=Person3!$G$5, Person3!$F$5+ROW(A50)-1, "")</f>
        <v/>
      </c>
      <c r="AH52" s="1" t="str">
        <f>IF(Person3!$F$6+ROW(A50)-1&lt;=Person3!$G$6, Person3!$F$6+ROW(A50)-1, "")</f>
        <v/>
      </c>
      <c r="AI52" s="1" t="str">
        <f>IF(Person3!$F$7+ROW(A50)-1&lt;=Person3!$G$7, Person3!$F$7+ROW(A50)-1, "")</f>
        <v/>
      </c>
    </row>
    <row r="53" spans="1:35" x14ac:dyDescent="0.3">
      <c r="A53" s="1" t="str">
        <f>IF(Person3!$B$3+ROW(A51)-1&lt;=Person3!$C$3, Person3!$B$3+ROW(A51)-1, "")</f>
        <v/>
      </c>
      <c r="B53" s="1" t="str">
        <f>IF(Person3!$B$4+ROW(B51)-1&lt;=Person3!$C$4, Person3!$B$4+ROW(B51)-1, "")</f>
        <v/>
      </c>
      <c r="C53" s="1" t="str">
        <f>IF(Person3!$B$5+ROW(B51)-1&lt;=Person3!$C$5, Person3!$B$5+ROW(B51)-1, "")</f>
        <v/>
      </c>
      <c r="D53" s="1" t="str">
        <f>IF(Person3!$B$6+ROW(B51)-1&lt;=Person3!$C$6, Person3!$B$6+ROW(B51)-1, "")</f>
        <v/>
      </c>
      <c r="E53" s="1" t="str">
        <f>IF(Person3!$B$7+ROW(B51)-1&lt;=Person3!$C$7, Person3!$B$7+ROW(B51)-1, "")</f>
        <v/>
      </c>
      <c r="F53" s="1" t="str">
        <f>IF(Person3!$B$8+ROW(B51)-1&lt;=Person3!$C$8, Person3!$B$8+ROW(B51)-1, "")</f>
        <v/>
      </c>
      <c r="G53" s="1" t="str">
        <f>IF(Person3!$B$9+ROW(B51)-1&lt;=Person3!$C$9, Person3!$B$9+ROW(B51)-1, "")</f>
        <v/>
      </c>
      <c r="H53" s="1" t="str">
        <f>IF(Person3!$B$10+ROW(B51)-1&lt;=Person3!$C$10, Person3!$B$10+ROW(B51)-1, "")</f>
        <v/>
      </c>
      <c r="I53" s="1" t="str">
        <f>IF(Person3!$B$11+ROW(B51)-1&lt;=Person3!$C$11, Person3!$B$11+ROW(B51)-1, "")</f>
        <v/>
      </c>
      <c r="J53" s="1" t="str">
        <f>IF(Person3!$B$12+ROW(B51)-1&lt;=Person3!$C$12, Person3!$B$12+ROW(B51)-1, "")</f>
        <v/>
      </c>
      <c r="K53" s="1" t="str">
        <f>IF(Person3!$B$13+ROW(B51)-1&lt;=Person3!$C$13, Person3!$B$13+ROW(B51)-1, "")</f>
        <v/>
      </c>
      <c r="L53" s="1" t="str">
        <f>IF(Person3!$B$14+ROW(B51)-1&lt;=Person3!$C$14, Person3!$B$14+ROW(B51)-1, "")</f>
        <v/>
      </c>
      <c r="M53" s="1" t="str">
        <f>IF(Person3!$B$15+ROW(B51)-1&lt;=Person3!$C$15, Person3!$B$15+ROW(B51)-1, "")</f>
        <v/>
      </c>
      <c r="N53" s="1" t="str">
        <f>IF(Person3!$B$16+ROW(B51)-1&lt;=Person3!$C$16, Person3!$B$16+ROW(B51)-1, "")</f>
        <v/>
      </c>
      <c r="O53" s="1" t="str">
        <f>IF(Person3!$B$17+ROW(B51)-1&lt;=Person3!$C$17, Person3!$B$17+ROW(B51)-1, "")</f>
        <v/>
      </c>
      <c r="V53" s="1" t="str">
        <f>IF(Person3!$D$3+ROW(A51)-1&lt;=Person3!$E$3, Person3!$D$3+ROW(A51)-1, "")</f>
        <v/>
      </c>
      <c r="W53" s="1" t="str">
        <f>IF(Person3!$D$4+ROW(A51)-1&lt;=Person3!$E$4, Person3!$D$4+ROW(A51)-1, "")</f>
        <v/>
      </c>
      <c r="X53" s="1" t="str">
        <f>IF(Person3!$D$5+ROW(A51)-1&lt;=Person3!$E$5, Person3!$D$5+ROW(A51)-1, "")</f>
        <v/>
      </c>
      <c r="Y53" s="1" t="str">
        <f>IF(Person3!$D$6+ROW(A51)-1&lt;=Person3!$E$6, Person3!$D$6+ROW(A51)-1, "")</f>
        <v/>
      </c>
      <c r="Z53" s="1" t="str">
        <f>IF(Person3!$D$7+ROW(A51)-1&lt;=Person3!$E$7, Person3!$D$7+ROW(A51)-1, "")</f>
        <v/>
      </c>
      <c r="AA53" s="1" t="str">
        <f>IF(Person3!$D$8+ROW(A51)-1&lt;=Person3!$E$8, Person3!$D$8+ROW(A51)-1, "")</f>
        <v/>
      </c>
      <c r="AE53" s="1" t="str">
        <f>IF(Person3!$F$3+ROW(A51)-1&lt;=Person3!$G$3, Person3!$F$3+ROW(A51)-1, "")</f>
        <v/>
      </c>
      <c r="AF53" s="1" t="str">
        <f>IF(Person3!$F$4+ROW(A51)-1&lt;=Person3!$G$4, Person3!$F$4+ROW(A51)-1, "")</f>
        <v/>
      </c>
      <c r="AG53" s="1" t="str">
        <f>IF(Person3!$F$5+ROW(A51)-1&lt;=Person3!$G$5, Person3!$F$5+ROW(A51)-1, "")</f>
        <v/>
      </c>
      <c r="AH53" s="1" t="str">
        <f>IF(Person3!$F$6+ROW(A51)-1&lt;=Person3!$G$6, Person3!$F$6+ROW(A51)-1, "")</f>
        <v/>
      </c>
      <c r="AI53" s="1" t="str">
        <f>IF(Person3!$F$7+ROW(A51)-1&lt;=Person3!$G$7, Person3!$F$7+ROW(A51)-1, "")</f>
        <v/>
      </c>
    </row>
    <row r="54" spans="1:35" x14ac:dyDescent="0.3">
      <c r="A54" s="1" t="str">
        <f>IF(Person3!$B$3+ROW(A52)-1&lt;=Person3!$C$3, Person3!$B$3+ROW(A52)-1, "")</f>
        <v/>
      </c>
      <c r="B54" s="1" t="str">
        <f>IF(Person3!$B$4+ROW(B52)-1&lt;=Person3!$C$4, Person3!$B$4+ROW(B52)-1, "")</f>
        <v/>
      </c>
      <c r="C54" s="1" t="str">
        <f>IF(Person3!$B$5+ROW(B52)-1&lt;=Person3!$C$5, Person3!$B$5+ROW(B52)-1, "")</f>
        <v/>
      </c>
      <c r="D54" s="1" t="str">
        <f>IF(Person3!$B$6+ROW(B52)-1&lt;=Person3!$C$6, Person3!$B$6+ROW(B52)-1, "")</f>
        <v/>
      </c>
      <c r="E54" s="1" t="str">
        <f>IF(Person3!$B$7+ROW(B52)-1&lt;=Person3!$C$7, Person3!$B$7+ROW(B52)-1, "")</f>
        <v/>
      </c>
      <c r="F54" s="1" t="str">
        <f>IF(Person3!$B$8+ROW(B52)-1&lt;=Person3!$C$8, Person3!$B$8+ROW(B52)-1, "")</f>
        <v/>
      </c>
      <c r="G54" s="1" t="str">
        <f>IF(Person3!$B$9+ROW(B52)-1&lt;=Person3!$C$9, Person3!$B$9+ROW(B52)-1, "")</f>
        <v/>
      </c>
      <c r="H54" s="1" t="str">
        <f>IF(Person3!$B$10+ROW(B52)-1&lt;=Person3!$C$10, Person3!$B$10+ROW(B52)-1, "")</f>
        <v/>
      </c>
      <c r="I54" s="1" t="str">
        <f>IF(Person3!$B$11+ROW(B52)-1&lt;=Person3!$C$11, Person3!$B$11+ROW(B52)-1, "")</f>
        <v/>
      </c>
      <c r="J54" s="1" t="str">
        <f>IF(Person3!$B$12+ROW(B52)-1&lt;=Person3!$C$12, Person3!$B$12+ROW(B52)-1, "")</f>
        <v/>
      </c>
      <c r="K54" s="1" t="str">
        <f>IF(Person3!$B$13+ROW(B52)-1&lt;=Person3!$C$13, Person3!$B$13+ROW(B52)-1, "")</f>
        <v/>
      </c>
      <c r="L54" s="1" t="str">
        <f>IF(Person3!$B$14+ROW(B52)-1&lt;=Person3!$C$14, Person3!$B$14+ROW(B52)-1, "")</f>
        <v/>
      </c>
      <c r="M54" s="1" t="str">
        <f>IF(Person3!$B$15+ROW(B52)-1&lt;=Person3!$C$15, Person3!$B$15+ROW(B52)-1, "")</f>
        <v/>
      </c>
      <c r="N54" s="1" t="str">
        <f>IF(Person3!$B$16+ROW(B52)-1&lt;=Person3!$C$16, Person3!$B$16+ROW(B52)-1, "")</f>
        <v/>
      </c>
      <c r="O54" s="1" t="str">
        <f>IF(Person3!$B$17+ROW(B52)-1&lt;=Person3!$C$17, Person3!$B$17+ROW(B52)-1, "")</f>
        <v/>
      </c>
      <c r="V54" s="1" t="str">
        <f>IF(Person3!$D$3+ROW(A52)-1&lt;=Person3!$E$3, Person3!$D$3+ROW(A52)-1, "")</f>
        <v/>
      </c>
      <c r="W54" s="1" t="str">
        <f>IF(Person3!$D$4+ROW(A52)-1&lt;=Person3!$E$4, Person3!$D$4+ROW(A52)-1, "")</f>
        <v/>
      </c>
      <c r="X54" s="1" t="str">
        <f>IF(Person3!$D$5+ROW(A52)-1&lt;=Person3!$E$5, Person3!$D$5+ROW(A52)-1, "")</f>
        <v/>
      </c>
      <c r="Y54" s="1" t="str">
        <f>IF(Person3!$D$6+ROW(A52)-1&lt;=Person3!$E$6, Person3!$D$6+ROW(A52)-1, "")</f>
        <v/>
      </c>
      <c r="Z54" s="1" t="str">
        <f>IF(Person3!$D$7+ROW(A52)-1&lt;=Person3!$E$7, Person3!$D$7+ROW(A52)-1, "")</f>
        <v/>
      </c>
      <c r="AA54" s="1" t="str">
        <f>IF(Person3!$D$8+ROW(A52)-1&lt;=Person3!$E$8, Person3!$D$8+ROW(A52)-1, "")</f>
        <v/>
      </c>
      <c r="AE54" s="1" t="str">
        <f>IF(Person3!$F$3+ROW(A52)-1&lt;=Person3!$G$3, Person3!$F$3+ROW(A52)-1, "")</f>
        <v/>
      </c>
      <c r="AF54" s="1" t="str">
        <f>IF(Person3!$F$4+ROW(A52)-1&lt;=Person3!$G$4, Person3!$F$4+ROW(A52)-1, "")</f>
        <v/>
      </c>
      <c r="AG54" s="1" t="str">
        <f>IF(Person3!$F$5+ROW(A52)-1&lt;=Person3!$G$5, Person3!$F$5+ROW(A52)-1, "")</f>
        <v/>
      </c>
      <c r="AH54" s="1" t="str">
        <f>IF(Person3!$F$6+ROW(A52)-1&lt;=Person3!$G$6, Person3!$F$6+ROW(A52)-1, "")</f>
        <v/>
      </c>
      <c r="AI54" s="1" t="str">
        <f>IF(Person3!$F$7+ROW(A52)-1&lt;=Person3!$G$7, Person3!$F$7+ROW(A52)-1, "")</f>
        <v/>
      </c>
    </row>
    <row r="55" spans="1:35" x14ac:dyDescent="0.3">
      <c r="A55" s="1" t="str">
        <f>IF(Person3!$B$3+ROW(A53)-1&lt;=Person3!$C$3, Person3!$B$3+ROW(A53)-1, "")</f>
        <v/>
      </c>
      <c r="B55" s="1" t="str">
        <f>IF(Person3!$B$4+ROW(B53)-1&lt;=Person3!$C$4, Person3!$B$4+ROW(B53)-1, "")</f>
        <v/>
      </c>
      <c r="C55" s="1" t="str">
        <f>IF(Person3!$B$5+ROW(B53)-1&lt;=Person3!$C$5, Person3!$B$5+ROW(B53)-1, "")</f>
        <v/>
      </c>
      <c r="D55" s="1" t="str">
        <f>IF(Person3!$B$6+ROW(B53)-1&lt;=Person3!$C$6, Person3!$B$6+ROW(B53)-1, "")</f>
        <v/>
      </c>
      <c r="E55" s="1" t="str">
        <f>IF(Person3!$B$7+ROW(B53)-1&lt;=Person3!$C$7, Person3!$B$7+ROW(B53)-1, "")</f>
        <v/>
      </c>
      <c r="F55" s="1" t="str">
        <f>IF(Person3!$B$8+ROW(B53)-1&lt;=Person3!$C$8, Person3!$B$8+ROW(B53)-1, "")</f>
        <v/>
      </c>
      <c r="G55" s="1" t="str">
        <f>IF(Person3!$B$9+ROW(B53)-1&lt;=Person3!$C$9, Person3!$B$9+ROW(B53)-1, "")</f>
        <v/>
      </c>
      <c r="H55" s="1" t="str">
        <f>IF(Person3!$B$10+ROW(B53)-1&lt;=Person3!$C$10, Person3!$B$10+ROW(B53)-1, "")</f>
        <v/>
      </c>
      <c r="I55" s="1" t="str">
        <f>IF(Person3!$B$11+ROW(B53)-1&lt;=Person3!$C$11, Person3!$B$11+ROW(B53)-1, "")</f>
        <v/>
      </c>
      <c r="J55" s="1" t="str">
        <f>IF(Person3!$B$12+ROW(B53)-1&lt;=Person3!$C$12, Person3!$B$12+ROW(B53)-1, "")</f>
        <v/>
      </c>
      <c r="K55" s="1" t="str">
        <f>IF(Person3!$B$13+ROW(B53)-1&lt;=Person3!$C$13, Person3!$B$13+ROW(B53)-1, "")</f>
        <v/>
      </c>
      <c r="L55" s="1" t="str">
        <f>IF(Person3!$B$14+ROW(B53)-1&lt;=Person3!$C$14, Person3!$B$14+ROW(B53)-1, "")</f>
        <v/>
      </c>
      <c r="M55" s="1" t="str">
        <f>IF(Person3!$B$15+ROW(B53)-1&lt;=Person3!$C$15, Person3!$B$15+ROW(B53)-1, "")</f>
        <v/>
      </c>
      <c r="N55" s="1" t="str">
        <f>IF(Person3!$B$16+ROW(B53)-1&lt;=Person3!$C$16, Person3!$B$16+ROW(B53)-1, "")</f>
        <v/>
      </c>
      <c r="O55" s="1" t="str">
        <f>IF(Person3!$B$17+ROW(B53)-1&lt;=Person3!$C$17, Person3!$B$17+ROW(B53)-1, "")</f>
        <v/>
      </c>
      <c r="V55" s="1" t="str">
        <f>IF(Person3!$D$3+ROW(A53)-1&lt;=Person3!$E$3, Person3!$D$3+ROW(A53)-1, "")</f>
        <v/>
      </c>
      <c r="W55" s="1" t="str">
        <f>IF(Person3!$D$4+ROW(A53)-1&lt;=Person3!$E$4, Person3!$D$4+ROW(A53)-1, "")</f>
        <v/>
      </c>
      <c r="X55" s="1" t="str">
        <f>IF(Person3!$D$5+ROW(A53)-1&lt;=Person3!$E$5, Person3!$D$5+ROW(A53)-1, "")</f>
        <v/>
      </c>
      <c r="Y55" s="1" t="str">
        <f>IF(Person3!$D$6+ROW(A53)-1&lt;=Person3!$E$6, Person3!$D$6+ROW(A53)-1, "")</f>
        <v/>
      </c>
      <c r="Z55" s="1" t="str">
        <f>IF(Person3!$D$7+ROW(A53)-1&lt;=Person3!$E$7, Person3!$D$7+ROW(A53)-1, "")</f>
        <v/>
      </c>
      <c r="AA55" s="1" t="str">
        <f>IF(Person3!$D$8+ROW(A53)-1&lt;=Person3!$E$8, Person3!$D$8+ROW(A53)-1, "")</f>
        <v/>
      </c>
      <c r="AE55" s="1" t="str">
        <f>IF(Person3!$F$3+ROW(A53)-1&lt;=Person3!$G$3, Person3!$F$3+ROW(A53)-1, "")</f>
        <v/>
      </c>
      <c r="AF55" s="1" t="str">
        <f>IF(Person3!$F$4+ROW(A53)-1&lt;=Person3!$G$4, Person3!$F$4+ROW(A53)-1, "")</f>
        <v/>
      </c>
      <c r="AG55" s="1" t="str">
        <f>IF(Person3!$F$5+ROW(A53)-1&lt;=Person3!$G$5, Person3!$F$5+ROW(A53)-1, "")</f>
        <v/>
      </c>
      <c r="AH55" s="1" t="str">
        <f>IF(Person3!$F$6+ROW(A53)-1&lt;=Person3!$G$6, Person3!$F$6+ROW(A53)-1, "")</f>
        <v/>
      </c>
      <c r="AI55" s="1" t="str">
        <f>IF(Person3!$F$7+ROW(A53)-1&lt;=Person3!$G$7, Person3!$F$7+ROW(A53)-1, "")</f>
        <v/>
      </c>
    </row>
    <row r="56" spans="1:35" x14ac:dyDescent="0.3">
      <c r="A56" s="1" t="str">
        <f>IF(Person3!$B$3+ROW(A54)-1&lt;=Person3!$C$3, Person3!$B$3+ROW(A54)-1, "")</f>
        <v/>
      </c>
      <c r="B56" s="1" t="str">
        <f>IF(Person3!$B$4+ROW(B54)-1&lt;=Person3!$C$4, Person3!$B$4+ROW(B54)-1, "")</f>
        <v/>
      </c>
      <c r="C56" s="1" t="str">
        <f>IF(Person3!$B$5+ROW(B54)-1&lt;=Person3!$C$5, Person3!$B$5+ROW(B54)-1, "")</f>
        <v/>
      </c>
      <c r="D56" s="1" t="str">
        <f>IF(Person3!$B$6+ROW(B54)-1&lt;=Person3!$C$6, Person3!$B$6+ROW(B54)-1, "")</f>
        <v/>
      </c>
      <c r="E56" s="1" t="str">
        <f>IF(Person3!$B$7+ROW(B54)-1&lt;=Person3!$C$7, Person3!$B$7+ROW(B54)-1, "")</f>
        <v/>
      </c>
      <c r="F56" s="1" t="str">
        <f>IF(Person3!$B$8+ROW(B54)-1&lt;=Person3!$C$8, Person3!$B$8+ROW(B54)-1, "")</f>
        <v/>
      </c>
      <c r="G56" s="1" t="str">
        <f>IF(Person3!$B$9+ROW(B54)-1&lt;=Person3!$C$9, Person3!$B$9+ROW(B54)-1, "")</f>
        <v/>
      </c>
      <c r="H56" s="1" t="str">
        <f>IF(Person3!$B$10+ROW(B54)-1&lt;=Person3!$C$10, Person3!$B$10+ROW(B54)-1, "")</f>
        <v/>
      </c>
      <c r="I56" s="1" t="str">
        <f>IF(Person3!$B$11+ROW(B54)-1&lt;=Person3!$C$11, Person3!$B$11+ROW(B54)-1, "")</f>
        <v/>
      </c>
      <c r="J56" s="1" t="str">
        <f>IF(Person3!$B$12+ROW(B54)-1&lt;=Person3!$C$12, Person3!$B$12+ROW(B54)-1, "")</f>
        <v/>
      </c>
      <c r="K56" s="1" t="str">
        <f>IF(Person3!$B$13+ROW(B54)-1&lt;=Person3!$C$13, Person3!$B$13+ROW(B54)-1, "")</f>
        <v/>
      </c>
      <c r="L56" s="1" t="str">
        <f>IF(Person3!$B$14+ROW(B54)-1&lt;=Person3!$C$14, Person3!$B$14+ROW(B54)-1, "")</f>
        <v/>
      </c>
      <c r="M56" s="1" t="str">
        <f>IF(Person3!$B$15+ROW(B54)-1&lt;=Person3!$C$15, Person3!$B$15+ROW(B54)-1, "")</f>
        <v/>
      </c>
      <c r="N56" s="1" t="str">
        <f>IF(Person3!$B$16+ROW(B54)-1&lt;=Person3!$C$16, Person3!$B$16+ROW(B54)-1, "")</f>
        <v/>
      </c>
      <c r="O56" s="1" t="str">
        <f>IF(Person3!$B$17+ROW(B54)-1&lt;=Person3!$C$17, Person3!$B$17+ROW(B54)-1, "")</f>
        <v/>
      </c>
      <c r="V56" s="1" t="str">
        <f>IF(Person3!$D$3+ROW(A54)-1&lt;=Person3!$E$3, Person3!$D$3+ROW(A54)-1, "")</f>
        <v/>
      </c>
      <c r="W56" s="1" t="str">
        <f>IF(Person3!$D$4+ROW(A54)-1&lt;=Person3!$E$4, Person3!$D$4+ROW(A54)-1, "")</f>
        <v/>
      </c>
      <c r="X56" s="1" t="str">
        <f>IF(Person3!$D$5+ROW(A54)-1&lt;=Person3!$E$5, Person3!$D$5+ROW(A54)-1, "")</f>
        <v/>
      </c>
      <c r="Y56" s="1" t="str">
        <f>IF(Person3!$D$6+ROW(A54)-1&lt;=Person3!$E$6, Person3!$D$6+ROW(A54)-1, "")</f>
        <v/>
      </c>
      <c r="Z56" s="1" t="str">
        <f>IF(Person3!$D$7+ROW(A54)-1&lt;=Person3!$E$7, Person3!$D$7+ROW(A54)-1, "")</f>
        <v/>
      </c>
      <c r="AA56" s="1" t="str">
        <f>IF(Person3!$D$8+ROW(A54)-1&lt;=Person3!$E$8, Person3!$D$8+ROW(A54)-1, "")</f>
        <v/>
      </c>
      <c r="AE56" s="1" t="str">
        <f>IF(Person3!$F$3+ROW(A54)-1&lt;=Person3!$G$3, Person3!$F$3+ROW(A54)-1, "")</f>
        <v/>
      </c>
      <c r="AF56" s="1" t="str">
        <f>IF(Person3!$F$4+ROW(A54)-1&lt;=Person3!$G$4, Person3!$F$4+ROW(A54)-1, "")</f>
        <v/>
      </c>
      <c r="AG56" s="1" t="str">
        <f>IF(Person3!$F$5+ROW(A54)-1&lt;=Person3!$G$5, Person3!$F$5+ROW(A54)-1, "")</f>
        <v/>
      </c>
      <c r="AH56" s="1" t="str">
        <f>IF(Person3!$F$6+ROW(A54)-1&lt;=Person3!$G$6, Person3!$F$6+ROW(A54)-1, "")</f>
        <v/>
      </c>
      <c r="AI56" s="1" t="str">
        <f>IF(Person3!$F$7+ROW(A54)-1&lt;=Person3!$G$7, Person3!$F$7+ROW(A54)-1, "")</f>
        <v/>
      </c>
    </row>
    <row r="57" spans="1:35" x14ac:dyDescent="0.3">
      <c r="A57" s="1" t="str">
        <f>IF(Person3!$B$3+ROW(A55)-1&lt;=Person3!$C$3, Person3!$B$3+ROW(A55)-1, "")</f>
        <v/>
      </c>
      <c r="B57" s="1" t="str">
        <f>IF(Person3!$B$4+ROW(B55)-1&lt;=Person3!$C$4, Person3!$B$4+ROW(B55)-1, "")</f>
        <v/>
      </c>
      <c r="C57" s="1" t="str">
        <f>IF(Person3!$B$5+ROW(B55)-1&lt;=Person3!$C$5, Person3!$B$5+ROW(B55)-1, "")</f>
        <v/>
      </c>
      <c r="D57" s="1" t="str">
        <f>IF(Person3!$B$6+ROW(B55)-1&lt;=Person3!$C$6, Person3!$B$6+ROW(B55)-1, "")</f>
        <v/>
      </c>
      <c r="E57" s="1" t="str">
        <f>IF(Person3!$B$7+ROW(B55)-1&lt;=Person3!$C$7, Person3!$B$7+ROW(B55)-1, "")</f>
        <v/>
      </c>
      <c r="F57" s="1" t="str">
        <f>IF(Person3!$B$8+ROW(B55)-1&lt;=Person3!$C$8, Person3!$B$8+ROW(B55)-1, "")</f>
        <v/>
      </c>
      <c r="G57" s="1" t="str">
        <f>IF(Person3!$B$9+ROW(B55)-1&lt;=Person3!$C$9, Person3!$B$9+ROW(B55)-1, "")</f>
        <v/>
      </c>
      <c r="H57" s="1" t="str">
        <f>IF(Person3!$B$10+ROW(B55)-1&lt;=Person3!$C$10, Person3!$B$10+ROW(B55)-1, "")</f>
        <v/>
      </c>
      <c r="I57" s="1" t="str">
        <f>IF(Person3!$B$11+ROW(B55)-1&lt;=Person3!$C$11, Person3!$B$11+ROW(B55)-1, "")</f>
        <v/>
      </c>
      <c r="J57" s="1" t="str">
        <f>IF(Person3!$B$12+ROW(B55)-1&lt;=Person3!$C$12, Person3!$B$12+ROW(B55)-1, "")</f>
        <v/>
      </c>
      <c r="K57" s="1" t="str">
        <f>IF(Person3!$B$13+ROW(B55)-1&lt;=Person3!$C$13, Person3!$B$13+ROW(B55)-1, "")</f>
        <v/>
      </c>
      <c r="L57" s="1" t="str">
        <f>IF(Person3!$B$14+ROW(B55)-1&lt;=Person3!$C$14, Person3!$B$14+ROW(B55)-1, "")</f>
        <v/>
      </c>
      <c r="M57" s="1" t="str">
        <f>IF(Person3!$B$15+ROW(B55)-1&lt;=Person3!$C$15, Person3!$B$15+ROW(B55)-1, "")</f>
        <v/>
      </c>
      <c r="N57" s="1" t="str">
        <f>IF(Person3!$B$16+ROW(B55)-1&lt;=Person3!$C$16, Person3!$B$16+ROW(B55)-1, "")</f>
        <v/>
      </c>
      <c r="O57" s="1" t="str">
        <f>IF(Person3!$B$17+ROW(B55)-1&lt;=Person3!$C$17, Person3!$B$17+ROW(B55)-1, "")</f>
        <v/>
      </c>
      <c r="V57" s="1" t="str">
        <f>IF(Person3!$D$3+ROW(A55)-1&lt;=Person3!$E$3, Person3!$D$3+ROW(A55)-1, "")</f>
        <v/>
      </c>
      <c r="W57" s="1" t="str">
        <f>IF(Person3!$D$4+ROW(A55)-1&lt;=Person3!$E$4, Person3!$D$4+ROW(A55)-1, "")</f>
        <v/>
      </c>
      <c r="X57" s="1" t="str">
        <f>IF(Person3!$D$5+ROW(A55)-1&lt;=Person3!$E$5, Person3!$D$5+ROW(A55)-1, "")</f>
        <v/>
      </c>
      <c r="Y57" s="1" t="str">
        <f>IF(Person3!$D$6+ROW(A55)-1&lt;=Person3!$E$6, Person3!$D$6+ROW(A55)-1, "")</f>
        <v/>
      </c>
      <c r="Z57" s="1" t="str">
        <f>IF(Person3!$D$7+ROW(A55)-1&lt;=Person3!$E$7, Person3!$D$7+ROW(A55)-1, "")</f>
        <v/>
      </c>
      <c r="AA57" s="1" t="str">
        <f>IF(Person3!$D$8+ROW(A55)-1&lt;=Person3!$E$8, Person3!$D$8+ROW(A55)-1, "")</f>
        <v/>
      </c>
      <c r="AE57" s="1" t="str">
        <f>IF(Person3!$F$3+ROW(A55)-1&lt;=Person3!$G$3, Person3!$F$3+ROW(A55)-1, "")</f>
        <v/>
      </c>
      <c r="AF57" s="1" t="str">
        <f>IF(Person3!$F$4+ROW(A55)-1&lt;=Person3!$G$4, Person3!$F$4+ROW(A55)-1, "")</f>
        <v/>
      </c>
      <c r="AG57" s="1" t="str">
        <f>IF(Person3!$F$5+ROW(A55)-1&lt;=Person3!$G$5, Person3!$F$5+ROW(A55)-1, "")</f>
        <v/>
      </c>
      <c r="AH57" s="1" t="str">
        <f>IF(Person3!$F$6+ROW(A55)-1&lt;=Person3!$G$6, Person3!$F$6+ROW(A55)-1, "")</f>
        <v/>
      </c>
      <c r="AI57" s="1" t="str">
        <f>IF(Person3!$F$7+ROW(A55)-1&lt;=Person3!$G$7, Person3!$F$7+ROW(A55)-1, "")</f>
        <v/>
      </c>
    </row>
    <row r="58" spans="1:35" x14ac:dyDescent="0.3">
      <c r="A58" s="1" t="str">
        <f>IF(Person3!$B$3+ROW(A56)-1&lt;=Person3!$C$3, Person3!$B$3+ROW(A56)-1, "")</f>
        <v/>
      </c>
      <c r="B58" s="1" t="str">
        <f>IF(Person3!$B$4+ROW(B56)-1&lt;=Person3!$C$4, Person3!$B$4+ROW(B56)-1, "")</f>
        <v/>
      </c>
      <c r="C58" s="1" t="str">
        <f>IF(Person3!$B$5+ROW(B56)-1&lt;=Person3!$C$5, Person3!$B$5+ROW(B56)-1, "")</f>
        <v/>
      </c>
      <c r="D58" s="1" t="str">
        <f>IF(Person3!$B$6+ROW(B56)-1&lt;=Person3!$C$6, Person3!$B$6+ROW(B56)-1, "")</f>
        <v/>
      </c>
      <c r="E58" s="1" t="str">
        <f>IF(Person3!$B$7+ROW(B56)-1&lt;=Person3!$C$7, Person3!$B$7+ROW(B56)-1, "")</f>
        <v/>
      </c>
      <c r="F58" s="1" t="str">
        <f>IF(Person3!$B$8+ROW(B56)-1&lt;=Person3!$C$8, Person3!$B$8+ROW(B56)-1, "")</f>
        <v/>
      </c>
      <c r="G58" s="1" t="str">
        <f>IF(Person3!$B$9+ROW(B56)-1&lt;=Person3!$C$9, Person3!$B$9+ROW(B56)-1, "")</f>
        <v/>
      </c>
      <c r="H58" s="1" t="str">
        <f>IF(Person3!$B$10+ROW(B56)-1&lt;=Person3!$C$10, Person3!$B$10+ROW(B56)-1, "")</f>
        <v/>
      </c>
      <c r="I58" s="1" t="str">
        <f>IF(Person3!$B$11+ROW(B56)-1&lt;=Person3!$C$11, Person3!$B$11+ROW(B56)-1, "")</f>
        <v/>
      </c>
      <c r="J58" s="1" t="str">
        <f>IF(Person3!$B$12+ROW(B56)-1&lt;=Person3!$C$12, Person3!$B$12+ROW(B56)-1, "")</f>
        <v/>
      </c>
      <c r="K58" s="1" t="str">
        <f>IF(Person3!$B$13+ROW(B56)-1&lt;=Person3!$C$13, Person3!$B$13+ROW(B56)-1, "")</f>
        <v/>
      </c>
      <c r="L58" s="1" t="str">
        <f>IF(Person3!$B$14+ROW(B56)-1&lt;=Person3!$C$14, Person3!$B$14+ROW(B56)-1, "")</f>
        <v/>
      </c>
      <c r="M58" s="1" t="str">
        <f>IF(Person3!$B$15+ROW(B56)-1&lt;=Person3!$C$15, Person3!$B$15+ROW(B56)-1, "")</f>
        <v/>
      </c>
      <c r="N58" s="1" t="str">
        <f>IF(Person3!$B$16+ROW(B56)-1&lt;=Person3!$C$16, Person3!$B$16+ROW(B56)-1, "")</f>
        <v/>
      </c>
      <c r="O58" s="1" t="str">
        <f>IF(Person3!$B$17+ROW(B56)-1&lt;=Person3!$C$17, Person3!$B$17+ROW(B56)-1, "")</f>
        <v/>
      </c>
      <c r="V58" s="1" t="str">
        <f>IF(Person3!$D$3+ROW(A56)-1&lt;=Person3!$E$3, Person3!$D$3+ROW(A56)-1, "")</f>
        <v/>
      </c>
      <c r="W58" s="1" t="str">
        <f>IF(Person3!$D$4+ROW(A56)-1&lt;=Person3!$E$4, Person3!$D$4+ROW(A56)-1, "")</f>
        <v/>
      </c>
      <c r="X58" s="1" t="str">
        <f>IF(Person3!$D$5+ROW(A56)-1&lt;=Person3!$E$5, Person3!$D$5+ROW(A56)-1, "")</f>
        <v/>
      </c>
      <c r="Y58" s="1" t="str">
        <f>IF(Person3!$D$6+ROW(A56)-1&lt;=Person3!$E$6, Person3!$D$6+ROW(A56)-1, "")</f>
        <v/>
      </c>
      <c r="Z58" s="1" t="str">
        <f>IF(Person3!$D$7+ROW(A56)-1&lt;=Person3!$E$7, Person3!$D$7+ROW(A56)-1, "")</f>
        <v/>
      </c>
      <c r="AA58" s="1" t="str">
        <f>IF(Person3!$D$8+ROW(A56)-1&lt;=Person3!$E$8, Person3!$D$8+ROW(A56)-1, "")</f>
        <v/>
      </c>
      <c r="AE58" s="1" t="str">
        <f>IF(Person3!$F$3+ROW(A56)-1&lt;=Person3!$G$3, Person3!$F$3+ROW(A56)-1, "")</f>
        <v/>
      </c>
      <c r="AF58" s="1" t="str">
        <f>IF(Person3!$F$4+ROW(A56)-1&lt;=Person3!$G$4, Person3!$F$4+ROW(A56)-1, "")</f>
        <v/>
      </c>
      <c r="AG58" s="1" t="str">
        <f>IF(Person3!$F$5+ROW(A56)-1&lt;=Person3!$G$5, Person3!$F$5+ROW(A56)-1, "")</f>
        <v/>
      </c>
      <c r="AH58" s="1" t="str">
        <f>IF(Person3!$F$6+ROW(A56)-1&lt;=Person3!$G$6, Person3!$F$6+ROW(A56)-1, "")</f>
        <v/>
      </c>
      <c r="AI58" s="1" t="str">
        <f>IF(Person3!$F$7+ROW(A56)-1&lt;=Person3!$G$7, Person3!$F$7+ROW(A56)-1, "")</f>
        <v/>
      </c>
    </row>
    <row r="59" spans="1:35" x14ac:dyDescent="0.3">
      <c r="A59" s="1" t="str">
        <f>IF(Person3!$B$3+ROW(A57)-1&lt;=Person3!$C$3, Person3!$B$3+ROW(A57)-1, "")</f>
        <v/>
      </c>
      <c r="B59" s="1" t="str">
        <f>IF(Person3!$B$4+ROW(B57)-1&lt;=Person3!$C$4, Person3!$B$4+ROW(B57)-1, "")</f>
        <v/>
      </c>
      <c r="C59" s="1" t="str">
        <f>IF(Person3!$B$5+ROW(B57)-1&lt;=Person3!$C$5, Person3!$B$5+ROW(B57)-1, "")</f>
        <v/>
      </c>
      <c r="D59" s="1" t="str">
        <f>IF(Person3!$B$6+ROW(B57)-1&lt;=Person3!$C$6, Person3!$B$6+ROW(B57)-1, "")</f>
        <v/>
      </c>
      <c r="E59" s="1" t="str">
        <f>IF(Person3!$B$7+ROW(B57)-1&lt;=Person3!$C$7, Person3!$B$7+ROW(B57)-1, "")</f>
        <v/>
      </c>
      <c r="F59" s="1" t="str">
        <f>IF(Person3!$B$8+ROW(B57)-1&lt;=Person3!$C$8, Person3!$B$8+ROW(B57)-1, "")</f>
        <v/>
      </c>
      <c r="G59" s="1" t="str">
        <f>IF(Person3!$B$9+ROW(B57)-1&lt;=Person3!$C$9, Person3!$B$9+ROW(B57)-1, "")</f>
        <v/>
      </c>
      <c r="H59" s="1" t="str">
        <f>IF(Person3!$B$10+ROW(B57)-1&lt;=Person3!$C$10, Person3!$B$10+ROW(B57)-1, "")</f>
        <v/>
      </c>
      <c r="I59" s="1" t="str">
        <f>IF(Person3!$B$11+ROW(B57)-1&lt;=Person3!$C$11, Person3!$B$11+ROW(B57)-1, "")</f>
        <v/>
      </c>
      <c r="J59" s="1" t="str">
        <f>IF(Person3!$B$12+ROW(B57)-1&lt;=Person3!$C$12, Person3!$B$12+ROW(B57)-1, "")</f>
        <v/>
      </c>
      <c r="K59" s="1" t="str">
        <f>IF(Person3!$B$13+ROW(B57)-1&lt;=Person3!$C$13, Person3!$B$13+ROW(B57)-1, "")</f>
        <v/>
      </c>
      <c r="L59" s="1" t="str">
        <f>IF(Person3!$B$14+ROW(B57)-1&lt;=Person3!$C$14, Person3!$B$14+ROW(B57)-1, "")</f>
        <v/>
      </c>
      <c r="M59" s="1" t="str">
        <f>IF(Person3!$B$15+ROW(B57)-1&lt;=Person3!$C$15, Person3!$B$15+ROW(B57)-1, "")</f>
        <v/>
      </c>
      <c r="N59" s="1" t="str">
        <f>IF(Person3!$B$16+ROW(B57)-1&lt;=Person3!$C$16, Person3!$B$16+ROW(B57)-1, "")</f>
        <v/>
      </c>
      <c r="O59" s="1" t="str">
        <f>IF(Person3!$B$17+ROW(B57)-1&lt;=Person3!$C$17, Person3!$B$17+ROW(B57)-1, "")</f>
        <v/>
      </c>
      <c r="V59" s="1" t="str">
        <f>IF(Person3!$D$3+ROW(A57)-1&lt;=Person3!$E$3, Person3!$D$3+ROW(A57)-1, "")</f>
        <v/>
      </c>
      <c r="W59" s="1" t="str">
        <f>IF(Person3!$D$4+ROW(A57)-1&lt;=Person3!$E$4, Person3!$D$4+ROW(A57)-1, "")</f>
        <v/>
      </c>
      <c r="X59" s="1" t="str">
        <f>IF(Person3!$D$5+ROW(A57)-1&lt;=Person3!$E$5, Person3!$D$5+ROW(A57)-1, "")</f>
        <v/>
      </c>
      <c r="Y59" s="1" t="str">
        <f>IF(Person3!$D$6+ROW(A57)-1&lt;=Person3!$E$6, Person3!$D$6+ROW(A57)-1, "")</f>
        <v/>
      </c>
      <c r="Z59" s="1" t="str">
        <f>IF(Person3!$D$7+ROW(A57)-1&lt;=Person3!$E$7, Person3!$D$7+ROW(A57)-1, "")</f>
        <v/>
      </c>
      <c r="AA59" s="1" t="str">
        <f>IF(Person3!$D$8+ROW(A57)-1&lt;=Person3!$E$8, Person3!$D$8+ROW(A57)-1, "")</f>
        <v/>
      </c>
      <c r="AE59" s="1" t="str">
        <f>IF(Person3!$F$3+ROW(A57)-1&lt;=Person3!$G$3, Person3!$F$3+ROW(A57)-1, "")</f>
        <v/>
      </c>
      <c r="AF59" s="1" t="str">
        <f>IF(Person3!$F$4+ROW(A57)-1&lt;=Person3!$G$4, Person3!$F$4+ROW(A57)-1, "")</f>
        <v/>
      </c>
      <c r="AG59" s="1" t="str">
        <f>IF(Person3!$F$5+ROW(A57)-1&lt;=Person3!$G$5, Person3!$F$5+ROW(A57)-1, "")</f>
        <v/>
      </c>
      <c r="AH59" s="1" t="str">
        <f>IF(Person3!$F$6+ROW(A57)-1&lt;=Person3!$G$6, Person3!$F$6+ROW(A57)-1, "")</f>
        <v/>
      </c>
      <c r="AI59" s="1" t="str">
        <f>IF(Person3!$F$7+ROW(A57)-1&lt;=Person3!$G$7, Person3!$F$7+ROW(A57)-1, "")</f>
        <v/>
      </c>
    </row>
    <row r="60" spans="1:35" x14ac:dyDescent="0.3">
      <c r="A60" s="1" t="str">
        <f>IF(Person3!$B$3+ROW(A58)-1&lt;=Person3!$C$3, Person3!$B$3+ROW(A58)-1, "")</f>
        <v/>
      </c>
      <c r="B60" s="1" t="str">
        <f>IF(Person3!$B$4+ROW(B58)-1&lt;=Person3!$C$4, Person3!$B$4+ROW(B58)-1, "")</f>
        <v/>
      </c>
      <c r="C60" s="1" t="str">
        <f>IF(Person3!$B$5+ROW(B58)-1&lt;=Person3!$C$5, Person3!$B$5+ROW(B58)-1, "")</f>
        <v/>
      </c>
      <c r="D60" s="1" t="str">
        <f>IF(Person3!$B$6+ROW(B58)-1&lt;=Person3!$C$6, Person3!$B$6+ROW(B58)-1, "")</f>
        <v/>
      </c>
      <c r="E60" s="1" t="str">
        <f>IF(Person3!$B$7+ROW(B58)-1&lt;=Person3!$C$7, Person3!$B$7+ROW(B58)-1, "")</f>
        <v/>
      </c>
      <c r="F60" s="1" t="str">
        <f>IF(Person3!$B$8+ROW(B58)-1&lt;=Person3!$C$8, Person3!$B$8+ROW(B58)-1, "")</f>
        <v/>
      </c>
      <c r="G60" s="1" t="str">
        <f>IF(Person3!$B$9+ROW(B58)-1&lt;=Person3!$C$9, Person3!$B$9+ROW(B58)-1, "")</f>
        <v/>
      </c>
      <c r="H60" s="1" t="str">
        <f>IF(Person3!$B$10+ROW(B58)-1&lt;=Person3!$C$10, Person3!$B$10+ROW(B58)-1, "")</f>
        <v/>
      </c>
      <c r="I60" s="1" t="str">
        <f>IF(Person3!$B$11+ROW(B58)-1&lt;=Person3!$C$11, Person3!$B$11+ROW(B58)-1, "")</f>
        <v/>
      </c>
      <c r="J60" s="1" t="str">
        <f>IF(Person3!$B$12+ROW(B58)-1&lt;=Person3!$C$12, Person3!$B$12+ROW(B58)-1, "")</f>
        <v/>
      </c>
      <c r="K60" s="1" t="str">
        <f>IF(Person3!$B$13+ROW(B58)-1&lt;=Person3!$C$13, Person3!$B$13+ROW(B58)-1, "")</f>
        <v/>
      </c>
      <c r="L60" s="1" t="str">
        <f>IF(Person3!$B$14+ROW(B58)-1&lt;=Person3!$C$14, Person3!$B$14+ROW(B58)-1, "")</f>
        <v/>
      </c>
      <c r="M60" s="1" t="str">
        <f>IF(Person3!$B$15+ROW(B58)-1&lt;=Person3!$C$15, Person3!$B$15+ROW(B58)-1, "")</f>
        <v/>
      </c>
      <c r="N60" s="1" t="str">
        <f>IF(Person3!$B$16+ROW(B58)-1&lt;=Person3!$C$16, Person3!$B$16+ROW(B58)-1, "")</f>
        <v/>
      </c>
      <c r="O60" s="1" t="str">
        <f>IF(Person3!$B$17+ROW(B58)-1&lt;=Person3!$C$17, Person3!$B$17+ROW(B58)-1, "")</f>
        <v/>
      </c>
      <c r="V60" s="1" t="str">
        <f>IF(Person3!$D$3+ROW(A58)-1&lt;=Person3!$E$3, Person3!$D$3+ROW(A58)-1, "")</f>
        <v/>
      </c>
      <c r="W60" s="1" t="str">
        <f>IF(Person3!$D$4+ROW(A58)-1&lt;=Person3!$E$4, Person3!$D$4+ROW(A58)-1, "")</f>
        <v/>
      </c>
      <c r="X60" s="1" t="str">
        <f>IF(Person3!$D$5+ROW(A58)-1&lt;=Person3!$E$5, Person3!$D$5+ROW(A58)-1, "")</f>
        <v/>
      </c>
      <c r="Y60" s="1" t="str">
        <f>IF(Person3!$D$6+ROW(A58)-1&lt;=Person3!$E$6, Person3!$D$6+ROW(A58)-1, "")</f>
        <v/>
      </c>
      <c r="Z60" s="1" t="str">
        <f>IF(Person3!$D$7+ROW(A58)-1&lt;=Person3!$E$7, Person3!$D$7+ROW(A58)-1, "")</f>
        <v/>
      </c>
      <c r="AA60" s="1" t="str">
        <f>IF(Person3!$D$8+ROW(A58)-1&lt;=Person3!$E$8, Person3!$D$8+ROW(A58)-1, "")</f>
        <v/>
      </c>
      <c r="AE60" s="1" t="str">
        <f>IF(Person3!$F$3+ROW(A58)-1&lt;=Person3!$G$3, Person3!$F$3+ROW(A58)-1, "")</f>
        <v/>
      </c>
      <c r="AF60" s="1" t="str">
        <f>IF(Person3!$F$4+ROW(A58)-1&lt;=Person3!$G$4, Person3!$F$4+ROW(A58)-1, "")</f>
        <v/>
      </c>
      <c r="AG60" s="1" t="str">
        <f>IF(Person3!$F$5+ROW(A58)-1&lt;=Person3!$G$5, Person3!$F$5+ROW(A58)-1, "")</f>
        <v/>
      </c>
      <c r="AH60" s="1" t="str">
        <f>IF(Person3!$F$6+ROW(A58)-1&lt;=Person3!$G$6, Person3!$F$6+ROW(A58)-1, "")</f>
        <v/>
      </c>
      <c r="AI60" s="1" t="str">
        <f>IF(Person3!$F$7+ROW(A58)-1&lt;=Person3!$G$7, Person3!$F$7+ROW(A58)-1, "")</f>
        <v/>
      </c>
    </row>
    <row r="61" spans="1:35" x14ac:dyDescent="0.3">
      <c r="A61" s="1" t="str">
        <f>IF(Person3!$B$3+ROW(A59)-1&lt;=Person3!$C$3, Person3!$B$3+ROW(A59)-1, "")</f>
        <v/>
      </c>
      <c r="B61" s="1" t="str">
        <f>IF(Person3!$B$4+ROW(B59)-1&lt;=Person3!$C$4, Person3!$B$4+ROW(B59)-1, "")</f>
        <v/>
      </c>
      <c r="C61" s="1" t="str">
        <f>IF(Person3!$B$5+ROW(B59)-1&lt;=Person3!$C$5, Person3!$B$5+ROW(B59)-1, "")</f>
        <v/>
      </c>
      <c r="D61" s="1" t="str">
        <f>IF(Person3!$B$6+ROW(B59)-1&lt;=Person3!$C$6, Person3!$B$6+ROW(B59)-1, "")</f>
        <v/>
      </c>
      <c r="E61" s="1" t="str">
        <f>IF(Person3!$B$7+ROW(B59)-1&lt;=Person3!$C$7, Person3!$B$7+ROW(B59)-1, "")</f>
        <v/>
      </c>
      <c r="F61" s="1" t="str">
        <f>IF(Person3!$B$8+ROW(B59)-1&lt;=Person3!$C$8, Person3!$B$8+ROW(B59)-1, "")</f>
        <v/>
      </c>
      <c r="G61" s="1" t="str">
        <f>IF(Person3!$B$9+ROW(B59)-1&lt;=Person3!$C$9, Person3!$B$9+ROW(B59)-1, "")</f>
        <v/>
      </c>
      <c r="H61" s="1" t="str">
        <f>IF(Person3!$B$10+ROW(B59)-1&lt;=Person3!$C$10, Person3!$B$10+ROW(B59)-1, "")</f>
        <v/>
      </c>
      <c r="I61" s="1" t="str">
        <f>IF(Person3!$B$11+ROW(B59)-1&lt;=Person3!$C$11, Person3!$B$11+ROW(B59)-1, "")</f>
        <v/>
      </c>
      <c r="J61" s="1" t="str">
        <f>IF(Person3!$B$12+ROW(B59)-1&lt;=Person3!$C$12, Person3!$B$12+ROW(B59)-1, "")</f>
        <v/>
      </c>
      <c r="K61" s="1" t="str">
        <f>IF(Person3!$B$13+ROW(B59)-1&lt;=Person3!$C$13, Person3!$B$13+ROW(B59)-1, "")</f>
        <v/>
      </c>
      <c r="L61" s="1" t="str">
        <f>IF(Person3!$B$14+ROW(B59)-1&lt;=Person3!$C$14, Person3!$B$14+ROW(B59)-1, "")</f>
        <v/>
      </c>
      <c r="M61" s="1" t="str">
        <f>IF(Person3!$B$15+ROW(B59)-1&lt;=Person3!$C$15, Person3!$B$15+ROW(B59)-1, "")</f>
        <v/>
      </c>
      <c r="N61" s="1" t="str">
        <f>IF(Person3!$B$16+ROW(B59)-1&lt;=Person3!$C$16, Person3!$B$16+ROW(B59)-1, "")</f>
        <v/>
      </c>
      <c r="O61" s="1" t="str">
        <f>IF(Person3!$B$17+ROW(B59)-1&lt;=Person3!$C$17, Person3!$B$17+ROW(B59)-1, "")</f>
        <v/>
      </c>
      <c r="V61" s="1" t="str">
        <f>IF(Person3!$D$3+ROW(A59)-1&lt;=Person3!$E$3, Person3!$D$3+ROW(A59)-1, "")</f>
        <v/>
      </c>
      <c r="W61" s="1" t="str">
        <f>IF(Person3!$D$4+ROW(A59)-1&lt;=Person3!$E$4, Person3!$D$4+ROW(A59)-1, "")</f>
        <v/>
      </c>
      <c r="X61" s="1" t="str">
        <f>IF(Person3!$D$5+ROW(A59)-1&lt;=Person3!$E$5, Person3!$D$5+ROW(A59)-1, "")</f>
        <v/>
      </c>
      <c r="Y61" s="1" t="str">
        <f>IF(Person3!$D$6+ROW(A59)-1&lt;=Person3!$E$6, Person3!$D$6+ROW(A59)-1, "")</f>
        <v/>
      </c>
      <c r="Z61" s="1" t="str">
        <f>IF(Person3!$D$7+ROW(A59)-1&lt;=Person3!$E$7, Person3!$D$7+ROW(A59)-1, "")</f>
        <v/>
      </c>
      <c r="AA61" s="1" t="str">
        <f>IF(Person3!$D$8+ROW(A59)-1&lt;=Person3!$E$8, Person3!$D$8+ROW(A59)-1, "")</f>
        <v/>
      </c>
      <c r="AE61" s="1" t="str">
        <f>IF(Person3!$F$3+ROW(A59)-1&lt;=Person3!$G$3, Person3!$F$3+ROW(A59)-1, "")</f>
        <v/>
      </c>
      <c r="AF61" s="1" t="str">
        <f>IF(Person3!$F$4+ROW(A59)-1&lt;=Person3!$G$4, Person3!$F$4+ROW(A59)-1, "")</f>
        <v/>
      </c>
      <c r="AG61" s="1" t="str">
        <f>IF(Person3!$F$5+ROW(A59)-1&lt;=Person3!$G$5, Person3!$F$5+ROW(A59)-1, "")</f>
        <v/>
      </c>
      <c r="AH61" s="1" t="str">
        <f>IF(Person3!$F$6+ROW(A59)-1&lt;=Person3!$G$6, Person3!$F$6+ROW(A59)-1, "")</f>
        <v/>
      </c>
      <c r="AI61" s="1" t="str">
        <f>IF(Person3!$F$7+ROW(A59)-1&lt;=Person3!$G$7, Person3!$F$7+ROW(A59)-1, "")</f>
        <v/>
      </c>
    </row>
    <row r="62" spans="1:35" x14ac:dyDescent="0.3">
      <c r="A62" s="1" t="str">
        <f>IF(Person3!$B$3+ROW(A60)-1&lt;=Person3!$C$3, Person3!$B$3+ROW(A60)-1, "")</f>
        <v/>
      </c>
      <c r="B62" s="1" t="str">
        <f>IF(Person3!$B$4+ROW(B60)-1&lt;=Person3!$C$4, Person3!$B$4+ROW(B60)-1, "")</f>
        <v/>
      </c>
      <c r="C62" s="1" t="str">
        <f>IF(Person3!$B$5+ROW(B60)-1&lt;=Person3!$C$5, Person3!$B$5+ROW(B60)-1, "")</f>
        <v/>
      </c>
      <c r="D62" s="1" t="str">
        <f>IF(Person3!$B$6+ROW(B60)-1&lt;=Person3!$C$6, Person3!$B$6+ROW(B60)-1, "")</f>
        <v/>
      </c>
      <c r="E62" s="1" t="str">
        <f>IF(Person3!$B$7+ROW(B60)-1&lt;=Person3!$C$7, Person3!$B$7+ROW(B60)-1, "")</f>
        <v/>
      </c>
      <c r="F62" s="1" t="str">
        <f>IF(Person3!$B$8+ROW(B60)-1&lt;=Person3!$C$8, Person3!$B$8+ROW(B60)-1, "")</f>
        <v/>
      </c>
      <c r="G62" s="1" t="str">
        <f>IF(Person3!$B$9+ROW(B60)-1&lt;=Person3!$C$9, Person3!$B$9+ROW(B60)-1, "")</f>
        <v/>
      </c>
      <c r="H62" s="1" t="str">
        <f>IF(Person3!$B$10+ROW(B60)-1&lt;=Person3!$C$10, Person3!$B$10+ROW(B60)-1, "")</f>
        <v/>
      </c>
      <c r="I62" s="1" t="str">
        <f>IF(Person3!$B$11+ROW(B60)-1&lt;=Person3!$C$11, Person3!$B$11+ROW(B60)-1, "")</f>
        <v/>
      </c>
      <c r="J62" s="1" t="str">
        <f>IF(Person3!$B$12+ROW(B60)-1&lt;=Person3!$C$12, Person3!$B$12+ROW(B60)-1, "")</f>
        <v/>
      </c>
      <c r="K62" s="1" t="str">
        <f>IF(Person3!$B$13+ROW(B60)-1&lt;=Person3!$C$13, Person3!$B$13+ROW(B60)-1, "")</f>
        <v/>
      </c>
      <c r="L62" s="1" t="str">
        <f>IF(Person3!$B$14+ROW(B60)-1&lt;=Person3!$C$14, Person3!$B$14+ROW(B60)-1, "")</f>
        <v/>
      </c>
      <c r="M62" s="1" t="str">
        <f>IF(Person3!$B$15+ROW(B60)-1&lt;=Person3!$C$15, Person3!$B$15+ROW(B60)-1, "")</f>
        <v/>
      </c>
      <c r="N62" s="1" t="str">
        <f>IF(Person3!$B$16+ROW(B60)-1&lt;=Person3!$C$16, Person3!$B$16+ROW(B60)-1, "")</f>
        <v/>
      </c>
      <c r="O62" s="1" t="str">
        <f>IF(Person3!$B$17+ROW(B60)-1&lt;=Person3!$C$17, Person3!$B$17+ROW(B60)-1, "")</f>
        <v/>
      </c>
      <c r="V62" s="1" t="str">
        <f>IF(Person3!$D$3+ROW(A60)-1&lt;=Person3!$E$3, Person3!$D$3+ROW(A60)-1, "")</f>
        <v/>
      </c>
      <c r="W62" s="1" t="str">
        <f>IF(Person3!$D$4+ROW(A60)-1&lt;=Person3!$E$4, Person3!$D$4+ROW(A60)-1, "")</f>
        <v/>
      </c>
      <c r="X62" s="1" t="str">
        <f>IF(Person3!$D$5+ROW(A60)-1&lt;=Person3!$E$5, Person3!$D$5+ROW(A60)-1, "")</f>
        <v/>
      </c>
      <c r="Y62" s="1" t="str">
        <f>IF(Person3!$D$6+ROW(A60)-1&lt;=Person3!$E$6, Person3!$D$6+ROW(A60)-1, "")</f>
        <v/>
      </c>
      <c r="Z62" s="1" t="str">
        <f>IF(Person3!$D$7+ROW(A60)-1&lt;=Person3!$E$7, Person3!$D$7+ROW(A60)-1, "")</f>
        <v/>
      </c>
      <c r="AA62" s="1" t="str">
        <f>IF(Person3!$D$8+ROW(A60)-1&lt;=Person3!$E$8, Person3!$D$8+ROW(A60)-1, "")</f>
        <v/>
      </c>
      <c r="AE62" s="1" t="str">
        <f>IF(Person3!$F$3+ROW(A60)-1&lt;=Person3!$G$3, Person3!$F$3+ROW(A60)-1, "")</f>
        <v/>
      </c>
      <c r="AF62" s="1" t="str">
        <f>IF(Person3!$F$4+ROW(A60)-1&lt;=Person3!$G$4, Person3!$F$4+ROW(A60)-1, "")</f>
        <v/>
      </c>
      <c r="AG62" s="1" t="str">
        <f>IF(Person3!$F$5+ROW(A60)-1&lt;=Person3!$G$5, Person3!$F$5+ROW(A60)-1, "")</f>
        <v/>
      </c>
      <c r="AH62" s="1" t="str">
        <f>IF(Person3!$F$6+ROW(A60)-1&lt;=Person3!$G$6, Person3!$F$6+ROW(A60)-1, "")</f>
        <v/>
      </c>
      <c r="AI62" s="1" t="str">
        <f>IF(Person3!$F$7+ROW(A60)-1&lt;=Person3!$G$7, Person3!$F$7+ROW(A60)-1, "")</f>
        <v/>
      </c>
    </row>
    <row r="63" spans="1:35" x14ac:dyDescent="0.3">
      <c r="A63" s="1" t="str">
        <f>IF(Person3!$B$3+ROW(A61)-1&lt;=Person3!$C$3, Person3!$B$3+ROW(A61)-1, "")</f>
        <v/>
      </c>
      <c r="B63" s="1" t="str">
        <f>IF(Person3!$B$4+ROW(B61)-1&lt;=Person3!$C$4, Person3!$B$4+ROW(B61)-1, "")</f>
        <v/>
      </c>
      <c r="C63" s="1" t="str">
        <f>IF(Person3!$B$5+ROW(B61)-1&lt;=Person3!$C$5, Person3!$B$5+ROW(B61)-1, "")</f>
        <v/>
      </c>
      <c r="D63" s="1" t="str">
        <f>IF(Person3!$B$6+ROW(B61)-1&lt;=Person3!$C$6, Person3!$B$6+ROW(B61)-1, "")</f>
        <v/>
      </c>
      <c r="E63" s="1" t="str">
        <f>IF(Person3!$B$7+ROW(B61)-1&lt;=Person3!$C$7, Person3!$B$7+ROW(B61)-1, "")</f>
        <v/>
      </c>
      <c r="F63" s="1" t="str">
        <f>IF(Person3!$B$8+ROW(B61)-1&lt;=Person3!$C$8, Person3!$B$8+ROW(B61)-1, "")</f>
        <v/>
      </c>
      <c r="G63" s="1" t="str">
        <f>IF(Person3!$B$9+ROW(B61)-1&lt;=Person3!$C$9, Person3!$B$9+ROW(B61)-1, "")</f>
        <v/>
      </c>
      <c r="H63" s="1" t="str">
        <f>IF(Person3!$B$10+ROW(B61)-1&lt;=Person3!$C$10, Person3!$B$10+ROW(B61)-1, "")</f>
        <v/>
      </c>
      <c r="I63" s="1" t="str">
        <f>IF(Person3!$B$11+ROW(B61)-1&lt;=Person3!$C$11, Person3!$B$11+ROW(B61)-1, "")</f>
        <v/>
      </c>
      <c r="J63" s="1" t="str">
        <f>IF(Person3!$B$12+ROW(B61)-1&lt;=Person3!$C$12, Person3!$B$12+ROW(B61)-1, "")</f>
        <v/>
      </c>
      <c r="K63" s="1" t="str">
        <f>IF(Person3!$B$13+ROW(B61)-1&lt;=Person3!$C$13, Person3!$B$13+ROW(B61)-1, "")</f>
        <v/>
      </c>
      <c r="L63" s="1" t="str">
        <f>IF(Person3!$B$14+ROW(B61)-1&lt;=Person3!$C$14, Person3!$B$14+ROW(B61)-1, "")</f>
        <v/>
      </c>
      <c r="M63" s="1" t="str">
        <f>IF(Person3!$B$15+ROW(B61)-1&lt;=Person3!$C$15, Person3!$B$15+ROW(B61)-1, "")</f>
        <v/>
      </c>
      <c r="N63" s="1" t="str">
        <f>IF(Person3!$B$16+ROW(B61)-1&lt;=Person3!$C$16, Person3!$B$16+ROW(B61)-1, "")</f>
        <v/>
      </c>
      <c r="O63" s="1" t="str">
        <f>IF(Person3!$B$17+ROW(B61)-1&lt;=Person3!$C$17, Person3!$B$17+ROW(B61)-1, "")</f>
        <v/>
      </c>
      <c r="V63" s="1" t="str">
        <f>IF(Person3!$D$3+ROW(A61)-1&lt;=Person3!$E$3, Person3!$D$3+ROW(A61)-1, "")</f>
        <v/>
      </c>
      <c r="W63" s="1" t="str">
        <f>IF(Person3!$D$4+ROW(A61)-1&lt;=Person3!$E$4, Person3!$D$4+ROW(A61)-1, "")</f>
        <v/>
      </c>
      <c r="X63" s="1" t="str">
        <f>IF(Person3!$D$5+ROW(A61)-1&lt;=Person3!$E$5, Person3!$D$5+ROW(A61)-1, "")</f>
        <v/>
      </c>
      <c r="Y63" s="1" t="str">
        <f>IF(Person3!$D$6+ROW(A61)-1&lt;=Person3!$E$6, Person3!$D$6+ROW(A61)-1, "")</f>
        <v/>
      </c>
      <c r="Z63" s="1" t="str">
        <f>IF(Person3!$D$7+ROW(A61)-1&lt;=Person3!$E$7, Person3!$D$7+ROW(A61)-1, "")</f>
        <v/>
      </c>
      <c r="AA63" s="1" t="str">
        <f>IF(Person3!$D$8+ROW(A61)-1&lt;=Person3!$E$8, Person3!$D$8+ROW(A61)-1, "")</f>
        <v/>
      </c>
      <c r="AE63" s="1" t="str">
        <f>IF(Person3!$F$3+ROW(A61)-1&lt;=Person3!$G$3, Person3!$F$3+ROW(A61)-1, "")</f>
        <v/>
      </c>
      <c r="AF63" s="1" t="str">
        <f>IF(Person3!$F$4+ROW(A61)-1&lt;=Person3!$G$4, Person3!$F$4+ROW(A61)-1, "")</f>
        <v/>
      </c>
      <c r="AG63" s="1" t="str">
        <f>IF(Person3!$F$5+ROW(A61)-1&lt;=Person3!$G$5, Person3!$F$5+ROW(A61)-1, "")</f>
        <v/>
      </c>
      <c r="AH63" s="1" t="str">
        <f>IF(Person3!$F$6+ROW(A61)-1&lt;=Person3!$G$6, Person3!$F$6+ROW(A61)-1, "")</f>
        <v/>
      </c>
      <c r="AI63" s="1" t="str">
        <f>IF(Person3!$F$7+ROW(A61)-1&lt;=Person3!$G$7, Person3!$F$7+ROW(A61)-1, "")</f>
        <v/>
      </c>
    </row>
    <row r="64" spans="1:35" x14ac:dyDescent="0.3">
      <c r="A64" s="1" t="str">
        <f>IF(Person3!$B$3+ROW(A62)-1&lt;=Person3!$C$3, Person3!$B$3+ROW(A62)-1, "")</f>
        <v/>
      </c>
      <c r="B64" s="1" t="str">
        <f>IF(Person3!$B$4+ROW(B62)-1&lt;=Person3!$C$4, Person3!$B$4+ROW(B62)-1, "")</f>
        <v/>
      </c>
      <c r="C64" s="1" t="str">
        <f>IF(Person3!$B$5+ROW(B62)-1&lt;=Person3!$C$5, Person3!$B$5+ROW(B62)-1, "")</f>
        <v/>
      </c>
      <c r="D64" s="1" t="str">
        <f>IF(Person3!$B$6+ROW(B62)-1&lt;=Person3!$C$6, Person3!$B$6+ROW(B62)-1, "")</f>
        <v/>
      </c>
      <c r="E64" s="1" t="str">
        <f>IF(Person3!$B$7+ROW(B62)-1&lt;=Person3!$C$7, Person3!$B$7+ROW(B62)-1, "")</f>
        <v/>
      </c>
      <c r="F64" s="1" t="str">
        <f>IF(Person3!$B$8+ROW(B62)-1&lt;=Person3!$C$8, Person3!$B$8+ROW(B62)-1, "")</f>
        <v/>
      </c>
      <c r="G64" s="1" t="str">
        <f>IF(Person3!$B$9+ROW(B62)-1&lt;=Person3!$C$9, Person3!$B$9+ROW(B62)-1, "")</f>
        <v/>
      </c>
      <c r="H64" s="1" t="str">
        <f>IF(Person3!$B$10+ROW(B62)-1&lt;=Person3!$C$10, Person3!$B$10+ROW(B62)-1, "")</f>
        <v/>
      </c>
      <c r="I64" s="1" t="str">
        <f>IF(Person3!$B$11+ROW(B62)-1&lt;=Person3!$C$11, Person3!$B$11+ROW(B62)-1, "")</f>
        <v/>
      </c>
      <c r="J64" s="1" t="str">
        <f>IF(Person3!$B$12+ROW(B62)-1&lt;=Person3!$C$12, Person3!$B$12+ROW(B62)-1, "")</f>
        <v/>
      </c>
      <c r="K64" s="1" t="str">
        <f>IF(Person3!$B$13+ROW(B62)-1&lt;=Person3!$C$13, Person3!$B$13+ROW(B62)-1, "")</f>
        <v/>
      </c>
      <c r="L64" s="1" t="str">
        <f>IF(Person3!$B$14+ROW(B62)-1&lt;=Person3!$C$14, Person3!$B$14+ROW(B62)-1, "")</f>
        <v/>
      </c>
      <c r="M64" s="1" t="str">
        <f>IF(Person3!$B$15+ROW(B62)-1&lt;=Person3!$C$15, Person3!$B$15+ROW(B62)-1, "")</f>
        <v/>
      </c>
      <c r="N64" s="1" t="str">
        <f>IF(Person3!$B$16+ROW(B62)-1&lt;=Person3!$C$16, Person3!$B$16+ROW(B62)-1, "")</f>
        <v/>
      </c>
      <c r="O64" s="1" t="str">
        <f>IF(Person3!$B$17+ROW(B62)-1&lt;=Person3!$C$17, Person3!$B$17+ROW(B62)-1, "")</f>
        <v/>
      </c>
      <c r="V64" s="1" t="str">
        <f>IF(Person3!$D$3+ROW(A62)-1&lt;=Person3!$E$3, Person3!$D$3+ROW(A62)-1, "")</f>
        <v/>
      </c>
      <c r="W64" s="1" t="str">
        <f>IF(Person3!$D$4+ROW(A62)-1&lt;=Person3!$E$4, Person3!$D$4+ROW(A62)-1, "")</f>
        <v/>
      </c>
      <c r="X64" s="1" t="str">
        <f>IF(Person3!$D$5+ROW(A62)-1&lt;=Person3!$E$5, Person3!$D$5+ROW(A62)-1, "")</f>
        <v/>
      </c>
      <c r="Y64" s="1" t="str">
        <f>IF(Person3!$D$6+ROW(A62)-1&lt;=Person3!$E$6, Person3!$D$6+ROW(A62)-1, "")</f>
        <v/>
      </c>
      <c r="Z64" s="1" t="str">
        <f>IF(Person3!$D$7+ROW(A62)-1&lt;=Person3!$E$7, Person3!$D$7+ROW(A62)-1, "")</f>
        <v/>
      </c>
      <c r="AA64" s="1" t="str">
        <f>IF(Person3!$D$8+ROW(A62)-1&lt;=Person3!$E$8, Person3!$D$8+ROW(A62)-1, "")</f>
        <v/>
      </c>
      <c r="AE64" s="1" t="str">
        <f>IF(Person3!$F$3+ROW(A62)-1&lt;=Person3!$G$3, Person3!$F$3+ROW(A62)-1, "")</f>
        <v/>
      </c>
      <c r="AF64" s="1" t="str">
        <f>IF(Person3!$F$4+ROW(A62)-1&lt;=Person3!$G$4, Person3!$F$4+ROW(A62)-1, "")</f>
        <v/>
      </c>
      <c r="AG64" s="1" t="str">
        <f>IF(Person3!$F$5+ROW(A62)-1&lt;=Person3!$G$5, Person3!$F$5+ROW(A62)-1, "")</f>
        <v/>
      </c>
      <c r="AH64" s="1" t="str">
        <f>IF(Person3!$F$6+ROW(A62)-1&lt;=Person3!$G$6, Person3!$F$6+ROW(A62)-1, "")</f>
        <v/>
      </c>
      <c r="AI64" s="1" t="str">
        <f>IF(Person3!$F$7+ROW(A62)-1&lt;=Person3!$G$7, Person3!$F$7+ROW(A62)-1, "")</f>
        <v/>
      </c>
    </row>
    <row r="65" spans="1:35" x14ac:dyDescent="0.3">
      <c r="A65" s="1" t="str">
        <f>IF(Person3!$B$3+ROW(A63)-1&lt;=Person3!$C$3, Person3!$B$3+ROW(A63)-1, "")</f>
        <v/>
      </c>
      <c r="B65" s="1" t="str">
        <f>IF(Person3!$B$4+ROW(B63)-1&lt;=Person3!$C$4, Person3!$B$4+ROW(B63)-1, "")</f>
        <v/>
      </c>
      <c r="C65" s="1" t="str">
        <f>IF(Person3!$B$5+ROW(B63)-1&lt;=Person3!$C$5, Person3!$B$5+ROW(B63)-1, "")</f>
        <v/>
      </c>
      <c r="D65" s="1" t="str">
        <f>IF(Person3!$B$6+ROW(B63)-1&lt;=Person3!$C$6, Person3!$B$6+ROW(B63)-1, "")</f>
        <v/>
      </c>
      <c r="E65" s="1" t="str">
        <f>IF(Person3!$B$7+ROW(B63)-1&lt;=Person3!$C$7, Person3!$B$7+ROW(B63)-1, "")</f>
        <v/>
      </c>
      <c r="F65" s="1" t="str">
        <f>IF(Person3!$B$8+ROW(B63)-1&lt;=Person3!$C$8, Person3!$B$8+ROW(B63)-1, "")</f>
        <v/>
      </c>
      <c r="G65" s="1" t="str">
        <f>IF(Person3!$B$9+ROW(B63)-1&lt;=Person3!$C$9, Person3!$B$9+ROW(B63)-1, "")</f>
        <v/>
      </c>
      <c r="H65" s="1" t="str">
        <f>IF(Person3!$B$10+ROW(B63)-1&lt;=Person3!$C$10, Person3!$B$10+ROW(B63)-1, "")</f>
        <v/>
      </c>
      <c r="I65" s="1" t="str">
        <f>IF(Person3!$B$11+ROW(B63)-1&lt;=Person3!$C$11, Person3!$B$11+ROW(B63)-1, "")</f>
        <v/>
      </c>
      <c r="J65" s="1" t="str">
        <f>IF(Person3!$B$12+ROW(B63)-1&lt;=Person3!$C$12, Person3!$B$12+ROW(B63)-1, "")</f>
        <v/>
      </c>
      <c r="K65" s="1" t="str">
        <f>IF(Person3!$B$13+ROW(B63)-1&lt;=Person3!$C$13, Person3!$B$13+ROW(B63)-1, "")</f>
        <v/>
      </c>
      <c r="L65" s="1" t="str">
        <f>IF(Person3!$B$14+ROW(B63)-1&lt;=Person3!$C$14, Person3!$B$14+ROW(B63)-1, "")</f>
        <v/>
      </c>
      <c r="M65" s="1" t="str">
        <f>IF(Person3!$B$15+ROW(B63)-1&lt;=Person3!$C$15, Person3!$B$15+ROW(B63)-1, "")</f>
        <v/>
      </c>
      <c r="N65" s="1" t="str">
        <f>IF(Person3!$B$16+ROW(B63)-1&lt;=Person3!$C$16, Person3!$B$16+ROW(B63)-1, "")</f>
        <v/>
      </c>
      <c r="O65" s="1" t="str">
        <f>IF(Person3!$B$17+ROW(B63)-1&lt;=Person3!$C$17, Person3!$B$17+ROW(B63)-1, "")</f>
        <v/>
      </c>
      <c r="V65" s="1" t="str">
        <f>IF(Person3!$D$3+ROW(A63)-1&lt;=Person3!$E$3, Person3!$D$3+ROW(A63)-1, "")</f>
        <v/>
      </c>
      <c r="W65" s="1" t="str">
        <f>IF(Person3!$D$4+ROW(A63)-1&lt;=Person3!$E$4, Person3!$D$4+ROW(A63)-1, "")</f>
        <v/>
      </c>
      <c r="X65" s="1" t="str">
        <f>IF(Person3!$D$5+ROW(A63)-1&lt;=Person3!$E$5, Person3!$D$5+ROW(A63)-1, "")</f>
        <v/>
      </c>
      <c r="Y65" s="1" t="str">
        <f>IF(Person3!$D$6+ROW(A63)-1&lt;=Person3!$E$6, Person3!$D$6+ROW(A63)-1, "")</f>
        <v/>
      </c>
      <c r="Z65" s="1" t="str">
        <f>IF(Person3!$D$7+ROW(A63)-1&lt;=Person3!$E$7, Person3!$D$7+ROW(A63)-1, "")</f>
        <v/>
      </c>
      <c r="AA65" s="1" t="str">
        <f>IF(Person3!$D$8+ROW(A63)-1&lt;=Person3!$E$8, Person3!$D$8+ROW(A63)-1, "")</f>
        <v/>
      </c>
      <c r="AE65" s="1" t="str">
        <f>IF(Person3!$F$3+ROW(A63)-1&lt;=Person3!$G$3, Person3!$F$3+ROW(A63)-1, "")</f>
        <v/>
      </c>
      <c r="AF65" s="1" t="str">
        <f>IF(Person3!$F$4+ROW(A63)-1&lt;=Person3!$G$4, Person3!$F$4+ROW(A63)-1, "")</f>
        <v/>
      </c>
      <c r="AG65" s="1" t="str">
        <f>IF(Person3!$F$5+ROW(A63)-1&lt;=Person3!$G$5, Person3!$F$5+ROW(A63)-1, "")</f>
        <v/>
      </c>
      <c r="AH65" s="1" t="str">
        <f>IF(Person3!$F$6+ROW(A63)-1&lt;=Person3!$G$6, Person3!$F$6+ROW(A63)-1, "")</f>
        <v/>
      </c>
      <c r="AI65" s="1" t="str">
        <f>IF(Person3!$F$7+ROW(A63)-1&lt;=Person3!$G$7, Person3!$F$7+ROW(A63)-1, "")</f>
        <v/>
      </c>
    </row>
    <row r="66" spans="1:35" x14ac:dyDescent="0.3">
      <c r="A66" s="1" t="str">
        <f>IF(Person3!$B$3+ROW(A64)-1&lt;=Person3!$C$3, Person3!$B$3+ROW(A64)-1, "")</f>
        <v/>
      </c>
      <c r="B66" s="1" t="str">
        <f>IF(Person3!$B$4+ROW(B64)-1&lt;=Person3!$C$4, Person3!$B$4+ROW(B64)-1, "")</f>
        <v/>
      </c>
      <c r="C66" s="1" t="str">
        <f>IF(Person3!$B$5+ROW(B64)-1&lt;=Person3!$C$5, Person3!$B$5+ROW(B64)-1, "")</f>
        <v/>
      </c>
      <c r="D66" s="1" t="str">
        <f>IF(Person3!$B$6+ROW(B64)-1&lt;=Person3!$C$6, Person3!$B$6+ROW(B64)-1, "")</f>
        <v/>
      </c>
      <c r="E66" s="1" t="str">
        <f>IF(Person3!$B$7+ROW(B64)-1&lt;=Person3!$C$7, Person3!$B$7+ROW(B64)-1, "")</f>
        <v/>
      </c>
      <c r="F66" s="1" t="str">
        <f>IF(Person3!$B$8+ROW(B64)-1&lt;=Person3!$C$8, Person3!$B$8+ROW(B64)-1, "")</f>
        <v/>
      </c>
      <c r="G66" s="1" t="str">
        <f>IF(Person3!$B$9+ROW(B64)-1&lt;=Person3!$C$9, Person3!$B$9+ROW(B64)-1, "")</f>
        <v/>
      </c>
      <c r="H66" s="1" t="str">
        <f>IF(Person3!$B$10+ROW(B64)-1&lt;=Person3!$C$10, Person3!$B$10+ROW(B64)-1, "")</f>
        <v/>
      </c>
      <c r="I66" s="1" t="str">
        <f>IF(Person3!$B$11+ROW(B64)-1&lt;=Person3!$C$11, Person3!$B$11+ROW(B64)-1, "")</f>
        <v/>
      </c>
      <c r="J66" s="1" t="str">
        <f>IF(Person3!$B$12+ROW(B64)-1&lt;=Person3!$C$12, Person3!$B$12+ROW(B64)-1, "")</f>
        <v/>
      </c>
      <c r="K66" s="1" t="str">
        <f>IF(Person3!$B$13+ROW(B64)-1&lt;=Person3!$C$13, Person3!$B$13+ROW(B64)-1, "")</f>
        <v/>
      </c>
      <c r="L66" s="1" t="str">
        <f>IF(Person3!$B$14+ROW(B64)-1&lt;=Person3!$C$14, Person3!$B$14+ROW(B64)-1, "")</f>
        <v/>
      </c>
      <c r="M66" s="1" t="str">
        <f>IF(Person3!$B$15+ROW(B64)-1&lt;=Person3!$C$15, Person3!$B$15+ROW(B64)-1, "")</f>
        <v/>
      </c>
      <c r="N66" s="1" t="str">
        <f>IF(Person3!$B$16+ROW(B64)-1&lt;=Person3!$C$16, Person3!$B$16+ROW(B64)-1, "")</f>
        <v/>
      </c>
      <c r="O66" s="1" t="str">
        <f>IF(Person3!$B$17+ROW(B64)-1&lt;=Person3!$C$17, Person3!$B$17+ROW(B64)-1, "")</f>
        <v/>
      </c>
      <c r="V66" s="1" t="str">
        <f>IF(Person3!$D$3+ROW(A64)-1&lt;=Person3!$E$3, Person3!$D$3+ROW(A64)-1, "")</f>
        <v/>
      </c>
      <c r="W66" s="1" t="str">
        <f>IF(Person3!$D$4+ROW(A64)-1&lt;=Person3!$E$4, Person3!$D$4+ROW(A64)-1, "")</f>
        <v/>
      </c>
      <c r="X66" s="1" t="str">
        <f>IF(Person3!$D$5+ROW(A64)-1&lt;=Person3!$E$5, Person3!$D$5+ROW(A64)-1, "")</f>
        <v/>
      </c>
      <c r="Y66" s="1" t="str">
        <f>IF(Person3!$D$6+ROW(A64)-1&lt;=Person3!$E$6, Person3!$D$6+ROW(A64)-1, "")</f>
        <v/>
      </c>
      <c r="Z66" s="1" t="str">
        <f>IF(Person3!$D$7+ROW(A64)-1&lt;=Person3!$E$7, Person3!$D$7+ROW(A64)-1, "")</f>
        <v/>
      </c>
      <c r="AA66" s="1" t="str">
        <f>IF(Person3!$D$8+ROW(A64)-1&lt;=Person3!$E$8, Person3!$D$8+ROW(A64)-1, "")</f>
        <v/>
      </c>
      <c r="AE66" s="1" t="str">
        <f>IF(Person3!$F$3+ROW(A64)-1&lt;=Person3!$G$3, Person3!$F$3+ROW(A64)-1, "")</f>
        <v/>
      </c>
      <c r="AF66" s="1" t="str">
        <f>IF(Person3!$F$4+ROW(A64)-1&lt;=Person3!$G$4, Person3!$F$4+ROW(A64)-1, "")</f>
        <v/>
      </c>
      <c r="AG66" s="1" t="str">
        <f>IF(Person3!$F$5+ROW(A64)-1&lt;=Person3!$G$5, Person3!$F$5+ROW(A64)-1, "")</f>
        <v/>
      </c>
      <c r="AH66" s="1" t="str">
        <f>IF(Person3!$F$6+ROW(A64)-1&lt;=Person3!$G$6, Person3!$F$6+ROW(A64)-1, "")</f>
        <v/>
      </c>
      <c r="AI66" s="1" t="str">
        <f>IF(Person3!$F$7+ROW(A64)-1&lt;=Person3!$G$7, Person3!$F$7+ROW(A64)-1, "")</f>
        <v/>
      </c>
    </row>
    <row r="67" spans="1:35" x14ac:dyDescent="0.3">
      <c r="A67" s="1" t="str">
        <f>IF(Person3!$B$3+ROW(A65)-1&lt;=Person3!$C$3, Person3!$B$3+ROW(A65)-1, "")</f>
        <v/>
      </c>
      <c r="B67" s="1" t="str">
        <f>IF(Person3!$B$4+ROW(B65)-1&lt;=Person3!$C$4, Person3!$B$4+ROW(B65)-1, "")</f>
        <v/>
      </c>
      <c r="C67" s="1" t="str">
        <f>IF(Person3!$B$5+ROW(B65)-1&lt;=Person3!$C$5, Person3!$B$5+ROW(B65)-1, "")</f>
        <v/>
      </c>
      <c r="D67" s="1" t="str">
        <f>IF(Person3!$B$6+ROW(B65)-1&lt;=Person3!$C$6, Person3!$B$6+ROW(B65)-1, "")</f>
        <v/>
      </c>
      <c r="E67" s="1" t="str">
        <f>IF(Person3!$B$7+ROW(B65)-1&lt;=Person3!$C$7, Person3!$B$7+ROW(B65)-1, "")</f>
        <v/>
      </c>
      <c r="F67" s="1" t="str">
        <f>IF(Person3!$B$8+ROW(B65)-1&lt;=Person3!$C$8, Person3!$B$8+ROW(B65)-1, "")</f>
        <v/>
      </c>
      <c r="G67" s="1" t="str">
        <f>IF(Person3!$B$9+ROW(B65)-1&lt;=Person3!$C$9, Person3!$B$9+ROW(B65)-1, "")</f>
        <v/>
      </c>
      <c r="H67" s="1" t="str">
        <f>IF(Person3!$B$10+ROW(B65)-1&lt;=Person3!$C$10, Person3!$B$10+ROW(B65)-1, "")</f>
        <v/>
      </c>
      <c r="I67" s="1" t="str">
        <f>IF(Person3!$B$11+ROW(B65)-1&lt;=Person3!$C$11, Person3!$B$11+ROW(B65)-1, "")</f>
        <v/>
      </c>
      <c r="J67" s="1" t="str">
        <f>IF(Person3!$B$12+ROW(B65)-1&lt;=Person3!$C$12, Person3!$B$12+ROW(B65)-1, "")</f>
        <v/>
      </c>
      <c r="K67" s="1" t="str">
        <f>IF(Person3!$B$13+ROW(B65)-1&lt;=Person3!$C$13, Person3!$B$13+ROW(B65)-1, "")</f>
        <v/>
      </c>
      <c r="L67" s="1" t="str">
        <f>IF(Person3!$B$14+ROW(B65)-1&lt;=Person3!$C$14, Person3!$B$14+ROW(B65)-1, "")</f>
        <v/>
      </c>
      <c r="M67" s="1" t="str">
        <f>IF(Person3!$B$15+ROW(B65)-1&lt;=Person3!$C$15, Person3!$B$15+ROW(B65)-1, "")</f>
        <v/>
      </c>
      <c r="N67" s="1" t="str">
        <f>IF(Person3!$B$16+ROW(B65)-1&lt;=Person3!$C$16, Person3!$B$16+ROW(B65)-1, "")</f>
        <v/>
      </c>
      <c r="O67" s="1" t="str">
        <f>IF(Person3!$B$17+ROW(B65)-1&lt;=Person3!$C$17, Person3!$B$17+ROW(B65)-1, "")</f>
        <v/>
      </c>
      <c r="V67" s="1" t="str">
        <f>IF(Person3!$D$3+ROW(A65)-1&lt;=Person3!$E$3, Person3!$D$3+ROW(A65)-1, "")</f>
        <v/>
      </c>
      <c r="W67" s="1" t="str">
        <f>IF(Person3!$D$4+ROW(A65)-1&lt;=Person3!$E$4, Person3!$D$4+ROW(A65)-1, "")</f>
        <v/>
      </c>
      <c r="X67" s="1" t="str">
        <f>IF(Person3!$D$5+ROW(A65)-1&lt;=Person3!$E$5, Person3!$D$5+ROW(A65)-1, "")</f>
        <v/>
      </c>
      <c r="Y67" s="1" t="str">
        <f>IF(Person3!$D$6+ROW(A65)-1&lt;=Person3!$E$6, Person3!$D$6+ROW(A65)-1, "")</f>
        <v/>
      </c>
      <c r="Z67" s="1" t="str">
        <f>IF(Person3!$D$7+ROW(A65)-1&lt;=Person3!$E$7, Person3!$D$7+ROW(A65)-1, "")</f>
        <v/>
      </c>
      <c r="AA67" s="1" t="str">
        <f>IF(Person3!$D$8+ROW(A65)-1&lt;=Person3!$E$8, Person3!$D$8+ROW(A65)-1, "")</f>
        <v/>
      </c>
      <c r="AE67" s="1" t="str">
        <f>IF(Person3!$F$3+ROW(A65)-1&lt;=Person3!$G$3, Person3!$F$3+ROW(A65)-1, "")</f>
        <v/>
      </c>
      <c r="AF67" s="1" t="str">
        <f>IF(Person3!$F$4+ROW(A65)-1&lt;=Person3!$G$4, Person3!$F$4+ROW(A65)-1, "")</f>
        <v/>
      </c>
      <c r="AG67" s="1" t="str">
        <f>IF(Person3!$F$5+ROW(A65)-1&lt;=Person3!$G$5, Person3!$F$5+ROW(A65)-1, "")</f>
        <v/>
      </c>
      <c r="AH67" s="1" t="str">
        <f>IF(Person3!$F$6+ROW(A65)-1&lt;=Person3!$G$6, Person3!$F$6+ROW(A65)-1, "")</f>
        <v/>
      </c>
      <c r="AI67" s="1" t="str">
        <f>IF(Person3!$F$7+ROW(A65)-1&lt;=Person3!$G$7, Person3!$F$7+ROW(A65)-1, "")</f>
        <v/>
      </c>
    </row>
    <row r="68" spans="1:35" x14ac:dyDescent="0.3">
      <c r="A68" s="1" t="str">
        <f>IF(Person3!$B$3+ROW(A66)-1&lt;=Person3!$C$3, Person3!$B$3+ROW(A66)-1, "")</f>
        <v/>
      </c>
      <c r="B68" s="1" t="str">
        <f>IF(Person3!$B$4+ROW(B66)-1&lt;=Person3!$C$4, Person3!$B$4+ROW(B66)-1, "")</f>
        <v/>
      </c>
      <c r="C68" s="1" t="str">
        <f>IF(Person3!$B$5+ROW(B66)-1&lt;=Person3!$C$5, Person3!$B$5+ROW(B66)-1, "")</f>
        <v/>
      </c>
      <c r="D68" s="1" t="str">
        <f>IF(Person3!$B$6+ROW(B66)-1&lt;=Person3!$C$6, Person3!$B$6+ROW(B66)-1, "")</f>
        <v/>
      </c>
      <c r="E68" s="1" t="str">
        <f>IF(Person3!$B$7+ROW(B66)-1&lt;=Person3!$C$7, Person3!$B$7+ROW(B66)-1, "")</f>
        <v/>
      </c>
      <c r="F68" s="1" t="str">
        <f>IF(Person3!$B$8+ROW(B66)-1&lt;=Person3!$C$8, Person3!$B$8+ROW(B66)-1, "")</f>
        <v/>
      </c>
      <c r="G68" s="1" t="str">
        <f>IF(Person3!$B$9+ROW(B66)-1&lt;=Person3!$C$9, Person3!$B$9+ROW(B66)-1, "")</f>
        <v/>
      </c>
      <c r="H68" s="1" t="str">
        <f>IF(Person3!$B$10+ROW(B66)-1&lt;=Person3!$C$10, Person3!$B$10+ROW(B66)-1, "")</f>
        <v/>
      </c>
      <c r="I68" s="1" t="str">
        <f>IF(Person3!$B$11+ROW(B66)-1&lt;=Person3!$C$11, Person3!$B$11+ROW(B66)-1, "")</f>
        <v/>
      </c>
      <c r="J68" s="1" t="str">
        <f>IF(Person3!$B$12+ROW(B66)-1&lt;=Person3!$C$12, Person3!$B$12+ROW(B66)-1, "")</f>
        <v/>
      </c>
      <c r="K68" s="1" t="str">
        <f>IF(Person3!$B$13+ROW(B66)-1&lt;=Person3!$C$13, Person3!$B$13+ROW(B66)-1, "")</f>
        <v/>
      </c>
      <c r="L68" s="1" t="str">
        <f>IF(Person3!$B$14+ROW(B66)-1&lt;=Person3!$C$14, Person3!$B$14+ROW(B66)-1, "")</f>
        <v/>
      </c>
      <c r="M68" s="1" t="str">
        <f>IF(Person3!$B$15+ROW(B66)-1&lt;=Person3!$C$15, Person3!$B$15+ROW(B66)-1, "")</f>
        <v/>
      </c>
      <c r="N68" s="1" t="str">
        <f>IF(Person3!$B$16+ROW(B66)-1&lt;=Person3!$C$16, Person3!$B$16+ROW(B66)-1, "")</f>
        <v/>
      </c>
      <c r="O68" s="1" t="str">
        <f>IF(Person3!$B$17+ROW(B66)-1&lt;=Person3!$C$17, Person3!$B$17+ROW(B66)-1, "")</f>
        <v/>
      </c>
      <c r="V68" s="1" t="str">
        <f>IF(Person3!$D$3+ROW(A66)-1&lt;=Person3!$E$3, Person3!$D$3+ROW(A66)-1, "")</f>
        <v/>
      </c>
      <c r="W68" s="1" t="str">
        <f>IF(Person3!$D$4+ROW(A66)-1&lt;=Person3!$E$4, Person3!$D$4+ROW(A66)-1, "")</f>
        <v/>
      </c>
      <c r="X68" s="1" t="str">
        <f>IF(Person3!$D$5+ROW(A66)-1&lt;=Person3!$E$5, Person3!$D$5+ROW(A66)-1, "")</f>
        <v/>
      </c>
      <c r="Y68" s="1" t="str">
        <f>IF(Person3!$D$6+ROW(A66)-1&lt;=Person3!$E$6, Person3!$D$6+ROW(A66)-1, "")</f>
        <v/>
      </c>
      <c r="Z68" s="1" t="str">
        <f>IF(Person3!$D$7+ROW(A66)-1&lt;=Person3!$E$7, Person3!$D$7+ROW(A66)-1, "")</f>
        <v/>
      </c>
      <c r="AA68" s="1" t="str">
        <f>IF(Person3!$D$8+ROW(A66)-1&lt;=Person3!$E$8, Person3!$D$8+ROW(A66)-1, "")</f>
        <v/>
      </c>
      <c r="AE68" s="1" t="str">
        <f>IF(Person3!$F$3+ROW(A66)-1&lt;=Person3!$G$3, Person3!$F$3+ROW(A66)-1, "")</f>
        <v/>
      </c>
      <c r="AF68" s="1" t="str">
        <f>IF(Person3!$F$4+ROW(A66)-1&lt;=Person3!$G$4, Person3!$F$4+ROW(A66)-1, "")</f>
        <v/>
      </c>
      <c r="AG68" s="1" t="str">
        <f>IF(Person3!$F$5+ROW(A66)-1&lt;=Person3!$G$5, Person3!$F$5+ROW(A66)-1, "")</f>
        <v/>
      </c>
      <c r="AH68" s="1" t="str">
        <f>IF(Person3!$F$6+ROW(A66)-1&lt;=Person3!$G$6, Person3!$F$6+ROW(A66)-1, "")</f>
        <v/>
      </c>
      <c r="AI68" s="1" t="str">
        <f>IF(Person3!$F$7+ROW(A66)-1&lt;=Person3!$G$7, Person3!$F$7+ROW(A66)-1, "")</f>
        <v/>
      </c>
    </row>
    <row r="69" spans="1:35" x14ac:dyDescent="0.3">
      <c r="A69" s="1" t="str">
        <f>IF(Person3!$B$3+ROW(A67)-1&lt;=Person3!$C$3, Person3!$B$3+ROW(A67)-1, "")</f>
        <v/>
      </c>
      <c r="B69" s="1" t="str">
        <f>IF(Person3!$B$4+ROW(B67)-1&lt;=Person3!$C$4, Person3!$B$4+ROW(B67)-1, "")</f>
        <v/>
      </c>
      <c r="C69" s="1" t="str">
        <f>IF(Person3!$B$5+ROW(B67)-1&lt;=Person3!$C$5, Person3!$B$5+ROW(B67)-1, "")</f>
        <v/>
      </c>
      <c r="D69" s="1" t="str">
        <f>IF(Person3!$B$6+ROW(B67)-1&lt;=Person3!$C$6, Person3!$B$6+ROW(B67)-1, "")</f>
        <v/>
      </c>
      <c r="E69" s="1" t="str">
        <f>IF(Person3!$B$7+ROW(B67)-1&lt;=Person3!$C$7, Person3!$B$7+ROW(B67)-1, "")</f>
        <v/>
      </c>
      <c r="F69" s="1" t="str">
        <f>IF(Person3!$B$8+ROW(B67)-1&lt;=Person3!$C$8, Person3!$B$8+ROW(B67)-1, "")</f>
        <v/>
      </c>
      <c r="G69" s="1" t="str">
        <f>IF(Person3!$B$9+ROW(B67)-1&lt;=Person3!$C$9, Person3!$B$9+ROW(B67)-1, "")</f>
        <v/>
      </c>
      <c r="H69" s="1" t="str">
        <f>IF(Person3!$B$10+ROW(B67)-1&lt;=Person3!$C$10, Person3!$B$10+ROW(B67)-1, "")</f>
        <v/>
      </c>
      <c r="I69" s="1" t="str">
        <f>IF(Person3!$B$11+ROW(B67)-1&lt;=Person3!$C$11, Person3!$B$11+ROW(B67)-1, "")</f>
        <v/>
      </c>
      <c r="J69" s="1" t="str">
        <f>IF(Person3!$B$12+ROW(B67)-1&lt;=Person3!$C$12, Person3!$B$12+ROW(B67)-1, "")</f>
        <v/>
      </c>
      <c r="K69" s="1" t="str">
        <f>IF(Person3!$B$13+ROW(B67)-1&lt;=Person3!$C$13, Person3!$B$13+ROW(B67)-1, "")</f>
        <v/>
      </c>
      <c r="L69" s="1" t="str">
        <f>IF(Person3!$B$14+ROW(B67)-1&lt;=Person3!$C$14, Person3!$B$14+ROW(B67)-1, "")</f>
        <v/>
      </c>
      <c r="M69" s="1" t="str">
        <f>IF(Person3!$B$15+ROW(B67)-1&lt;=Person3!$C$15, Person3!$B$15+ROW(B67)-1, "")</f>
        <v/>
      </c>
      <c r="N69" s="1" t="str">
        <f>IF(Person3!$B$16+ROW(B67)-1&lt;=Person3!$C$16, Person3!$B$16+ROW(B67)-1, "")</f>
        <v/>
      </c>
      <c r="O69" s="1" t="str">
        <f>IF(Person3!$B$17+ROW(B67)-1&lt;=Person3!$C$17, Person3!$B$17+ROW(B67)-1, "")</f>
        <v/>
      </c>
      <c r="V69" s="1" t="str">
        <f>IF(Person3!$D$3+ROW(A67)-1&lt;=Person3!$E$3, Person3!$D$3+ROW(A67)-1, "")</f>
        <v/>
      </c>
      <c r="W69" s="1" t="str">
        <f>IF(Person3!$D$4+ROW(A67)-1&lt;=Person3!$E$4, Person3!$D$4+ROW(A67)-1, "")</f>
        <v/>
      </c>
      <c r="X69" s="1" t="str">
        <f>IF(Person3!$D$5+ROW(A67)-1&lt;=Person3!$E$5, Person3!$D$5+ROW(A67)-1, "")</f>
        <v/>
      </c>
      <c r="Y69" s="1" t="str">
        <f>IF(Person3!$D$6+ROW(A67)-1&lt;=Person3!$E$6, Person3!$D$6+ROW(A67)-1, "")</f>
        <v/>
      </c>
      <c r="Z69" s="1" t="str">
        <f>IF(Person3!$D$7+ROW(A67)-1&lt;=Person3!$E$7, Person3!$D$7+ROW(A67)-1, "")</f>
        <v/>
      </c>
      <c r="AA69" s="1" t="str">
        <f>IF(Person3!$D$8+ROW(A67)-1&lt;=Person3!$E$8, Person3!$D$8+ROW(A67)-1, "")</f>
        <v/>
      </c>
      <c r="AE69" s="1" t="str">
        <f>IF(Person3!$F$3+ROW(A67)-1&lt;=Person3!$G$3, Person3!$F$3+ROW(A67)-1, "")</f>
        <v/>
      </c>
      <c r="AF69" s="1" t="str">
        <f>IF(Person3!$F$4+ROW(A67)-1&lt;=Person3!$G$4, Person3!$F$4+ROW(A67)-1, "")</f>
        <v/>
      </c>
      <c r="AG69" s="1" t="str">
        <f>IF(Person3!$F$5+ROW(A67)-1&lt;=Person3!$G$5, Person3!$F$5+ROW(A67)-1, "")</f>
        <v/>
      </c>
      <c r="AH69" s="1" t="str">
        <f>IF(Person3!$F$6+ROW(A67)-1&lt;=Person3!$G$6, Person3!$F$6+ROW(A67)-1, "")</f>
        <v/>
      </c>
      <c r="AI69" s="1" t="str">
        <f>IF(Person3!$F$7+ROW(A67)-1&lt;=Person3!$G$7, Person3!$F$7+ROW(A67)-1, "")</f>
        <v/>
      </c>
    </row>
    <row r="70" spans="1:35" x14ac:dyDescent="0.3">
      <c r="A70" s="1" t="str">
        <f>IF(Person3!$B$3+ROW(A68)-1&lt;=Person3!$C$3, Person3!$B$3+ROW(A68)-1, "")</f>
        <v/>
      </c>
      <c r="B70" s="1" t="str">
        <f>IF(Person3!$B$4+ROW(B68)-1&lt;=Person3!$C$4, Person3!$B$4+ROW(B68)-1, "")</f>
        <v/>
      </c>
      <c r="C70" s="1" t="str">
        <f>IF(Person3!$B$5+ROW(B68)-1&lt;=Person3!$C$5, Person3!$B$5+ROW(B68)-1, "")</f>
        <v/>
      </c>
      <c r="D70" s="1" t="str">
        <f>IF(Person3!$B$6+ROW(B68)-1&lt;=Person3!$C$6, Person3!$B$6+ROW(B68)-1, "")</f>
        <v/>
      </c>
      <c r="E70" s="1" t="str">
        <f>IF(Person3!$B$7+ROW(B68)-1&lt;=Person3!$C$7, Person3!$B$7+ROW(B68)-1, "")</f>
        <v/>
      </c>
      <c r="F70" s="1" t="str">
        <f>IF(Person3!$B$8+ROW(B68)-1&lt;=Person3!$C$8, Person3!$B$8+ROW(B68)-1, "")</f>
        <v/>
      </c>
      <c r="G70" s="1" t="str">
        <f>IF(Person3!$B$9+ROW(B68)-1&lt;=Person3!$C$9, Person3!$B$9+ROW(B68)-1, "")</f>
        <v/>
      </c>
      <c r="H70" s="1" t="str">
        <f>IF(Person3!$B$10+ROW(B68)-1&lt;=Person3!$C$10, Person3!$B$10+ROW(B68)-1, "")</f>
        <v/>
      </c>
      <c r="I70" s="1" t="str">
        <f>IF(Person3!$B$11+ROW(B68)-1&lt;=Person3!$C$11, Person3!$B$11+ROW(B68)-1, "")</f>
        <v/>
      </c>
      <c r="J70" s="1" t="str">
        <f>IF(Person3!$B$12+ROW(B68)-1&lt;=Person3!$C$12, Person3!$B$12+ROW(B68)-1, "")</f>
        <v/>
      </c>
      <c r="K70" s="1" t="str">
        <f>IF(Person3!$B$13+ROW(B68)-1&lt;=Person3!$C$13, Person3!$B$13+ROW(B68)-1, "")</f>
        <v/>
      </c>
      <c r="L70" s="1" t="str">
        <f>IF(Person3!$B$14+ROW(B68)-1&lt;=Person3!$C$14, Person3!$B$14+ROW(B68)-1, "")</f>
        <v/>
      </c>
      <c r="M70" s="1" t="str">
        <f>IF(Person3!$B$15+ROW(B68)-1&lt;=Person3!$C$15, Person3!$B$15+ROW(B68)-1, "")</f>
        <v/>
      </c>
      <c r="N70" s="1" t="str">
        <f>IF(Person3!$B$16+ROW(B68)-1&lt;=Person3!$C$16, Person3!$B$16+ROW(B68)-1, "")</f>
        <v/>
      </c>
      <c r="O70" s="1" t="str">
        <f>IF(Person3!$B$17+ROW(B68)-1&lt;=Person3!$C$17, Person3!$B$17+ROW(B68)-1, "")</f>
        <v/>
      </c>
      <c r="V70" s="1" t="str">
        <f>IF(Person3!$D$3+ROW(A68)-1&lt;=Person3!$E$3, Person3!$D$3+ROW(A68)-1, "")</f>
        <v/>
      </c>
      <c r="W70" s="1" t="str">
        <f>IF(Person3!$D$4+ROW(A68)-1&lt;=Person3!$E$4, Person3!$D$4+ROW(A68)-1, "")</f>
        <v/>
      </c>
      <c r="X70" s="1" t="str">
        <f>IF(Person3!$D$5+ROW(A68)-1&lt;=Person3!$E$5, Person3!$D$5+ROW(A68)-1, "")</f>
        <v/>
      </c>
      <c r="Y70" s="1" t="str">
        <f>IF(Person3!$D$6+ROW(A68)-1&lt;=Person3!$E$6, Person3!$D$6+ROW(A68)-1, "")</f>
        <v/>
      </c>
      <c r="Z70" s="1" t="str">
        <f>IF(Person3!$D$7+ROW(A68)-1&lt;=Person3!$E$7, Person3!$D$7+ROW(A68)-1, "")</f>
        <v/>
      </c>
      <c r="AA70" s="1" t="str">
        <f>IF(Person3!$D$8+ROW(A68)-1&lt;=Person3!$E$8, Person3!$D$8+ROW(A68)-1, "")</f>
        <v/>
      </c>
      <c r="AE70" s="1" t="str">
        <f>IF(Person3!$F$3+ROW(A68)-1&lt;=Person3!$G$3, Person3!$F$3+ROW(A68)-1, "")</f>
        <v/>
      </c>
      <c r="AF70" s="1" t="str">
        <f>IF(Person3!$F$4+ROW(A68)-1&lt;=Person3!$G$4, Person3!$F$4+ROW(A68)-1, "")</f>
        <v/>
      </c>
      <c r="AG70" s="1" t="str">
        <f>IF(Person3!$F$5+ROW(A68)-1&lt;=Person3!$G$5, Person3!$F$5+ROW(A68)-1, "")</f>
        <v/>
      </c>
      <c r="AH70" s="1" t="str">
        <f>IF(Person3!$F$6+ROW(A68)-1&lt;=Person3!$G$6, Person3!$F$6+ROW(A68)-1, "")</f>
        <v/>
      </c>
      <c r="AI70" s="1" t="str">
        <f>IF(Person3!$F$7+ROW(A68)-1&lt;=Person3!$G$7, Person3!$F$7+ROW(A68)-1, "")</f>
        <v/>
      </c>
    </row>
    <row r="71" spans="1:35" x14ac:dyDescent="0.3">
      <c r="A71" s="1" t="str">
        <f>IF(Person3!$B$3+ROW(A69)-1&lt;=Person3!$C$3, Person3!$B$3+ROW(A69)-1, "")</f>
        <v/>
      </c>
      <c r="B71" s="1" t="str">
        <f>IF(Person3!$B$4+ROW(B69)-1&lt;=Person3!$C$4, Person3!$B$4+ROW(B69)-1, "")</f>
        <v/>
      </c>
      <c r="C71" s="1" t="str">
        <f>IF(Person3!$B$5+ROW(B69)-1&lt;=Person3!$C$5, Person3!$B$5+ROW(B69)-1, "")</f>
        <v/>
      </c>
      <c r="D71" s="1" t="str">
        <f>IF(Person3!$B$6+ROW(B69)-1&lt;=Person3!$C$6, Person3!$B$6+ROW(B69)-1, "")</f>
        <v/>
      </c>
      <c r="E71" s="1" t="str">
        <f>IF(Person3!$B$7+ROW(B69)-1&lt;=Person3!$C$7, Person3!$B$7+ROW(B69)-1, "")</f>
        <v/>
      </c>
      <c r="F71" s="1" t="str">
        <f>IF(Person3!$B$8+ROW(B69)-1&lt;=Person3!$C$8, Person3!$B$8+ROW(B69)-1, "")</f>
        <v/>
      </c>
      <c r="G71" s="1" t="str">
        <f>IF(Person3!$B$9+ROW(B69)-1&lt;=Person3!$C$9, Person3!$B$9+ROW(B69)-1, "")</f>
        <v/>
      </c>
      <c r="H71" s="1" t="str">
        <f>IF(Person3!$B$10+ROW(B69)-1&lt;=Person3!$C$10, Person3!$B$10+ROW(B69)-1, "")</f>
        <v/>
      </c>
      <c r="I71" s="1" t="str">
        <f>IF(Person3!$B$11+ROW(B69)-1&lt;=Person3!$C$11, Person3!$B$11+ROW(B69)-1, "")</f>
        <v/>
      </c>
      <c r="J71" s="1" t="str">
        <f>IF(Person3!$B$12+ROW(B69)-1&lt;=Person3!$C$12, Person3!$B$12+ROW(B69)-1, "")</f>
        <v/>
      </c>
      <c r="K71" s="1" t="str">
        <f>IF(Person3!$B$13+ROW(B69)-1&lt;=Person3!$C$13, Person3!$B$13+ROW(B69)-1, "")</f>
        <v/>
      </c>
      <c r="L71" s="1" t="str">
        <f>IF(Person3!$B$14+ROW(B69)-1&lt;=Person3!$C$14, Person3!$B$14+ROW(B69)-1, "")</f>
        <v/>
      </c>
      <c r="M71" s="1" t="str">
        <f>IF(Person3!$B$15+ROW(B69)-1&lt;=Person3!$C$15, Person3!$B$15+ROW(B69)-1, "")</f>
        <v/>
      </c>
      <c r="N71" s="1" t="str">
        <f>IF(Person3!$B$16+ROW(B69)-1&lt;=Person3!$C$16, Person3!$B$16+ROW(B69)-1, "")</f>
        <v/>
      </c>
      <c r="O71" s="1" t="str">
        <f>IF(Person3!$B$17+ROW(B69)-1&lt;=Person3!$C$17, Person3!$B$17+ROW(B69)-1, "")</f>
        <v/>
      </c>
      <c r="V71" s="1" t="str">
        <f>IF(Person3!$D$3+ROW(A69)-1&lt;=Person3!$E$3, Person3!$D$3+ROW(A69)-1, "")</f>
        <v/>
      </c>
      <c r="W71" s="1" t="str">
        <f>IF(Person3!$D$4+ROW(A69)-1&lt;=Person3!$E$4, Person3!$D$4+ROW(A69)-1, "")</f>
        <v/>
      </c>
      <c r="X71" s="1" t="str">
        <f>IF(Person3!$D$5+ROW(A69)-1&lt;=Person3!$E$5, Person3!$D$5+ROW(A69)-1, "")</f>
        <v/>
      </c>
      <c r="Y71" s="1" t="str">
        <f>IF(Person3!$D$6+ROW(A69)-1&lt;=Person3!$E$6, Person3!$D$6+ROW(A69)-1, "")</f>
        <v/>
      </c>
      <c r="Z71" s="1" t="str">
        <f>IF(Person3!$D$7+ROW(A69)-1&lt;=Person3!$E$7, Person3!$D$7+ROW(A69)-1, "")</f>
        <v/>
      </c>
      <c r="AA71" s="1" t="str">
        <f>IF(Person3!$D$8+ROW(A69)-1&lt;=Person3!$E$8, Person3!$D$8+ROW(A69)-1, "")</f>
        <v/>
      </c>
      <c r="AE71" s="1" t="str">
        <f>IF(Person3!$F$3+ROW(A69)-1&lt;=Person3!$G$3, Person3!$F$3+ROW(A69)-1, "")</f>
        <v/>
      </c>
      <c r="AF71" s="1" t="str">
        <f>IF(Person3!$F$4+ROW(A69)-1&lt;=Person3!$G$4, Person3!$F$4+ROW(A69)-1, "")</f>
        <v/>
      </c>
      <c r="AG71" s="1" t="str">
        <f>IF(Person3!$F$5+ROW(A69)-1&lt;=Person3!$G$5, Person3!$F$5+ROW(A69)-1, "")</f>
        <v/>
      </c>
      <c r="AH71" s="1" t="str">
        <f>IF(Person3!$F$6+ROW(A69)-1&lt;=Person3!$G$6, Person3!$F$6+ROW(A69)-1, "")</f>
        <v/>
      </c>
      <c r="AI71" s="1" t="str">
        <f>IF(Person3!$F$7+ROW(A69)-1&lt;=Person3!$G$7, Person3!$F$7+ROW(A69)-1, "")</f>
        <v/>
      </c>
    </row>
    <row r="72" spans="1:35" x14ac:dyDescent="0.3">
      <c r="A72" s="1" t="str">
        <f>IF(Person3!$B$3+ROW(A70)-1&lt;=Person3!$C$3, Person3!$B$3+ROW(A70)-1, "")</f>
        <v/>
      </c>
      <c r="B72" s="1" t="str">
        <f>IF(Person3!$B$4+ROW(B70)-1&lt;=Person3!$C$4, Person3!$B$4+ROW(B70)-1, "")</f>
        <v/>
      </c>
      <c r="C72" s="1" t="str">
        <f>IF(Person3!$B$5+ROW(B70)-1&lt;=Person3!$C$5, Person3!$B$5+ROW(B70)-1, "")</f>
        <v/>
      </c>
      <c r="D72" s="1" t="str">
        <f>IF(Person3!$B$6+ROW(B70)-1&lt;=Person3!$C$6, Person3!$B$6+ROW(B70)-1, "")</f>
        <v/>
      </c>
      <c r="E72" s="1" t="str">
        <f>IF(Person3!$B$7+ROW(B70)-1&lt;=Person3!$C$7, Person3!$B$7+ROW(B70)-1, "")</f>
        <v/>
      </c>
      <c r="F72" s="1" t="str">
        <f>IF(Person3!$B$8+ROW(B70)-1&lt;=Person3!$C$8, Person3!$B$8+ROW(B70)-1, "")</f>
        <v/>
      </c>
      <c r="G72" s="1" t="str">
        <f>IF(Person3!$B$9+ROW(B70)-1&lt;=Person3!$C$9, Person3!$B$9+ROW(B70)-1, "")</f>
        <v/>
      </c>
      <c r="H72" s="1" t="str">
        <f>IF(Person3!$B$10+ROW(B70)-1&lt;=Person3!$C$10, Person3!$B$10+ROW(B70)-1, "")</f>
        <v/>
      </c>
      <c r="I72" s="1" t="str">
        <f>IF(Person3!$B$11+ROW(B70)-1&lt;=Person3!$C$11, Person3!$B$11+ROW(B70)-1, "")</f>
        <v/>
      </c>
      <c r="J72" s="1" t="str">
        <f>IF(Person3!$B$12+ROW(B70)-1&lt;=Person3!$C$12, Person3!$B$12+ROW(B70)-1, "")</f>
        <v/>
      </c>
      <c r="K72" s="1" t="str">
        <f>IF(Person3!$B$13+ROW(B70)-1&lt;=Person3!$C$13, Person3!$B$13+ROW(B70)-1, "")</f>
        <v/>
      </c>
      <c r="L72" s="1" t="str">
        <f>IF(Person3!$B$14+ROW(B70)-1&lt;=Person3!$C$14, Person3!$B$14+ROW(B70)-1, "")</f>
        <v/>
      </c>
      <c r="M72" s="1" t="str">
        <f>IF(Person3!$B$15+ROW(B70)-1&lt;=Person3!$C$15, Person3!$B$15+ROW(B70)-1, "")</f>
        <v/>
      </c>
      <c r="N72" s="1" t="str">
        <f>IF(Person3!$B$16+ROW(B70)-1&lt;=Person3!$C$16, Person3!$B$16+ROW(B70)-1, "")</f>
        <v/>
      </c>
      <c r="O72" s="1" t="str">
        <f>IF(Person3!$B$17+ROW(B70)-1&lt;=Person3!$C$17, Person3!$B$17+ROW(B70)-1, "")</f>
        <v/>
      </c>
      <c r="V72" s="1" t="str">
        <f>IF(Person3!$D$3+ROW(A70)-1&lt;=Person3!$E$3, Person3!$D$3+ROW(A70)-1, "")</f>
        <v/>
      </c>
      <c r="W72" s="1" t="str">
        <f>IF(Person3!$D$4+ROW(A70)-1&lt;=Person3!$E$4, Person3!$D$4+ROW(A70)-1, "")</f>
        <v/>
      </c>
      <c r="X72" s="1" t="str">
        <f>IF(Person3!$D$5+ROW(A70)-1&lt;=Person3!$E$5, Person3!$D$5+ROW(A70)-1, "")</f>
        <v/>
      </c>
      <c r="Y72" s="1" t="str">
        <f>IF(Person3!$D$6+ROW(A70)-1&lt;=Person3!$E$6, Person3!$D$6+ROW(A70)-1, "")</f>
        <v/>
      </c>
      <c r="Z72" s="1" t="str">
        <f>IF(Person3!$D$7+ROW(A70)-1&lt;=Person3!$E$7, Person3!$D$7+ROW(A70)-1, "")</f>
        <v/>
      </c>
      <c r="AA72" s="1" t="str">
        <f>IF(Person3!$D$8+ROW(A70)-1&lt;=Person3!$E$8, Person3!$D$8+ROW(A70)-1, "")</f>
        <v/>
      </c>
      <c r="AE72" s="1" t="str">
        <f>IF(Person3!$F$3+ROW(A70)-1&lt;=Person3!$G$3, Person3!$F$3+ROW(A70)-1, "")</f>
        <v/>
      </c>
      <c r="AF72" s="1" t="str">
        <f>IF(Person3!$F$4+ROW(A70)-1&lt;=Person3!$G$4, Person3!$F$4+ROW(A70)-1, "")</f>
        <v/>
      </c>
      <c r="AG72" s="1" t="str">
        <f>IF(Person3!$F$5+ROW(A70)-1&lt;=Person3!$G$5, Person3!$F$5+ROW(A70)-1, "")</f>
        <v/>
      </c>
      <c r="AH72" s="1" t="str">
        <f>IF(Person3!$F$6+ROW(A70)-1&lt;=Person3!$G$6, Person3!$F$6+ROW(A70)-1, "")</f>
        <v/>
      </c>
      <c r="AI72" s="1" t="str">
        <f>IF(Person3!$F$7+ROW(A70)-1&lt;=Person3!$G$7, Person3!$F$7+ROW(A70)-1, "")</f>
        <v/>
      </c>
    </row>
    <row r="73" spans="1:35" x14ac:dyDescent="0.3">
      <c r="A73" s="1" t="str">
        <f>IF(Person3!$B$3+ROW(A71)-1&lt;=Person3!$C$3, Person3!$B$3+ROW(A71)-1, "")</f>
        <v/>
      </c>
      <c r="B73" s="1" t="str">
        <f>IF(Person3!$B$4+ROW(B71)-1&lt;=Person3!$C$4, Person3!$B$4+ROW(B71)-1, "")</f>
        <v/>
      </c>
      <c r="C73" s="1" t="str">
        <f>IF(Person3!$B$5+ROW(B71)-1&lt;=Person3!$C$5, Person3!$B$5+ROW(B71)-1, "")</f>
        <v/>
      </c>
      <c r="D73" s="1" t="str">
        <f>IF(Person3!$B$6+ROW(B71)-1&lt;=Person3!$C$6, Person3!$B$6+ROW(B71)-1, "")</f>
        <v/>
      </c>
      <c r="E73" s="1" t="str">
        <f>IF(Person3!$B$7+ROW(B71)-1&lt;=Person3!$C$7, Person3!$B$7+ROW(B71)-1, "")</f>
        <v/>
      </c>
      <c r="F73" s="1" t="str">
        <f>IF(Person3!$B$8+ROW(B71)-1&lt;=Person3!$C$8, Person3!$B$8+ROW(B71)-1, "")</f>
        <v/>
      </c>
      <c r="G73" s="1" t="str">
        <f>IF(Person3!$B$9+ROW(B71)-1&lt;=Person3!$C$9, Person3!$B$9+ROW(B71)-1, "")</f>
        <v/>
      </c>
      <c r="H73" s="1" t="str">
        <f>IF(Person3!$B$10+ROW(B71)-1&lt;=Person3!$C$10, Person3!$B$10+ROW(B71)-1, "")</f>
        <v/>
      </c>
      <c r="I73" s="1" t="str">
        <f>IF(Person3!$B$11+ROW(B71)-1&lt;=Person3!$C$11, Person3!$B$11+ROW(B71)-1, "")</f>
        <v/>
      </c>
      <c r="J73" s="1" t="str">
        <f>IF(Person3!$B$12+ROW(B71)-1&lt;=Person3!$C$12, Person3!$B$12+ROW(B71)-1, "")</f>
        <v/>
      </c>
      <c r="K73" s="1" t="str">
        <f>IF(Person3!$B$13+ROW(B71)-1&lt;=Person3!$C$13, Person3!$B$13+ROW(B71)-1, "")</f>
        <v/>
      </c>
      <c r="L73" s="1" t="str">
        <f>IF(Person3!$B$14+ROW(B71)-1&lt;=Person3!$C$14, Person3!$B$14+ROW(B71)-1, "")</f>
        <v/>
      </c>
      <c r="M73" s="1" t="str">
        <f>IF(Person3!$B$15+ROW(B71)-1&lt;=Person3!$C$15, Person3!$B$15+ROW(B71)-1, "")</f>
        <v/>
      </c>
      <c r="N73" s="1" t="str">
        <f>IF(Person3!$B$16+ROW(B71)-1&lt;=Person3!$C$16, Person3!$B$16+ROW(B71)-1, "")</f>
        <v/>
      </c>
      <c r="O73" s="1" t="str">
        <f>IF(Person3!$B$17+ROW(B71)-1&lt;=Person3!$C$17, Person3!$B$17+ROW(B71)-1, "")</f>
        <v/>
      </c>
      <c r="V73" s="1" t="str">
        <f>IF(Person3!$D$3+ROW(A71)-1&lt;=Person3!$E$3, Person3!$D$3+ROW(A71)-1, "")</f>
        <v/>
      </c>
      <c r="W73" s="1" t="str">
        <f>IF(Person3!$D$4+ROW(A71)-1&lt;=Person3!$E$4, Person3!$D$4+ROW(A71)-1, "")</f>
        <v/>
      </c>
      <c r="X73" s="1" t="str">
        <f>IF(Person3!$D$5+ROW(A71)-1&lt;=Person3!$E$5, Person3!$D$5+ROW(A71)-1, "")</f>
        <v/>
      </c>
      <c r="Y73" s="1" t="str">
        <f>IF(Person3!$D$6+ROW(A71)-1&lt;=Person3!$E$6, Person3!$D$6+ROW(A71)-1, "")</f>
        <v/>
      </c>
      <c r="Z73" s="1" t="str">
        <f>IF(Person3!$D$7+ROW(A71)-1&lt;=Person3!$E$7, Person3!$D$7+ROW(A71)-1, "")</f>
        <v/>
      </c>
      <c r="AA73" s="1" t="str">
        <f>IF(Person3!$D$8+ROW(A71)-1&lt;=Person3!$E$8, Person3!$D$8+ROW(A71)-1, "")</f>
        <v/>
      </c>
      <c r="AE73" s="1" t="str">
        <f>IF(Person3!$F$3+ROW(A71)-1&lt;=Person3!$G$3, Person3!$F$3+ROW(A71)-1, "")</f>
        <v/>
      </c>
      <c r="AF73" s="1" t="str">
        <f>IF(Person3!$F$4+ROW(A71)-1&lt;=Person3!$G$4, Person3!$F$4+ROW(A71)-1, "")</f>
        <v/>
      </c>
      <c r="AG73" s="1" t="str">
        <f>IF(Person3!$F$5+ROW(A71)-1&lt;=Person3!$G$5, Person3!$F$5+ROW(A71)-1, "")</f>
        <v/>
      </c>
      <c r="AH73" s="1" t="str">
        <f>IF(Person3!$F$6+ROW(A71)-1&lt;=Person3!$G$6, Person3!$F$6+ROW(A71)-1, "")</f>
        <v/>
      </c>
      <c r="AI73" s="1" t="str">
        <f>IF(Person3!$F$7+ROW(A71)-1&lt;=Person3!$G$7, Person3!$F$7+ROW(A71)-1, "")</f>
        <v/>
      </c>
    </row>
    <row r="74" spans="1:35" x14ac:dyDescent="0.3">
      <c r="A74" s="1" t="str">
        <f>IF(Person3!$B$3+ROW(A72)-1&lt;=Person3!$C$3, Person3!$B$3+ROW(A72)-1, "")</f>
        <v/>
      </c>
      <c r="B74" s="1" t="str">
        <f>IF(Person3!$B$4+ROW(B72)-1&lt;=Person3!$C$4, Person3!$B$4+ROW(B72)-1, "")</f>
        <v/>
      </c>
      <c r="C74" s="1" t="str">
        <f>IF(Person3!$B$5+ROW(B72)-1&lt;=Person3!$C$5, Person3!$B$5+ROW(B72)-1, "")</f>
        <v/>
      </c>
      <c r="D74" s="1" t="str">
        <f>IF(Person3!$B$6+ROW(B72)-1&lt;=Person3!$C$6, Person3!$B$6+ROW(B72)-1, "")</f>
        <v/>
      </c>
      <c r="E74" s="1" t="str">
        <f>IF(Person3!$B$7+ROW(B72)-1&lt;=Person3!$C$7, Person3!$B$7+ROW(B72)-1, "")</f>
        <v/>
      </c>
      <c r="F74" s="1" t="str">
        <f>IF(Person3!$B$8+ROW(B72)-1&lt;=Person3!$C$8, Person3!$B$8+ROW(B72)-1, "")</f>
        <v/>
      </c>
      <c r="G74" s="1" t="str">
        <f>IF(Person3!$B$9+ROW(B72)-1&lt;=Person3!$C$9, Person3!$B$9+ROW(B72)-1, "")</f>
        <v/>
      </c>
      <c r="H74" s="1" t="str">
        <f>IF(Person3!$B$10+ROW(B72)-1&lt;=Person3!$C$10, Person3!$B$10+ROW(B72)-1, "")</f>
        <v/>
      </c>
      <c r="I74" s="1" t="str">
        <f>IF(Person3!$B$11+ROW(B72)-1&lt;=Person3!$C$11, Person3!$B$11+ROW(B72)-1, "")</f>
        <v/>
      </c>
      <c r="J74" s="1" t="str">
        <f>IF(Person3!$B$12+ROW(B72)-1&lt;=Person3!$C$12, Person3!$B$12+ROW(B72)-1, "")</f>
        <v/>
      </c>
      <c r="K74" s="1" t="str">
        <f>IF(Person3!$B$13+ROW(B72)-1&lt;=Person3!$C$13, Person3!$B$13+ROW(B72)-1, "")</f>
        <v/>
      </c>
      <c r="L74" s="1" t="str">
        <f>IF(Person3!$B$14+ROW(B72)-1&lt;=Person3!$C$14, Person3!$B$14+ROW(B72)-1, "")</f>
        <v/>
      </c>
      <c r="M74" s="1" t="str">
        <f>IF(Person3!$B$15+ROW(B72)-1&lt;=Person3!$C$15, Person3!$B$15+ROW(B72)-1, "")</f>
        <v/>
      </c>
      <c r="N74" s="1" t="str">
        <f>IF(Person3!$B$16+ROW(B72)-1&lt;=Person3!$C$16, Person3!$B$16+ROW(B72)-1, "")</f>
        <v/>
      </c>
      <c r="O74" s="1" t="str">
        <f>IF(Person3!$B$17+ROW(B72)-1&lt;=Person3!$C$17, Person3!$B$17+ROW(B72)-1, "")</f>
        <v/>
      </c>
      <c r="V74" s="1" t="str">
        <f>IF(Person3!$D$3+ROW(A72)-1&lt;=Person3!$E$3, Person3!$D$3+ROW(A72)-1, "")</f>
        <v/>
      </c>
      <c r="W74" s="1" t="str">
        <f>IF(Person3!$D$4+ROW(A72)-1&lt;=Person3!$E$4, Person3!$D$4+ROW(A72)-1, "")</f>
        <v/>
      </c>
      <c r="X74" s="1" t="str">
        <f>IF(Person3!$D$5+ROW(A72)-1&lt;=Person3!$E$5, Person3!$D$5+ROW(A72)-1, "")</f>
        <v/>
      </c>
      <c r="Y74" s="1" t="str">
        <f>IF(Person3!$D$6+ROW(A72)-1&lt;=Person3!$E$6, Person3!$D$6+ROW(A72)-1, "")</f>
        <v/>
      </c>
      <c r="Z74" s="1" t="str">
        <f>IF(Person3!$D$7+ROW(A72)-1&lt;=Person3!$E$7, Person3!$D$7+ROW(A72)-1, "")</f>
        <v/>
      </c>
      <c r="AA74" s="1" t="str">
        <f>IF(Person3!$D$8+ROW(A72)-1&lt;=Person3!$E$8, Person3!$D$8+ROW(A72)-1, "")</f>
        <v/>
      </c>
      <c r="AE74" s="1" t="str">
        <f>IF(Person3!$F$3+ROW(A72)-1&lt;=Person3!$G$3, Person3!$F$3+ROW(A72)-1, "")</f>
        <v/>
      </c>
      <c r="AF74" s="1" t="str">
        <f>IF(Person3!$F$4+ROW(A72)-1&lt;=Person3!$G$4, Person3!$F$4+ROW(A72)-1, "")</f>
        <v/>
      </c>
      <c r="AG74" s="1" t="str">
        <f>IF(Person3!$F$5+ROW(A72)-1&lt;=Person3!$G$5, Person3!$F$5+ROW(A72)-1, "")</f>
        <v/>
      </c>
      <c r="AH74" s="1" t="str">
        <f>IF(Person3!$F$6+ROW(A72)-1&lt;=Person3!$G$6, Person3!$F$6+ROW(A72)-1, "")</f>
        <v/>
      </c>
      <c r="AI74" s="1" t="str">
        <f>IF(Person3!$F$7+ROW(A72)-1&lt;=Person3!$G$7, Person3!$F$7+ROW(A72)-1, "")</f>
        <v/>
      </c>
    </row>
    <row r="75" spans="1:35" x14ac:dyDescent="0.3">
      <c r="A75" s="1" t="str">
        <f>IF(Person3!$B$3+ROW(A73)-1&lt;=Person3!$C$3, Person3!$B$3+ROW(A73)-1, "")</f>
        <v/>
      </c>
      <c r="B75" s="1" t="str">
        <f>IF(Person3!$B$4+ROW(B73)-1&lt;=Person3!$C$4, Person3!$B$4+ROW(B73)-1, "")</f>
        <v/>
      </c>
      <c r="C75" s="1" t="str">
        <f>IF(Person3!$B$5+ROW(B73)-1&lt;=Person3!$C$5, Person3!$B$5+ROW(B73)-1, "")</f>
        <v/>
      </c>
      <c r="D75" s="1" t="str">
        <f>IF(Person3!$B$6+ROW(B73)-1&lt;=Person3!$C$6, Person3!$B$6+ROW(B73)-1, "")</f>
        <v/>
      </c>
      <c r="E75" s="1" t="str">
        <f>IF(Person3!$B$7+ROW(B73)-1&lt;=Person3!$C$7, Person3!$B$7+ROW(B73)-1, "")</f>
        <v/>
      </c>
      <c r="F75" s="1" t="str">
        <f>IF(Person3!$B$8+ROW(B73)-1&lt;=Person3!$C$8, Person3!$B$8+ROW(B73)-1, "")</f>
        <v/>
      </c>
      <c r="G75" s="1" t="str">
        <f>IF(Person3!$B$9+ROW(B73)-1&lt;=Person3!$C$9, Person3!$B$9+ROW(B73)-1, "")</f>
        <v/>
      </c>
      <c r="H75" s="1" t="str">
        <f>IF(Person3!$B$10+ROW(B73)-1&lt;=Person3!$C$10, Person3!$B$10+ROW(B73)-1, "")</f>
        <v/>
      </c>
      <c r="I75" s="1" t="str">
        <f>IF(Person3!$B$11+ROW(B73)-1&lt;=Person3!$C$11, Person3!$B$11+ROW(B73)-1, "")</f>
        <v/>
      </c>
      <c r="J75" s="1" t="str">
        <f>IF(Person3!$B$12+ROW(B73)-1&lt;=Person3!$C$12, Person3!$B$12+ROW(B73)-1, "")</f>
        <v/>
      </c>
      <c r="K75" s="1" t="str">
        <f>IF(Person3!$B$13+ROW(B73)-1&lt;=Person3!$C$13, Person3!$B$13+ROW(B73)-1, "")</f>
        <v/>
      </c>
      <c r="L75" s="1" t="str">
        <f>IF(Person3!$B$14+ROW(B73)-1&lt;=Person3!$C$14, Person3!$B$14+ROW(B73)-1, "")</f>
        <v/>
      </c>
      <c r="M75" s="1" t="str">
        <f>IF(Person3!$B$15+ROW(B73)-1&lt;=Person3!$C$15, Person3!$B$15+ROW(B73)-1, "")</f>
        <v/>
      </c>
      <c r="N75" s="1" t="str">
        <f>IF(Person3!$B$16+ROW(B73)-1&lt;=Person3!$C$16, Person3!$B$16+ROW(B73)-1, "")</f>
        <v/>
      </c>
      <c r="O75" s="1" t="str">
        <f>IF(Person3!$B$17+ROW(B73)-1&lt;=Person3!$C$17, Person3!$B$17+ROW(B73)-1, "")</f>
        <v/>
      </c>
      <c r="V75" s="1" t="str">
        <f>IF(Person3!$D$3+ROW(A73)-1&lt;=Person3!$E$3, Person3!$D$3+ROW(A73)-1, "")</f>
        <v/>
      </c>
      <c r="W75" s="1" t="str">
        <f>IF(Person3!$D$4+ROW(A73)-1&lt;=Person3!$E$4, Person3!$D$4+ROW(A73)-1, "")</f>
        <v/>
      </c>
      <c r="X75" s="1" t="str">
        <f>IF(Person3!$D$5+ROW(A73)-1&lt;=Person3!$E$5, Person3!$D$5+ROW(A73)-1, "")</f>
        <v/>
      </c>
      <c r="Y75" s="1" t="str">
        <f>IF(Person3!$D$6+ROW(A73)-1&lt;=Person3!$E$6, Person3!$D$6+ROW(A73)-1, "")</f>
        <v/>
      </c>
      <c r="Z75" s="1" t="str">
        <f>IF(Person3!$D$7+ROW(A73)-1&lt;=Person3!$E$7, Person3!$D$7+ROW(A73)-1, "")</f>
        <v/>
      </c>
      <c r="AA75" s="1" t="str">
        <f>IF(Person3!$D$8+ROW(A73)-1&lt;=Person3!$E$8, Person3!$D$8+ROW(A73)-1, "")</f>
        <v/>
      </c>
      <c r="AE75" s="1" t="str">
        <f>IF(Person3!$F$3+ROW(A73)-1&lt;=Person3!$G$3, Person3!$F$3+ROW(A73)-1, "")</f>
        <v/>
      </c>
      <c r="AF75" s="1" t="str">
        <f>IF(Person3!$F$4+ROW(A73)-1&lt;=Person3!$G$4, Person3!$F$4+ROW(A73)-1, "")</f>
        <v/>
      </c>
      <c r="AG75" s="1" t="str">
        <f>IF(Person3!$F$5+ROW(A73)-1&lt;=Person3!$G$5, Person3!$F$5+ROW(A73)-1, "")</f>
        <v/>
      </c>
      <c r="AH75" s="1" t="str">
        <f>IF(Person3!$F$6+ROW(A73)-1&lt;=Person3!$G$6, Person3!$F$6+ROW(A73)-1, "")</f>
        <v/>
      </c>
      <c r="AI75" s="1" t="str">
        <f>IF(Person3!$F$7+ROW(A73)-1&lt;=Person3!$G$7, Person3!$F$7+ROW(A73)-1, "")</f>
        <v/>
      </c>
    </row>
    <row r="76" spans="1:35" x14ac:dyDescent="0.3">
      <c r="A76" s="1" t="str">
        <f>IF(Person3!$B$3+ROW(A74)-1&lt;=Person3!$C$3, Person3!$B$3+ROW(A74)-1, "")</f>
        <v/>
      </c>
      <c r="B76" s="1" t="str">
        <f>IF(Person3!$B$4+ROW(B74)-1&lt;=Person3!$C$4, Person3!$B$4+ROW(B74)-1, "")</f>
        <v/>
      </c>
      <c r="C76" s="1" t="str">
        <f>IF(Person3!$B$5+ROW(B74)-1&lt;=Person3!$C$5, Person3!$B$5+ROW(B74)-1, "")</f>
        <v/>
      </c>
      <c r="D76" s="1" t="str">
        <f>IF(Person3!$B$6+ROW(B74)-1&lt;=Person3!$C$6, Person3!$B$6+ROW(B74)-1, "")</f>
        <v/>
      </c>
      <c r="E76" s="1" t="str">
        <f>IF(Person3!$B$7+ROW(B74)-1&lt;=Person3!$C$7, Person3!$B$7+ROW(B74)-1, "")</f>
        <v/>
      </c>
      <c r="F76" s="1" t="str">
        <f>IF(Person3!$B$8+ROW(B74)-1&lt;=Person3!$C$8, Person3!$B$8+ROW(B74)-1, "")</f>
        <v/>
      </c>
      <c r="G76" s="1" t="str">
        <f>IF(Person3!$B$9+ROW(B74)-1&lt;=Person3!$C$9, Person3!$B$9+ROW(B74)-1, "")</f>
        <v/>
      </c>
      <c r="H76" s="1" t="str">
        <f>IF(Person3!$B$10+ROW(B74)-1&lt;=Person3!$C$10, Person3!$B$10+ROW(B74)-1, "")</f>
        <v/>
      </c>
      <c r="I76" s="1" t="str">
        <f>IF(Person3!$B$11+ROW(B74)-1&lt;=Person3!$C$11, Person3!$B$11+ROW(B74)-1, "")</f>
        <v/>
      </c>
      <c r="J76" s="1" t="str">
        <f>IF(Person3!$B$12+ROW(B74)-1&lt;=Person3!$C$12, Person3!$B$12+ROW(B74)-1, "")</f>
        <v/>
      </c>
      <c r="K76" s="1" t="str">
        <f>IF(Person3!$B$13+ROW(B74)-1&lt;=Person3!$C$13, Person3!$B$13+ROW(B74)-1, "")</f>
        <v/>
      </c>
      <c r="L76" s="1" t="str">
        <f>IF(Person3!$B$14+ROW(B74)-1&lt;=Person3!$C$14, Person3!$B$14+ROW(B74)-1, "")</f>
        <v/>
      </c>
      <c r="M76" s="1" t="str">
        <f>IF(Person3!$B$15+ROW(B74)-1&lt;=Person3!$C$15, Person3!$B$15+ROW(B74)-1, "")</f>
        <v/>
      </c>
      <c r="N76" s="1" t="str">
        <f>IF(Person3!$B$16+ROW(B74)-1&lt;=Person3!$C$16, Person3!$B$16+ROW(B74)-1, "")</f>
        <v/>
      </c>
      <c r="O76" s="1" t="str">
        <f>IF(Person3!$B$17+ROW(B74)-1&lt;=Person3!$C$17, Person3!$B$17+ROW(B74)-1, "")</f>
        <v/>
      </c>
      <c r="V76" s="1" t="str">
        <f>IF(Person3!$D$3+ROW(A74)-1&lt;=Person3!$E$3, Person3!$D$3+ROW(A74)-1, "")</f>
        <v/>
      </c>
      <c r="W76" s="1" t="str">
        <f>IF(Person3!$D$4+ROW(A74)-1&lt;=Person3!$E$4, Person3!$D$4+ROW(A74)-1, "")</f>
        <v/>
      </c>
      <c r="X76" s="1" t="str">
        <f>IF(Person3!$D$5+ROW(A74)-1&lt;=Person3!$E$5, Person3!$D$5+ROW(A74)-1, "")</f>
        <v/>
      </c>
      <c r="Y76" s="1" t="str">
        <f>IF(Person3!$D$6+ROW(A74)-1&lt;=Person3!$E$6, Person3!$D$6+ROW(A74)-1, "")</f>
        <v/>
      </c>
      <c r="Z76" s="1" t="str">
        <f>IF(Person3!$D$7+ROW(A74)-1&lt;=Person3!$E$7, Person3!$D$7+ROW(A74)-1, "")</f>
        <v/>
      </c>
      <c r="AA76" s="1" t="str">
        <f>IF(Person3!$D$8+ROW(A74)-1&lt;=Person3!$E$8, Person3!$D$8+ROW(A74)-1, "")</f>
        <v/>
      </c>
      <c r="AE76" s="1" t="str">
        <f>IF(Person3!$F$3+ROW(A74)-1&lt;=Person3!$G$3, Person3!$F$3+ROW(A74)-1, "")</f>
        <v/>
      </c>
      <c r="AF76" s="1" t="str">
        <f>IF(Person3!$F$4+ROW(A74)-1&lt;=Person3!$G$4, Person3!$F$4+ROW(A74)-1, "")</f>
        <v/>
      </c>
      <c r="AG76" s="1" t="str">
        <f>IF(Person3!$F$5+ROW(A74)-1&lt;=Person3!$G$5, Person3!$F$5+ROW(A74)-1, "")</f>
        <v/>
      </c>
      <c r="AH76" s="1" t="str">
        <f>IF(Person3!$F$6+ROW(A74)-1&lt;=Person3!$G$6, Person3!$F$6+ROW(A74)-1, "")</f>
        <v/>
      </c>
      <c r="AI76" s="1" t="str">
        <f>IF(Person3!$F$7+ROW(A74)-1&lt;=Person3!$G$7, Person3!$F$7+ROW(A74)-1, "")</f>
        <v/>
      </c>
    </row>
    <row r="77" spans="1:35" x14ac:dyDescent="0.3">
      <c r="A77" s="1" t="str">
        <f>IF(Person3!$B$3+ROW(A75)-1&lt;=Person3!$C$3, Person3!$B$3+ROW(A75)-1, "")</f>
        <v/>
      </c>
      <c r="B77" s="1" t="str">
        <f>IF(Person3!$B$4+ROW(B75)-1&lt;=Person3!$C$4, Person3!$B$4+ROW(B75)-1, "")</f>
        <v/>
      </c>
      <c r="C77" s="1" t="str">
        <f>IF(Person3!$B$5+ROW(B75)-1&lt;=Person3!$C$5, Person3!$B$5+ROW(B75)-1, "")</f>
        <v/>
      </c>
      <c r="D77" s="1" t="str">
        <f>IF(Person3!$B$6+ROW(B75)-1&lt;=Person3!$C$6, Person3!$B$6+ROW(B75)-1, "")</f>
        <v/>
      </c>
      <c r="E77" s="1" t="str">
        <f>IF(Person3!$B$7+ROW(B75)-1&lt;=Person3!$C$7, Person3!$B$7+ROW(B75)-1, "")</f>
        <v/>
      </c>
      <c r="F77" s="1" t="str">
        <f>IF(Person3!$B$8+ROW(B75)-1&lt;=Person3!$C$8, Person3!$B$8+ROW(B75)-1, "")</f>
        <v/>
      </c>
      <c r="G77" s="1" t="str">
        <f>IF(Person3!$B$9+ROW(B75)-1&lt;=Person3!$C$9, Person3!$B$9+ROW(B75)-1, "")</f>
        <v/>
      </c>
      <c r="H77" s="1" t="str">
        <f>IF(Person3!$B$10+ROW(B75)-1&lt;=Person3!$C$10, Person3!$B$10+ROW(B75)-1, "")</f>
        <v/>
      </c>
      <c r="I77" s="1" t="str">
        <f>IF(Person3!$B$11+ROW(B75)-1&lt;=Person3!$C$11, Person3!$B$11+ROW(B75)-1, "")</f>
        <v/>
      </c>
      <c r="J77" s="1" t="str">
        <f>IF(Person3!$B$12+ROW(B75)-1&lt;=Person3!$C$12, Person3!$B$12+ROW(B75)-1, "")</f>
        <v/>
      </c>
      <c r="K77" s="1" t="str">
        <f>IF(Person3!$B$13+ROW(B75)-1&lt;=Person3!$C$13, Person3!$B$13+ROW(B75)-1, "")</f>
        <v/>
      </c>
      <c r="L77" s="1" t="str">
        <f>IF(Person3!$B$14+ROW(B75)-1&lt;=Person3!$C$14, Person3!$B$14+ROW(B75)-1, "")</f>
        <v/>
      </c>
      <c r="M77" s="1" t="str">
        <f>IF(Person3!$B$15+ROW(B75)-1&lt;=Person3!$C$15, Person3!$B$15+ROW(B75)-1, "")</f>
        <v/>
      </c>
      <c r="N77" s="1" t="str">
        <f>IF(Person3!$B$16+ROW(B75)-1&lt;=Person3!$C$16, Person3!$B$16+ROW(B75)-1, "")</f>
        <v/>
      </c>
      <c r="O77" s="1" t="str">
        <f>IF(Person3!$B$17+ROW(B75)-1&lt;=Person3!$C$17, Person3!$B$17+ROW(B75)-1, "")</f>
        <v/>
      </c>
      <c r="V77" s="1" t="str">
        <f>IF(Person3!$D$3+ROW(A75)-1&lt;=Person3!$E$3, Person3!$D$3+ROW(A75)-1, "")</f>
        <v/>
      </c>
      <c r="W77" s="1" t="str">
        <f>IF(Person3!$D$4+ROW(A75)-1&lt;=Person3!$E$4, Person3!$D$4+ROW(A75)-1, "")</f>
        <v/>
      </c>
      <c r="X77" s="1" t="str">
        <f>IF(Person3!$D$5+ROW(A75)-1&lt;=Person3!$E$5, Person3!$D$5+ROW(A75)-1, "")</f>
        <v/>
      </c>
      <c r="Y77" s="1" t="str">
        <f>IF(Person3!$D$6+ROW(A75)-1&lt;=Person3!$E$6, Person3!$D$6+ROW(A75)-1, "")</f>
        <v/>
      </c>
      <c r="Z77" s="1" t="str">
        <f>IF(Person3!$D$7+ROW(A75)-1&lt;=Person3!$E$7, Person3!$D$7+ROW(A75)-1, "")</f>
        <v/>
      </c>
      <c r="AA77" s="1" t="str">
        <f>IF(Person3!$D$8+ROW(A75)-1&lt;=Person3!$E$8, Person3!$D$8+ROW(A75)-1, "")</f>
        <v/>
      </c>
      <c r="AE77" s="1" t="str">
        <f>IF(Person3!$F$3+ROW(A75)-1&lt;=Person3!$G$3, Person3!$F$3+ROW(A75)-1, "")</f>
        <v/>
      </c>
      <c r="AF77" s="1" t="str">
        <f>IF(Person3!$F$4+ROW(A75)-1&lt;=Person3!$G$4, Person3!$F$4+ROW(A75)-1, "")</f>
        <v/>
      </c>
      <c r="AG77" s="1" t="str">
        <f>IF(Person3!$F$5+ROW(A75)-1&lt;=Person3!$G$5, Person3!$F$5+ROW(A75)-1, "")</f>
        <v/>
      </c>
      <c r="AH77" s="1" t="str">
        <f>IF(Person3!$F$6+ROW(A75)-1&lt;=Person3!$G$6, Person3!$F$6+ROW(A75)-1, "")</f>
        <v/>
      </c>
      <c r="AI77" s="1" t="str">
        <f>IF(Person3!$F$7+ROW(A75)-1&lt;=Person3!$G$7, Person3!$F$7+ROW(A75)-1, "")</f>
        <v/>
      </c>
    </row>
    <row r="78" spans="1:35" x14ac:dyDescent="0.3">
      <c r="A78" s="1" t="str">
        <f>IF(Person3!$B$3+ROW(A76)-1&lt;=Person3!$C$3, Person3!$B$3+ROW(A76)-1, "")</f>
        <v/>
      </c>
      <c r="B78" s="1" t="str">
        <f>IF(Person3!$B$4+ROW(B76)-1&lt;=Person3!$C$4, Person3!$B$4+ROW(B76)-1, "")</f>
        <v/>
      </c>
      <c r="C78" s="1" t="str">
        <f>IF(Person3!$B$5+ROW(B76)-1&lt;=Person3!$C$5, Person3!$B$5+ROW(B76)-1, "")</f>
        <v/>
      </c>
      <c r="D78" s="1" t="str">
        <f>IF(Person3!$B$6+ROW(B76)-1&lt;=Person3!$C$6, Person3!$B$6+ROW(B76)-1, "")</f>
        <v/>
      </c>
      <c r="E78" s="1" t="str">
        <f>IF(Person3!$B$7+ROW(B76)-1&lt;=Person3!$C$7, Person3!$B$7+ROW(B76)-1, "")</f>
        <v/>
      </c>
      <c r="F78" s="1" t="str">
        <f>IF(Person3!$B$8+ROW(B76)-1&lt;=Person3!$C$8, Person3!$B$8+ROW(B76)-1, "")</f>
        <v/>
      </c>
      <c r="G78" s="1" t="str">
        <f>IF(Person3!$B$9+ROW(B76)-1&lt;=Person3!$C$9, Person3!$B$9+ROW(B76)-1, "")</f>
        <v/>
      </c>
      <c r="H78" s="1" t="str">
        <f>IF(Person3!$B$10+ROW(B76)-1&lt;=Person3!$C$10, Person3!$B$10+ROW(B76)-1, "")</f>
        <v/>
      </c>
      <c r="I78" s="1" t="str">
        <f>IF(Person3!$B$11+ROW(B76)-1&lt;=Person3!$C$11, Person3!$B$11+ROW(B76)-1, "")</f>
        <v/>
      </c>
      <c r="J78" s="1" t="str">
        <f>IF(Person3!$B$12+ROW(B76)-1&lt;=Person3!$C$12, Person3!$B$12+ROW(B76)-1, "")</f>
        <v/>
      </c>
      <c r="K78" s="1" t="str">
        <f>IF(Person3!$B$13+ROW(B76)-1&lt;=Person3!$C$13, Person3!$B$13+ROW(B76)-1, "")</f>
        <v/>
      </c>
      <c r="L78" s="1" t="str">
        <f>IF(Person3!$B$14+ROW(B76)-1&lt;=Person3!$C$14, Person3!$B$14+ROW(B76)-1, "")</f>
        <v/>
      </c>
      <c r="M78" s="1" t="str">
        <f>IF(Person3!$B$15+ROW(B76)-1&lt;=Person3!$C$15, Person3!$B$15+ROW(B76)-1, "")</f>
        <v/>
      </c>
      <c r="N78" s="1" t="str">
        <f>IF(Person3!$B$16+ROW(B76)-1&lt;=Person3!$C$16, Person3!$B$16+ROW(B76)-1, "")</f>
        <v/>
      </c>
      <c r="O78" s="1" t="str">
        <f>IF(Person3!$B$17+ROW(B76)-1&lt;=Person3!$C$17, Person3!$B$17+ROW(B76)-1, "")</f>
        <v/>
      </c>
      <c r="V78" s="1" t="str">
        <f>IF(Person3!$D$3+ROW(A76)-1&lt;=Person3!$E$3, Person3!$D$3+ROW(A76)-1, "")</f>
        <v/>
      </c>
      <c r="W78" s="1" t="str">
        <f>IF(Person3!$D$4+ROW(A76)-1&lt;=Person3!$E$4, Person3!$D$4+ROW(A76)-1, "")</f>
        <v/>
      </c>
      <c r="X78" s="1" t="str">
        <f>IF(Person3!$D$5+ROW(A76)-1&lt;=Person3!$E$5, Person3!$D$5+ROW(A76)-1, "")</f>
        <v/>
      </c>
      <c r="Y78" s="1" t="str">
        <f>IF(Person3!$D$6+ROW(A76)-1&lt;=Person3!$E$6, Person3!$D$6+ROW(A76)-1, "")</f>
        <v/>
      </c>
      <c r="Z78" s="1" t="str">
        <f>IF(Person3!$D$7+ROW(A76)-1&lt;=Person3!$E$7, Person3!$D$7+ROW(A76)-1, "")</f>
        <v/>
      </c>
      <c r="AA78" s="1" t="str">
        <f>IF(Person3!$D$8+ROW(A76)-1&lt;=Person3!$E$8, Person3!$D$8+ROW(A76)-1, "")</f>
        <v/>
      </c>
      <c r="AE78" s="1" t="str">
        <f>IF(Person3!$F$3+ROW(A76)-1&lt;=Person3!$G$3, Person3!$F$3+ROW(A76)-1, "")</f>
        <v/>
      </c>
      <c r="AF78" s="1" t="str">
        <f>IF(Person3!$F$4+ROW(A76)-1&lt;=Person3!$G$4, Person3!$F$4+ROW(A76)-1, "")</f>
        <v/>
      </c>
      <c r="AG78" s="1" t="str">
        <f>IF(Person3!$F$5+ROW(A76)-1&lt;=Person3!$G$5, Person3!$F$5+ROW(A76)-1, "")</f>
        <v/>
      </c>
      <c r="AH78" s="1" t="str">
        <f>IF(Person3!$F$6+ROW(A76)-1&lt;=Person3!$G$6, Person3!$F$6+ROW(A76)-1, "")</f>
        <v/>
      </c>
      <c r="AI78" s="1" t="str">
        <f>IF(Person3!$F$7+ROW(A76)-1&lt;=Person3!$G$7, Person3!$F$7+ROW(A76)-1, "")</f>
        <v/>
      </c>
    </row>
    <row r="79" spans="1:35" x14ac:dyDescent="0.3">
      <c r="A79" s="1" t="str">
        <f>IF(Person3!$B$3+ROW(A77)-1&lt;=Person3!$C$3, Person3!$B$3+ROW(A77)-1, "")</f>
        <v/>
      </c>
      <c r="B79" s="1" t="str">
        <f>IF(Person3!$B$4+ROW(B77)-1&lt;=Person3!$C$4, Person3!$B$4+ROW(B77)-1, "")</f>
        <v/>
      </c>
      <c r="C79" s="1" t="str">
        <f>IF(Person3!$B$5+ROW(B77)-1&lt;=Person3!$C$5, Person3!$B$5+ROW(B77)-1, "")</f>
        <v/>
      </c>
      <c r="D79" s="1" t="str">
        <f>IF(Person3!$B$6+ROW(B77)-1&lt;=Person3!$C$6, Person3!$B$6+ROW(B77)-1, "")</f>
        <v/>
      </c>
      <c r="E79" s="1" t="str">
        <f>IF(Person3!$B$7+ROW(B77)-1&lt;=Person3!$C$7, Person3!$B$7+ROW(B77)-1, "")</f>
        <v/>
      </c>
      <c r="F79" s="1" t="str">
        <f>IF(Person3!$B$8+ROW(B77)-1&lt;=Person3!$C$8, Person3!$B$8+ROW(B77)-1, "")</f>
        <v/>
      </c>
      <c r="G79" s="1" t="str">
        <f>IF(Person3!$B$9+ROW(B77)-1&lt;=Person3!$C$9, Person3!$B$9+ROW(B77)-1, "")</f>
        <v/>
      </c>
      <c r="H79" s="1" t="str">
        <f>IF(Person3!$B$10+ROW(B77)-1&lt;=Person3!$C$10, Person3!$B$10+ROW(B77)-1, "")</f>
        <v/>
      </c>
      <c r="I79" s="1" t="str">
        <f>IF(Person3!$B$11+ROW(B77)-1&lt;=Person3!$C$11, Person3!$B$11+ROW(B77)-1, "")</f>
        <v/>
      </c>
      <c r="J79" s="1" t="str">
        <f>IF(Person3!$B$12+ROW(B77)-1&lt;=Person3!$C$12, Person3!$B$12+ROW(B77)-1, "")</f>
        <v/>
      </c>
      <c r="K79" s="1" t="str">
        <f>IF(Person3!$B$13+ROW(B77)-1&lt;=Person3!$C$13, Person3!$B$13+ROW(B77)-1, "")</f>
        <v/>
      </c>
      <c r="L79" s="1" t="str">
        <f>IF(Person3!$B$14+ROW(B77)-1&lt;=Person3!$C$14, Person3!$B$14+ROW(B77)-1, "")</f>
        <v/>
      </c>
      <c r="M79" s="1" t="str">
        <f>IF(Person3!$B$15+ROW(B77)-1&lt;=Person3!$C$15, Person3!$B$15+ROW(B77)-1, "")</f>
        <v/>
      </c>
      <c r="N79" s="1" t="str">
        <f>IF(Person3!$B$16+ROW(B77)-1&lt;=Person3!$C$16, Person3!$B$16+ROW(B77)-1, "")</f>
        <v/>
      </c>
      <c r="O79" s="1" t="str">
        <f>IF(Person3!$B$17+ROW(B77)-1&lt;=Person3!$C$17, Person3!$B$17+ROW(B77)-1, "")</f>
        <v/>
      </c>
      <c r="V79" s="1" t="str">
        <f>IF(Person3!$D$3+ROW(A77)-1&lt;=Person3!$E$3, Person3!$D$3+ROW(A77)-1, "")</f>
        <v/>
      </c>
      <c r="W79" s="1" t="str">
        <f>IF(Person3!$D$4+ROW(A77)-1&lt;=Person3!$E$4, Person3!$D$4+ROW(A77)-1, "")</f>
        <v/>
      </c>
      <c r="X79" s="1" t="str">
        <f>IF(Person3!$D$5+ROW(A77)-1&lt;=Person3!$E$5, Person3!$D$5+ROW(A77)-1, "")</f>
        <v/>
      </c>
      <c r="Y79" s="1" t="str">
        <f>IF(Person3!$D$6+ROW(A77)-1&lt;=Person3!$E$6, Person3!$D$6+ROW(A77)-1, "")</f>
        <v/>
      </c>
      <c r="Z79" s="1" t="str">
        <f>IF(Person3!$D$7+ROW(A77)-1&lt;=Person3!$E$7, Person3!$D$7+ROW(A77)-1, "")</f>
        <v/>
      </c>
      <c r="AA79" s="1" t="str">
        <f>IF(Person3!$D$8+ROW(A77)-1&lt;=Person3!$E$8, Person3!$D$8+ROW(A77)-1, "")</f>
        <v/>
      </c>
      <c r="AE79" s="1" t="str">
        <f>IF(Person3!$F$3+ROW(A77)-1&lt;=Person3!$G$3, Person3!$F$3+ROW(A77)-1, "")</f>
        <v/>
      </c>
      <c r="AF79" s="1" t="str">
        <f>IF(Person3!$F$4+ROW(A77)-1&lt;=Person3!$G$4, Person3!$F$4+ROW(A77)-1, "")</f>
        <v/>
      </c>
      <c r="AG79" s="1" t="str">
        <f>IF(Person3!$F$5+ROW(A77)-1&lt;=Person3!$G$5, Person3!$F$5+ROW(A77)-1, "")</f>
        <v/>
      </c>
      <c r="AH79" s="1" t="str">
        <f>IF(Person3!$F$6+ROW(A77)-1&lt;=Person3!$G$6, Person3!$F$6+ROW(A77)-1, "")</f>
        <v/>
      </c>
      <c r="AI79" s="1" t="str">
        <f>IF(Person3!$F$7+ROW(A77)-1&lt;=Person3!$G$7, Person3!$F$7+ROW(A77)-1, "")</f>
        <v/>
      </c>
    </row>
    <row r="80" spans="1:35" x14ac:dyDescent="0.3">
      <c r="A80" s="1" t="str">
        <f>IF(Person3!$B$3+ROW(A78)-1&lt;=Person3!$C$3, Person3!$B$3+ROW(A78)-1, "")</f>
        <v/>
      </c>
      <c r="B80" s="1" t="str">
        <f>IF(Person3!$B$4+ROW(B78)-1&lt;=Person3!$C$4, Person3!$B$4+ROW(B78)-1, "")</f>
        <v/>
      </c>
      <c r="C80" s="1" t="str">
        <f>IF(Person3!$B$5+ROW(B78)-1&lt;=Person3!$C$5, Person3!$B$5+ROW(B78)-1, "")</f>
        <v/>
      </c>
      <c r="D80" s="1" t="str">
        <f>IF(Person3!$B$6+ROW(B78)-1&lt;=Person3!$C$6, Person3!$B$6+ROW(B78)-1, "")</f>
        <v/>
      </c>
      <c r="E80" s="1" t="str">
        <f>IF(Person3!$B$7+ROW(B78)-1&lt;=Person3!$C$7, Person3!$B$7+ROW(B78)-1, "")</f>
        <v/>
      </c>
      <c r="F80" s="1" t="str">
        <f>IF(Person3!$B$8+ROW(B78)-1&lt;=Person3!$C$8, Person3!$B$8+ROW(B78)-1, "")</f>
        <v/>
      </c>
      <c r="G80" s="1" t="str">
        <f>IF(Person3!$B$9+ROW(B78)-1&lt;=Person3!$C$9, Person3!$B$9+ROW(B78)-1, "")</f>
        <v/>
      </c>
      <c r="H80" s="1" t="str">
        <f>IF(Person3!$B$10+ROW(B78)-1&lt;=Person3!$C$10, Person3!$B$10+ROW(B78)-1, "")</f>
        <v/>
      </c>
      <c r="I80" s="1" t="str">
        <f>IF(Person3!$B$11+ROW(B78)-1&lt;=Person3!$C$11, Person3!$B$11+ROW(B78)-1, "")</f>
        <v/>
      </c>
      <c r="J80" s="1" t="str">
        <f>IF(Person3!$B$12+ROW(B78)-1&lt;=Person3!$C$12, Person3!$B$12+ROW(B78)-1, "")</f>
        <v/>
      </c>
      <c r="K80" s="1" t="str">
        <f>IF(Person3!$B$13+ROW(B78)-1&lt;=Person3!$C$13, Person3!$B$13+ROW(B78)-1, "")</f>
        <v/>
      </c>
      <c r="L80" s="1" t="str">
        <f>IF(Person3!$B$14+ROW(B78)-1&lt;=Person3!$C$14, Person3!$B$14+ROW(B78)-1, "")</f>
        <v/>
      </c>
      <c r="M80" s="1" t="str">
        <f>IF(Person3!$B$15+ROW(B78)-1&lt;=Person3!$C$15, Person3!$B$15+ROW(B78)-1, "")</f>
        <v/>
      </c>
      <c r="N80" s="1" t="str">
        <f>IF(Person3!$B$16+ROW(B78)-1&lt;=Person3!$C$16, Person3!$B$16+ROW(B78)-1, "")</f>
        <v/>
      </c>
      <c r="O80" s="1" t="str">
        <f>IF(Person3!$B$17+ROW(B78)-1&lt;=Person3!$C$17, Person3!$B$17+ROW(B78)-1, "")</f>
        <v/>
      </c>
      <c r="V80" s="1" t="str">
        <f>IF(Person3!$D$3+ROW(A78)-1&lt;=Person3!$E$3, Person3!$D$3+ROW(A78)-1, "")</f>
        <v/>
      </c>
      <c r="W80" s="1" t="str">
        <f>IF(Person3!$D$4+ROW(A78)-1&lt;=Person3!$E$4, Person3!$D$4+ROW(A78)-1, "")</f>
        <v/>
      </c>
      <c r="X80" s="1" t="str">
        <f>IF(Person3!$D$5+ROW(A78)-1&lt;=Person3!$E$5, Person3!$D$5+ROW(A78)-1, "")</f>
        <v/>
      </c>
      <c r="Y80" s="1" t="str">
        <f>IF(Person3!$D$6+ROW(A78)-1&lt;=Person3!$E$6, Person3!$D$6+ROW(A78)-1, "")</f>
        <v/>
      </c>
      <c r="Z80" s="1" t="str">
        <f>IF(Person3!$D$7+ROW(A78)-1&lt;=Person3!$E$7, Person3!$D$7+ROW(A78)-1, "")</f>
        <v/>
      </c>
      <c r="AA80" s="1" t="str">
        <f>IF(Person3!$D$8+ROW(A78)-1&lt;=Person3!$E$8, Person3!$D$8+ROW(A78)-1, "")</f>
        <v/>
      </c>
      <c r="AE80" s="1" t="str">
        <f>IF(Person3!$F$3+ROW(A78)-1&lt;=Person3!$G$3, Person3!$F$3+ROW(A78)-1, "")</f>
        <v/>
      </c>
      <c r="AF80" s="1" t="str">
        <f>IF(Person3!$F$4+ROW(A78)-1&lt;=Person3!$G$4, Person3!$F$4+ROW(A78)-1, "")</f>
        <v/>
      </c>
      <c r="AG80" s="1" t="str">
        <f>IF(Person3!$F$5+ROW(A78)-1&lt;=Person3!$G$5, Person3!$F$5+ROW(A78)-1, "")</f>
        <v/>
      </c>
      <c r="AH80" s="1" t="str">
        <f>IF(Person3!$F$6+ROW(A78)-1&lt;=Person3!$G$6, Person3!$F$6+ROW(A78)-1, "")</f>
        <v/>
      </c>
      <c r="AI80" s="1" t="str">
        <f>IF(Person3!$F$7+ROW(A78)-1&lt;=Person3!$G$7, Person3!$F$7+ROW(A78)-1, "")</f>
        <v/>
      </c>
    </row>
    <row r="81" spans="1:35" x14ac:dyDescent="0.3">
      <c r="A81" s="1" t="str">
        <f>IF(Person3!$B$3+ROW(A79)-1&lt;=Person3!$C$3, Person3!$B$3+ROW(A79)-1, "")</f>
        <v/>
      </c>
      <c r="B81" s="1" t="str">
        <f>IF(Person3!$B$4+ROW(B79)-1&lt;=Person3!$C$4, Person3!$B$4+ROW(B79)-1, "")</f>
        <v/>
      </c>
      <c r="C81" s="1" t="str">
        <f>IF(Person3!$B$5+ROW(B79)-1&lt;=Person3!$C$5, Person3!$B$5+ROW(B79)-1, "")</f>
        <v/>
      </c>
      <c r="D81" s="1" t="str">
        <f>IF(Person3!$B$6+ROW(B79)-1&lt;=Person3!$C$6, Person3!$B$6+ROW(B79)-1, "")</f>
        <v/>
      </c>
      <c r="E81" s="1" t="str">
        <f>IF(Person3!$B$7+ROW(B79)-1&lt;=Person3!$C$7, Person3!$B$7+ROW(B79)-1, "")</f>
        <v/>
      </c>
      <c r="F81" s="1" t="str">
        <f>IF(Person3!$B$8+ROW(B79)-1&lt;=Person3!$C$8, Person3!$B$8+ROW(B79)-1, "")</f>
        <v/>
      </c>
      <c r="G81" s="1" t="str">
        <f>IF(Person3!$B$9+ROW(B79)-1&lt;=Person3!$C$9, Person3!$B$9+ROW(B79)-1, "")</f>
        <v/>
      </c>
      <c r="H81" s="1" t="str">
        <f>IF(Person3!$B$10+ROW(B79)-1&lt;=Person3!$C$10, Person3!$B$10+ROW(B79)-1, "")</f>
        <v/>
      </c>
      <c r="I81" s="1" t="str">
        <f>IF(Person3!$B$11+ROW(B79)-1&lt;=Person3!$C$11, Person3!$B$11+ROW(B79)-1, "")</f>
        <v/>
      </c>
      <c r="J81" s="1" t="str">
        <f>IF(Person3!$B$12+ROW(B79)-1&lt;=Person3!$C$12, Person3!$B$12+ROW(B79)-1, "")</f>
        <v/>
      </c>
      <c r="K81" s="1" t="str">
        <f>IF(Person3!$B$13+ROW(B79)-1&lt;=Person3!$C$13, Person3!$B$13+ROW(B79)-1, "")</f>
        <v/>
      </c>
      <c r="L81" s="1" t="str">
        <f>IF(Person3!$B$14+ROW(B79)-1&lt;=Person3!$C$14, Person3!$B$14+ROW(B79)-1, "")</f>
        <v/>
      </c>
      <c r="M81" s="1" t="str">
        <f>IF(Person3!$B$15+ROW(B79)-1&lt;=Person3!$C$15, Person3!$B$15+ROW(B79)-1, "")</f>
        <v/>
      </c>
      <c r="N81" s="1" t="str">
        <f>IF(Person3!$B$16+ROW(B79)-1&lt;=Person3!$C$16, Person3!$B$16+ROW(B79)-1, "")</f>
        <v/>
      </c>
      <c r="O81" s="1" t="str">
        <f>IF(Person3!$B$17+ROW(B79)-1&lt;=Person3!$C$17, Person3!$B$17+ROW(B79)-1, "")</f>
        <v/>
      </c>
      <c r="V81" s="1" t="str">
        <f>IF(Person3!$D$3+ROW(A79)-1&lt;=Person3!$E$3, Person3!$D$3+ROW(A79)-1, "")</f>
        <v/>
      </c>
      <c r="W81" s="1" t="str">
        <f>IF(Person3!$D$4+ROW(A79)-1&lt;=Person3!$E$4, Person3!$D$4+ROW(A79)-1, "")</f>
        <v/>
      </c>
      <c r="X81" s="1" t="str">
        <f>IF(Person3!$D$5+ROW(A79)-1&lt;=Person3!$E$5, Person3!$D$5+ROW(A79)-1, "")</f>
        <v/>
      </c>
      <c r="Y81" s="1" t="str">
        <f>IF(Person3!$D$6+ROW(A79)-1&lt;=Person3!$E$6, Person3!$D$6+ROW(A79)-1, "")</f>
        <v/>
      </c>
      <c r="Z81" s="1" t="str">
        <f>IF(Person3!$D$7+ROW(A79)-1&lt;=Person3!$E$7, Person3!$D$7+ROW(A79)-1, "")</f>
        <v/>
      </c>
      <c r="AA81" s="1" t="str">
        <f>IF(Person3!$D$8+ROW(A79)-1&lt;=Person3!$E$8, Person3!$D$8+ROW(A79)-1, "")</f>
        <v/>
      </c>
      <c r="AE81" s="1" t="str">
        <f>IF(Person3!$F$3+ROW(A79)-1&lt;=Person3!$G$3, Person3!$F$3+ROW(A79)-1, "")</f>
        <v/>
      </c>
      <c r="AF81" s="1" t="str">
        <f>IF(Person3!$F$4+ROW(A79)-1&lt;=Person3!$G$4, Person3!$F$4+ROW(A79)-1, "")</f>
        <v/>
      </c>
      <c r="AG81" s="1" t="str">
        <f>IF(Person3!$F$5+ROW(A79)-1&lt;=Person3!$G$5, Person3!$F$5+ROW(A79)-1, "")</f>
        <v/>
      </c>
      <c r="AH81" s="1" t="str">
        <f>IF(Person3!$F$6+ROW(A79)-1&lt;=Person3!$G$6, Person3!$F$6+ROW(A79)-1, "")</f>
        <v/>
      </c>
      <c r="AI81" s="1" t="str">
        <f>IF(Person3!$F$7+ROW(A79)-1&lt;=Person3!$G$7, Person3!$F$7+ROW(A79)-1, "")</f>
        <v/>
      </c>
    </row>
    <row r="82" spans="1:35" x14ac:dyDescent="0.3">
      <c r="A82" s="1" t="str">
        <f>IF(Person3!$B$3+ROW(A80)-1&lt;=Person3!$C$3, Person3!$B$3+ROW(A80)-1, "")</f>
        <v/>
      </c>
      <c r="B82" s="1" t="str">
        <f>IF(Person3!$B$4+ROW(B80)-1&lt;=Person3!$C$4, Person3!$B$4+ROW(B80)-1, "")</f>
        <v/>
      </c>
      <c r="C82" s="1" t="str">
        <f>IF(Person3!$B$5+ROW(B80)-1&lt;=Person3!$C$5, Person3!$B$5+ROW(B80)-1, "")</f>
        <v/>
      </c>
      <c r="D82" s="1" t="str">
        <f>IF(Person3!$B$6+ROW(B80)-1&lt;=Person3!$C$6, Person3!$B$6+ROW(B80)-1, "")</f>
        <v/>
      </c>
      <c r="E82" s="1" t="str">
        <f>IF(Person3!$B$7+ROW(B80)-1&lt;=Person3!$C$7, Person3!$B$7+ROW(B80)-1, "")</f>
        <v/>
      </c>
      <c r="F82" s="1" t="str">
        <f>IF(Person3!$B$8+ROW(B80)-1&lt;=Person3!$C$8, Person3!$B$8+ROW(B80)-1, "")</f>
        <v/>
      </c>
      <c r="G82" s="1" t="str">
        <f>IF(Person3!$B$9+ROW(B80)-1&lt;=Person3!$C$9, Person3!$B$9+ROW(B80)-1, "")</f>
        <v/>
      </c>
      <c r="H82" s="1" t="str">
        <f>IF(Person3!$B$10+ROW(B80)-1&lt;=Person3!$C$10, Person3!$B$10+ROW(B80)-1, "")</f>
        <v/>
      </c>
      <c r="I82" s="1" t="str">
        <f>IF(Person3!$B$11+ROW(B80)-1&lt;=Person3!$C$11, Person3!$B$11+ROW(B80)-1, "")</f>
        <v/>
      </c>
      <c r="J82" s="1" t="str">
        <f>IF(Person3!$B$12+ROW(B80)-1&lt;=Person3!$C$12, Person3!$B$12+ROW(B80)-1, "")</f>
        <v/>
      </c>
      <c r="K82" s="1" t="str">
        <f>IF(Person3!$B$13+ROW(B80)-1&lt;=Person3!$C$13, Person3!$B$13+ROW(B80)-1, "")</f>
        <v/>
      </c>
      <c r="L82" s="1" t="str">
        <f>IF(Person3!$B$14+ROW(B80)-1&lt;=Person3!$C$14, Person3!$B$14+ROW(B80)-1, "")</f>
        <v/>
      </c>
      <c r="M82" s="1" t="str">
        <f>IF(Person3!$B$15+ROW(B80)-1&lt;=Person3!$C$15, Person3!$B$15+ROW(B80)-1, "")</f>
        <v/>
      </c>
      <c r="N82" s="1" t="str">
        <f>IF(Person3!$B$16+ROW(B80)-1&lt;=Person3!$C$16, Person3!$B$16+ROW(B80)-1, "")</f>
        <v/>
      </c>
      <c r="O82" s="1" t="str">
        <f>IF(Person3!$B$17+ROW(B80)-1&lt;=Person3!$C$17, Person3!$B$17+ROW(B80)-1, "")</f>
        <v/>
      </c>
      <c r="V82" s="1" t="str">
        <f>IF(Person3!$D$3+ROW(A80)-1&lt;=Person3!$E$3, Person3!$D$3+ROW(A80)-1, "")</f>
        <v/>
      </c>
      <c r="W82" s="1" t="str">
        <f>IF(Person3!$D$4+ROW(A80)-1&lt;=Person3!$E$4, Person3!$D$4+ROW(A80)-1, "")</f>
        <v/>
      </c>
      <c r="X82" s="1" t="str">
        <f>IF(Person3!$D$5+ROW(A80)-1&lt;=Person3!$E$5, Person3!$D$5+ROW(A80)-1, "")</f>
        <v/>
      </c>
      <c r="Y82" s="1" t="str">
        <f>IF(Person3!$D$6+ROW(A80)-1&lt;=Person3!$E$6, Person3!$D$6+ROW(A80)-1, "")</f>
        <v/>
      </c>
      <c r="Z82" s="1" t="str">
        <f>IF(Person3!$D$7+ROW(A80)-1&lt;=Person3!$E$7, Person3!$D$7+ROW(A80)-1, "")</f>
        <v/>
      </c>
      <c r="AA82" s="1" t="str">
        <f>IF(Person3!$D$8+ROW(A80)-1&lt;=Person3!$E$8, Person3!$D$8+ROW(A80)-1, "")</f>
        <v/>
      </c>
      <c r="AE82" s="1" t="str">
        <f>IF(Person3!$F$3+ROW(A80)-1&lt;=Person3!$G$3, Person3!$F$3+ROW(A80)-1, "")</f>
        <v/>
      </c>
      <c r="AF82" s="1" t="str">
        <f>IF(Person3!$F$4+ROW(A80)-1&lt;=Person3!$G$4, Person3!$F$4+ROW(A80)-1, "")</f>
        <v/>
      </c>
      <c r="AG82" s="1" t="str">
        <f>IF(Person3!$F$5+ROW(A80)-1&lt;=Person3!$G$5, Person3!$F$5+ROW(A80)-1, "")</f>
        <v/>
      </c>
      <c r="AH82" s="1" t="str">
        <f>IF(Person3!$F$6+ROW(A80)-1&lt;=Person3!$G$6, Person3!$F$6+ROW(A80)-1, "")</f>
        <v/>
      </c>
      <c r="AI82" s="1" t="str">
        <f>IF(Person3!$F$7+ROW(A80)-1&lt;=Person3!$G$7, Person3!$F$7+ROW(A80)-1, "")</f>
        <v/>
      </c>
    </row>
    <row r="83" spans="1:35" x14ac:dyDescent="0.3">
      <c r="A83" s="1" t="str">
        <f>IF(Person3!$B$3+ROW(A81)-1&lt;=Person3!$C$3, Person3!$B$3+ROW(A81)-1, "")</f>
        <v/>
      </c>
      <c r="B83" s="1" t="str">
        <f>IF(Person3!$B$4+ROW(B81)-1&lt;=Person3!$C$4, Person3!$B$4+ROW(B81)-1, "")</f>
        <v/>
      </c>
      <c r="C83" s="1" t="str">
        <f>IF(Person3!$B$5+ROW(B81)-1&lt;=Person3!$C$5, Person3!$B$5+ROW(B81)-1, "")</f>
        <v/>
      </c>
      <c r="D83" s="1" t="str">
        <f>IF(Person3!$B$6+ROW(B81)-1&lt;=Person3!$C$6, Person3!$B$6+ROW(B81)-1, "")</f>
        <v/>
      </c>
      <c r="E83" s="1" t="str">
        <f>IF(Person3!$B$7+ROW(B81)-1&lt;=Person3!$C$7, Person3!$B$7+ROW(B81)-1, "")</f>
        <v/>
      </c>
      <c r="F83" s="1" t="str">
        <f>IF(Person3!$B$8+ROW(B81)-1&lt;=Person3!$C$8, Person3!$B$8+ROW(B81)-1, "")</f>
        <v/>
      </c>
      <c r="G83" s="1" t="str">
        <f>IF(Person3!$B$9+ROW(B81)-1&lt;=Person3!$C$9, Person3!$B$9+ROW(B81)-1, "")</f>
        <v/>
      </c>
      <c r="H83" s="1" t="str">
        <f>IF(Person3!$B$10+ROW(B81)-1&lt;=Person3!$C$10, Person3!$B$10+ROW(B81)-1, "")</f>
        <v/>
      </c>
      <c r="I83" s="1" t="str">
        <f>IF(Person3!$B$11+ROW(B81)-1&lt;=Person3!$C$11, Person3!$B$11+ROW(B81)-1, "")</f>
        <v/>
      </c>
      <c r="J83" s="1" t="str">
        <f>IF(Person3!$B$12+ROW(B81)-1&lt;=Person3!$C$12, Person3!$B$12+ROW(B81)-1, "")</f>
        <v/>
      </c>
      <c r="K83" s="1" t="str">
        <f>IF(Person3!$B$13+ROW(B81)-1&lt;=Person3!$C$13, Person3!$B$13+ROW(B81)-1, "")</f>
        <v/>
      </c>
      <c r="L83" s="1" t="str">
        <f>IF(Person3!$B$14+ROW(B81)-1&lt;=Person3!$C$14, Person3!$B$14+ROW(B81)-1, "")</f>
        <v/>
      </c>
      <c r="M83" s="1" t="str">
        <f>IF(Person3!$B$15+ROW(B81)-1&lt;=Person3!$C$15, Person3!$B$15+ROW(B81)-1, "")</f>
        <v/>
      </c>
      <c r="N83" s="1" t="str">
        <f>IF(Person3!$B$16+ROW(B81)-1&lt;=Person3!$C$16, Person3!$B$16+ROW(B81)-1, "")</f>
        <v/>
      </c>
      <c r="O83" s="1" t="str">
        <f>IF(Person3!$B$17+ROW(B81)-1&lt;=Person3!$C$17, Person3!$B$17+ROW(B81)-1, "")</f>
        <v/>
      </c>
      <c r="V83" s="1" t="str">
        <f>IF(Person3!$D$3+ROW(A81)-1&lt;=Person3!$E$3, Person3!$D$3+ROW(A81)-1, "")</f>
        <v/>
      </c>
      <c r="W83" s="1" t="str">
        <f>IF(Person3!$D$4+ROW(A81)-1&lt;=Person3!$E$4, Person3!$D$4+ROW(A81)-1, "")</f>
        <v/>
      </c>
      <c r="X83" s="1" t="str">
        <f>IF(Person3!$D$5+ROW(A81)-1&lt;=Person3!$E$5, Person3!$D$5+ROW(A81)-1, "")</f>
        <v/>
      </c>
      <c r="Y83" s="1" t="str">
        <f>IF(Person3!$D$6+ROW(A81)-1&lt;=Person3!$E$6, Person3!$D$6+ROW(A81)-1, "")</f>
        <v/>
      </c>
      <c r="Z83" s="1" t="str">
        <f>IF(Person3!$D$7+ROW(A81)-1&lt;=Person3!$E$7, Person3!$D$7+ROW(A81)-1, "")</f>
        <v/>
      </c>
      <c r="AA83" s="1" t="str">
        <f>IF(Person3!$D$8+ROW(A81)-1&lt;=Person3!$E$8, Person3!$D$8+ROW(A81)-1, "")</f>
        <v/>
      </c>
      <c r="AE83" s="1" t="str">
        <f>IF(Person3!$F$3+ROW(A81)-1&lt;=Person3!$G$3, Person3!$F$3+ROW(A81)-1, "")</f>
        <v/>
      </c>
      <c r="AF83" s="1" t="str">
        <f>IF(Person3!$F$4+ROW(A81)-1&lt;=Person3!$G$4, Person3!$F$4+ROW(A81)-1, "")</f>
        <v/>
      </c>
      <c r="AG83" s="1" t="str">
        <f>IF(Person3!$F$5+ROW(A81)-1&lt;=Person3!$G$5, Person3!$F$5+ROW(A81)-1, "")</f>
        <v/>
      </c>
      <c r="AH83" s="1" t="str">
        <f>IF(Person3!$F$6+ROW(A81)-1&lt;=Person3!$G$6, Person3!$F$6+ROW(A81)-1, "")</f>
        <v/>
      </c>
      <c r="AI83" s="1" t="str">
        <f>IF(Person3!$F$7+ROW(A81)-1&lt;=Person3!$G$7, Person3!$F$7+ROW(A81)-1, "")</f>
        <v/>
      </c>
    </row>
    <row r="84" spans="1:35" x14ac:dyDescent="0.3">
      <c r="A84" s="1" t="str">
        <f>IF(Person3!$B$3+ROW(A82)-1&lt;=Person3!$C$3, Person3!$B$3+ROW(A82)-1, "")</f>
        <v/>
      </c>
      <c r="B84" s="1" t="str">
        <f>IF(Person3!$B$4+ROW(B82)-1&lt;=Person3!$C$4, Person3!$B$4+ROW(B82)-1, "")</f>
        <v/>
      </c>
      <c r="C84" s="1" t="str">
        <f>IF(Person3!$B$5+ROW(B82)-1&lt;=Person3!$C$5, Person3!$B$5+ROW(B82)-1, "")</f>
        <v/>
      </c>
      <c r="D84" s="1" t="str">
        <f>IF(Person3!$B$6+ROW(B82)-1&lt;=Person3!$C$6, Person3!$B$6+ROW(B82)-1, "")</f>
        <v/>
      </c>
      <c r="E84" s="1" t="str">
        <f>IF(Person3!$B$7+ROW(B82)-1&lt;=Person3!$C$7, Person3!$B$7+ROW(B82)-1, "")</f>
        <v/>
      </c>
      <c r="F84" s="1" t="str">
        <f>IF(Person3!$B$8+ROW(B82)-1&lt;=Person3!$C$8, Person3!$B$8+ROW(B82)-1, "")</f>
        <v/>
      </c>
      <c r="G84" s="1" t="str">
        <f>IF(Person3!$B$9+ROW(B82)-1&lt;=Person3!$C$9, Person3!$B$9+ROW(B82)-1, "")</f>
        <v/>
      </c>
      <c r="H84" s="1" t="str">
        <f>IF(Person3!$B$10+ROW(B82)-1&lt;=Person3!$C$10, Person3!$B$10+ROW(B82)-1, "")</f>
        <v/>
      </c>
      <c r="I84" s="1" t="str">
        <f>IF(Person3!$B$11+ROW(B82)-1&lt;=Person3!$C$11, Person3!$B$11+ROW(B82)-1, "")</f>
        <v/>
      </c>
      <c r="J84" s="1" t="str">
        <f>IF(Person3!$B$12+ROW(B82)-1&lt;=Person3!$C$12, Person3!$B$12+ROW(B82)-1, "")</f>
        <v/>
      </c>
      <c r="K84" s="1" t="str">
        <f>IF(Person3!$B$13+ROW(B82)-1&lt;=Person3!$C$13, Person3!$B$13+ROW(B82)-1, "")</f>
        <v/>
      </c>
      <c r="L84" s="1" t="str">
        <f>IF(Person3!$B$14+ROW(B82)-1&lt;=Person3!$C$14, Person3!$B$14+ROW(B82)-1, "")</f>
        <v/>
      </c>
      <c r="M84" s="1" t="str">
        <f>IF(Person3!$B$15+ROW(B82)-1&lt;=Person3!$C$15, Person3!$B$15+ROW(B82)-1, "")</f>
        <v/>
      </c>
      <c r="N84" s="1" t="str">
        <f>IF(Person3!$B$16+ROW(B82)-1&lt;=Person3!$C$16, Person3!$B$16+ROW(B82)-1, "")</f>
        <v/>
      </c>
      <c r="O84" s="1" t="str">
        <f>IF(Person3!$B$17+ROW(B82)-1&lt;=Person3!$C$17, Person3!$B$17+ROW(B82)-1, "")</f>
        <v/>
      </c>
      <c r="V84" s="1" t="str">
        <f>IF(Person3!$D$3+ROW(A82)-1&lt;=Person3!$E$3, Person3!$D$3+ROW(A82)-1, "")</f>
        <v/>
      </c>
      <c r="W84" s="1" t="str">
        <f>IF(Person3!$D$4+ROW(A82)-1&lt;=Person3!$E$4, Person3!$D$4+ROW(A82)-1, "")</f>
        <v/>
      </c>
      <c r="X84" s="1" t="str">
        <f>IF(Person3!$D$5+ROW(A82)-1&lt;=Person3!$E$5, Person3!$D$5+ROW(A82)-1, "")</f>
        <v/>
      </c>
      <c r="Y84" s="1" t="str">
        <f>IF(Person3!$D$6+ROW(A82)-1&lt;=Person3!$E$6, Person3!$D$6+ROW(A82)-1, "")</f>
        <v/>
      </c>
      <c r="Z84" s="1" t="str">
        <f>IF(Person3!$D$7+ROW(A82)-1&lt;=Person3!$E$7, Person3!$D$7+ROW(A82)-1, "")</f>
        <v/>
      </c>
      <c r="AA84" s="1" t="str">
        <f>IF(Person3!$D$8+ROW(A82)-1&lt;=Person3!$E$8, Person3!$D$8+ROW(A82)-1, "")</f>
        <v/>
      </c>
      <c r="AE84" s="1" t="str">
        <f>IF(Person3!$F$3+ROW(A82)-1&lt;=Person3!$G$3, Person3!$F$3+ROW(A82)-1, "")</f>
        <v/>
      </c>
      <c r="AF84" s="1" t="str">
        <f>IF(Person3!$F$4+ROW(A82)-1&lt;=Person3!$G$4, Person3!$F$4+ROW(A82)-1, "")</f>
        <v/>
      </c>
      <c r="AG84" s="1" t="str">
        <f>IF(Person3!$F$5+ROW(A82)-1&lt;=Person3!$G$5, Person3!$F$5+ROW(A82)-1, "")</f>
        <v/>
      </c>
      <c r="AH84" s="1" t="str">
        <f>IF(Person3!$F$6+ROW(A82)-1&lt;=Person3!$G$6, Person3!$F$6+ROW(A82)-1, "")</f>
        <v/>
      </c>
      <c r="AI84" s="1" t="str">
        <f>IF(Person3!$F$7+ROW(A82)-1&lt;=Person3!$G$7, Person3!$F$7+ROW(A82)-1, "")</f>
        <v/>
      </c>
    </row>
    <row r="85" spans="1:35" x14ac:dyDescent="0.3">
      <c r="A85" s="1" t="str">
        <f>IF(Person3!$B$3+ROW(A83)-1&lt;=Person3!$C$3, Person3!$B$3+ROW(A83)-1, "")</f>
        <v/>
      </c>
      <c r="B85" s="1" t="str">
        <f>IF(Person3!$B$4+ROW(B83)-1&lt;=Person3!$C$4, Person3!$B$4+ROW(B83)-1, "")</f>
        <v/>
      </c>
      <c r="C85" s="1" t="str">
        <f>IF(Person3!$B$5+ROW(B83)-1&lt;=Person3!$C$5, Person3!$B$5+ROW(B83)-1, "")</f>
        <v/>
      </c>
      <c r="D85" s="1" t="str">
        <f>IF(Person3!$B$6+ROW(B83)-1&lt;=Person3!$C$6, Person3!$B$6+ROW(B83)-1, "")</f>
        <v/>
      </c>
      <c r="E85" s="1" t="str">
        <f>IF(Person3!$B$7+ROW(B83)-1&lt;=Person3!$C$7, Person3!$B$7+ROW(B83)-1, "")</f>
        <v/>
      </c>
      <c r="F85" s="1" t="str">
        <f>IF(Person3!$B$8+ROW(B83)-1&lt;=Person3!$C$8, Person3!$B$8+ROW(B83)-1, "")</f>
        <v/>
      </c>
      <c r="G85" s="1" t="str">
        <f>IF(Person3!$B$9+ROW(B83)-1&lt;=Person3!$C$9, Person3!$B$9+ROW(B83)-1, "")</f>
        <v/>
      </c>
      <c r="H85" s="1" t="str">
        <f>IF(Person3!$B$10+ROW(B83)-1&lt;=Person3!$C$10, Person3!$B$10+ROW(B83)-1, "")</f>
        <v/>
      </c>
      <c r="I85" s="1" t="str">
        <f>IF(Person3!$B$11+ROW(B83)-1&lt;=Person3!$C$11, Person3!$B$11+ROW(B83)-1, "")</f>
        <v/>
      </c>
      <c r="J85" s="1" t="str">
        <f>IF(Person3!$B$12+ROW(B83)-1&lt;=Person3!$C$12, Person3!$B$12+ROW(B83)-1, "")</f>
        <v/>
      </c>
      <c r="K85" s="1" t="str">
        <f>IF(Person3!$B$13+ROW(B83)-1&lt;=Person3!$C$13, Person3!$B$13+ROW(B83)-1, "")</f>
        <v/>
      </c>
      <c r="L85" s="1" t="str">
        <f>IF(Person3!$B$14+ROW(B83)-1&lt;=Person3!$C$14, Person3!$B$14+ROW(B83)-1, "")</f>
        <v/>
      </c>
      <c r="M85" s="1" t="str">
        <f>IF(Person3!$B$15+ROW(B83)-1&lt;=Person3!$C$15, Person3!$B$15+ROW(B83)-1, "")</f>
        <v/>
      </c>
      <c r="N85" s="1" t="str">
        <f>IF(Person3!$B$16+ROW(B83)-1&lt;=Person3!$C$16, Person3!$B$16+ROW(B83)-1, "")</f>
        <v/>
      </c>
      <c r="O85" s="1" t="str">
        <f>IF(Person3!$B$17+ROW(B83)-1&lt;=Person3!$C$17, Person3!$B$17+ROW(B83)-1, "")</f>
        <v/>
      </c>
      <c r="V85" s="1" t="str">
        <f>IF(Person3!$D$3+ROW(A83)-1&lt;=Person3!$E$3, Person3!$D$3+ROW(A83)-1, "")</f>
        <v/>
      </c>
      <c r="W85" s="1" t="str">
        <f>IF(Person3!$D$4+ROW(A83)-1&lt;=Person3!$E$4, Person3!$D$4+ROW(A83)-1, "")</f>
        <v/>
      </c>
      <c r="X85" s="1" t="str">
        <f>IF(Person3!$D$5+ROW(A83)-1&lt;=Person3!$E$5, Person3!$D$5+ROW(A83)-1, "")</f>
        <v/>
      </c>
      <c r="Y85" s="1" t="str">
        <f>IF(Person3!$D$6+ROW(A83)-1&lt;=Person3!$E$6, Person3!$D$6+ROW(A83)-1, "")</f>
        <v/>
      </c>
      <c r="Z85" s="1" t="str">
        <f>IF(Person3!$D$7+ROW(A83)-1&lt;=Person3!$E$7, Person3!$D$7+ROW(A83)-1, "")</f>
        <v/>
      </c>
      <c r="AA85" s="1" t="str">
        <f>IF(Person3!$D$8+ROW(A83)-1&lt;=Person3!$E$8, Person3!$D$8+ROW(A83)-1, "")</f>
        <v/>
      </c>
      <c r="AE85" s="1" t="str">
        <f>IF(Person3!$F$3+ROW(A83)-1&lt;=Person3!$G$3, Person3!$F$3+ROW(A83)-1, "")</f>
        <v/>
      </c>
      <c r="AF85" s="1" t="str">
        <f>IF(Person3!$F$4+ROW(A83)-1&lt;=Person3!$G$4, Person3!$F$4+ROW(A83)-1, "")</f>
        <v/>
      </c>
      <c r="AG85" s="1" t="str">
        <f>IF(Person3!$F$5+ROW(A83)-1&lt;=Person3!$G$5, Person3!$F$5+ROW(A83)-1, "")</f>
        <v/>
      </c>
      <c r="AH85" s="1" t="str">
        <f>IF(Person3!$F$6+ROW(A83)-1&lt;=Person3!$G$6, Person3!$F$6+ROW(A83)-1, "")</f>
        <v/>
      </c>
      <c r="AI85" s="1" t="str">
        <f>IF(Person3!$F$7+ROW(A83)-1&lt;=Person3!$G$7, Person3!$F$7+ROW(A83)-1, "")</f>
        <v/>
      </c>
    </row>
    <row r="86" spans="1:35" x14ac:dyDescent="0.3">
      <c r="A86" s="1" t="str">
        <f>IF(Person3!$B$3+ROW(A84)-1&lt;=Person3!$C$3, Person3!$B$3+ROW(A84)-1, "")</f>
        <v/>
      </c>
      <c r="B86" s="1" t="str">
        <f>IF(Person3!$B$4+ROW(B84)-1&lt;=Person3!$C$4, Person3!$B$4+ROW(B84)-1, "")</f>
        <v/>
      </c>
      <c r="C86" s="1" t="str">
        <f>IF(Person3!$B$5+ROW(B84)-1&lt;=Person3!$C$5, Person3!$B$5+ROW(B84)-1, "")</f>
        <v/>
      </c>
      <c r="D86" s="1" t="str">
        <f>IF(Person3!$B$6+ROW(B84)-1&lt;=Person3!$C$6, Person3!$B$6+ROW(B84)-1, "")</f>
        <v/>
      </c>
      <c r="E86" s="1" t="str">
        <f>IF(Person3!$B$7+ROW(B84)-1&lt;=Person3!$C$7, Person3!$B$7+ROW(B84)-1, "")</f>
        <v/>
      </c>
      <c r="F86" s="1" t="str">
        <f>IF(Person3!$B$8+ROW(B84)-1&lt;=Person3!$C$8, Person3!$B$8+ROW(B84)-1, "")</f>
        <v/>
      </c>
      <c r="G86" s="1" t="str">
        <f>IF(Person3!$B$9+ROW(B84)-1&lt;=Person3!$C$9, Person3!$B$9+ROW(B84)-1, "")</f>
        <v/>
      </c>
      <c r="H86" s="1" t="str">
        <f>IF(Person3!$B$10+ROW(B84)-1&lt;=Person3!$C$10, Person3!$B$10+ROW(B84)-1, "")</f>
        <v/>
      </c>
      <c r="I86" s="1" t="str">
        <f>IF(Person3!$B$11+ROW(B84)-1&lt;=Person3!$C$11, Person3!$B$11+ROW(B84)-1, "")</f>
        <v/>
      </c>
      <c r="J86" s="1" t="str">
        <f>IF(Person3!$B$12+ROW(B84)-1&lt;=Person3!$C$12, Person3!$B$12+ROW(B84)-1, "")</f>
        <v/>
      </c>
      <c r="K86" s="1" t="str">
        <f>IF(Person3!$B$13+ROW(B84)-1&lt;=Person3!$C$13, Person3!$B$13+ROW(B84)-1, "")</f>
        <v/>
      </c>
      <c r="L86" s="1" t="str">
        <f>IF(Person3!$B$14+ROW(B84)-1&lt;=Person3!$C$14, Person3!$B$14+ROW(B84)-1, "")</f>
        <v/>
      </c>
      <c r="M86" s="1" t="str">
        <f>IF(Person3!$B$15+ROW(B84)-1&lt;=Person3!$C$15, Person3!$B$15+ROW(B84)-1, "")</f>
        <v/>
      </c>
      <c r="N86" s="1" t="str">
        <f>IF(Person3!$B$16+ROW(B84)-1&lt;=Person3!$C$16, Person3!$B$16+ROW(B84)-1, "")</f>
        <v/>
      </c>
      <c r="O86" s="1" t="str">
        <f>IF(Person3!$B$17+ROW(B84)-1&lt;=Person3!$C$17, Person3!$B$17+ROW(B84)-1, "")</f>
        <v/>
      </c>
      <c r="V86" s="1" t="str">
        <f>IF(Person3!$D$3+ROW(A84)-1&lt;=Person3!$E$3, Person3!$D$3+ROW(A84)-1, "")</f>
        <v/>
      </c>
      <c r="W86" s="1" t="str">
        <f>IF(Person3!$D$4+ROW(A84)-1&lt;=Person3!$E$4, Person3!$D$4+ROW(A84)-1, "")</f>
        <v/>
      </c>
      <c r="X86" s="1" t="str">
        <f>IF(Person3!$D$5+ROW(A84)-1&lt;=Person3!$E$5, Person3!$D$5+ROW(A84)-1, "")</f>
        <v/>
      </c>
      <c r="Y86" s="1" t="str">
        <f>IF(Person3!$D$6+ROW(A84)-1&lt;=Person3!$E$6, Person3!$D$6+ROW(A84)-1, "")</f>
        <v/>
      </c>
      <c r="Z86" s="1" t="str">
        <f>IF(Person3!$D$7+ROW(A84)-1&lt;=Person3!$E$7, Person3!$D$7+ROW(A84)-1, "")</f>
        <v/>
      </c>
      <c r="AA86" s="1" t="str">
        <f>IF(Person3!$D$8+ROW(A84)-1&lt;=Person3!$E$8, Person3!$D$8+ROW(A84)-1, "")</f>
        <v/>
      </c>
      <c r="AE86" s="1" t="str">
        <f>IF(Person3!$F$3+ROW(A84)-1&lt;=Person3!$G$3, Person3!$F$3+ROW(A84)-1, "")</f>
        <v/>
      </c>
      <c r="AF86" s="1" t="str">
        <f>IF(Person3!$F$4+ROW(A84)-1&lt;=Person3!$G$4, Person3!$F$4+ROW(A84)-1, "")</f>
        <v/>
      </c>
      <c r="AG86" s="1" t="str">
        <f>IF(Person3!$F$5+ROW(A84)-1&lt;=Person3!$G$5, Person3!$F$5+ROW(A84)-1, "")</f>
        <v/>
      </c>
      <c r="AH86" s="1" t="str">
        <f>IF(Person3!$F$6+ROW(A84)-1&lt;=Person3!$G$6, Person3!$F$6+ROW(A84)-1, "")</f>
        <v/>
      </c>
      <c r="AI86" s="1" t="str">
        <f>IF(Person3!$F$7+ROW(A84)-1&lt;=Person3!$G$7, Person3!$F$7+ROW(A84)-1, "")</f>
        <v/>
      </c>
    </row>
    <row r="87" spans="1:35" x14ac:dyDescent="0.3">
      <c r="A87" s="1" t="str">
        <f>IF(Person3!$B$3+ROW(A85)-1&lt;=Person3!$C$3, Person3!$B$3+ROW(A85)-1, "")</f>
        <v/>
      </c>
      <c r="B87" s="1" t="str">
        <f>IF(Person3!$B$4+ROW(B85)-1&lt;=Person3!$C$4, Person3!$B$4+ROW(B85)-1, "")</f>
        <v/>
      </c>
      <c r="C87" s="1" t="str">
        <f>IF(Person3!$B$5+ROW(B85)-1&lt;=Person3!$C$5, Person3!$B$5+ROW(B85)-1, "")</f>
        <v/>
      </c>
      <c r="D87" s="1" t="str">
        <f>IF(Person3!$B$6+ROW(B85)-1&lt;=Person3!$C$6, Person3!$B$6+ROW(B85)-1, "")</f>
        <v/>
      </c>
      <c r="E87" s="1" t="str">
        <f>IF(Person3!$B$7+ROW(B85)-1&lt;=Person3!$C$7, Person3!$B$7+ROW(B85)-1, "")</f>
        <v/>
      </c>
      <c r="F87" s="1" t="str">
        <f>IF(Person3!$B$8+ROW(B85)-1&lt;=Person3!$C$8, Person3!$B$8+ROW(B85)-1, "")</f>
        <v/>
      </c>
      <c r="G87" s="1" t="str">
        <f>IF(Person3!$B$9+ROW(B85)-1&lt;=Person3!$C$9, Person3!$B$9+ROW(B85)-1, "")</f>
        <v/>
      </c>
      <c r="H87" s="1" t="str">
        <f>IF(Person3!$B$10+ROW(B85)-1&lt;=Person3!$C$10, Person3!$B$10+ROW(B85)-1, "")</f>
        <v/>
      </c>
      <c r="I87" s="1" t="str">
        <f>IF(Person3!$B$11+ROW(B85)-1&lt;=Person3!$C$11, Person3!$B$11+ROW(B85)-1, "")</f>
        <v/>
      </c>
      <c r="J87" s="1" t="str">
        <f>IF(Person3!$B$12+ROW(B85)-1&lt;=Person3!$C$12, Person3!$B$12+ROW(B85)-1, "")</f>
        <v/>
      </c>
      <c r="K87" s="1" t="str">
        <f>IF(Person3!$B$13+ROW(B85)-1&lt;=Person3!$C$13, Person3!$B$13+ROW(B85)-1, "")</f>
        <v/>
      </c>
      <c r="L87" s="1" t="str">
        <f>IF(Person3!$B$14+ROW(B85)-1&lt;=Person3!$C$14, Person3!$B$14+ROW(B85)-1, "")</f>
        <v/>
      </c>
      <c r="M87" s="1" t="str">
        <f>IF(Person3!$B$15+ROW(B85)-1&lt;=Person3!$C$15, Person3!$B$15+ROW(B85)-1, "")</f>
        <v/>
      </c>
      <c r="N87" s="1" t="str">
        <f>IF(Person3!$B$16+ROW(B85)-1&lt;=Person3!$C$16, Person3!$B$16+ROW(B85)-1, "")</f>
        <v/>
      </c>
      <c r="O87" s="1" t="str">
        <f>IF(Person3!$B$17+ROW(B85)-1&lt;=Person3!$C$17, Person3!$B$17+ROW(B85)-1, "")</f>
        <v/>
      </c>
      <c r="V87" s="1" t="str">
        <f>IF(Person3!$D$3+ROW(A85)-1&lt;=Person3!$E$3, Person3!$D$3+ROW(A85)-1, "")</f>
        <v/>
      </c>
      <c r="W87" s="1" t="str">
        <f>IF(Person3!$D$4+ROW(A85)-1&lt;=Person3!$E$4, Person3!$D$4+ROW(A85)-1, "")</f>
        <v/>
      </c>
      <c r="X87" s="1" t="str">
        <f>IF(Person3!$D$5+ROW(A85)-1&lt;=Person3!$E$5, Person3!$D$5+ROW(A85)-1, "")</f>
        <v/>
      </c>
      <c r="Y87" s="1" t="str">
        <f>IF(Person3!$D$6+ROW(A85)-1&lt;=Person3!$E$6, Person3!$D$6+ROW(A85)-1, "")</f>
        <v/>
      </c>
      <c r="Z87" s="1" t="str">
        <f>IF(Person3!$D$7+ROW(A85)-1&lt;=Person3!$E$7, Person3!$D$7+ROW(A85)-1, "")</f>
        <v/>
      </c>
      <c r="AA87" s="1" t="str">
        <f>IF(Person3!$D$8+ROW(A85)-1&lt;=Person3!$E$8, Person3!$D$8+ROW(A85)-1, "")</f>
        <v/>
      </c>
      <c r="AE87" s="1" t="str">
        <f>IF(Person3!$F$3+ROW(A85)-1&lt;=Person3!$G$3, Person3!$F$3+ROW(A85)-1, "")</f>
        <v/>
      </c>
      <c r="AF87" s="1" t="str">
        <f>IF(Person3!$F$4+ROW(A85)-1&lt;=Person3!$G$4, Person3!$F$4+ROW(A85)-1, "")</f>
        <v/>
      </c>
      <c r="AG87" s="1" t="str">
        <f>IF(Person3!$F$5+ROW(A85)-1&lt;=Person3!$G$5, Person3!$F$5+ROW(A85)-1, "")</f>
        <v/>
      </c>
      <c r="AH87" s="1" t="str">
        <f>IF(Person3!$F$6+ROW(A85)-1&lt;=Person3!$G$6, Person3!$F$6+ROW(A85)-1, "")</f>
        <v/>
      </c>
      <c r="AI87" s="1" t="str">
        <f>IF(Person3!$F$7+ROW(A85)-1&lt;=Person3!$G$7, Person3!$F$7+ROW(A85)-1, "")</f>
        <v/>
      </c>
    </row>
    <row r="88" spans="1:35" x14ac:dyDescent="0.3">
      <c r="A88" s="1" t="str">
        <f>IF(Person3!$B$3+ROW(A86)-1&lt;=Person3!$C$3, Person3!$B$3+ROW(A86)-1, "")</f>
        <v/>
      </c>
      <c r="B88" s="1" t="str">
        <f>IF(Person3!$B$4+ROW(B86)-1&lt;=Person3!$C$4, Person3!$B$4+ROW(B86)-1, "")</f>
        <v/>
      </c>
      <c r="C88" s="1" t="str">
        <f>IF(Person3!$B$5+ROW(B86)-1&lt;=Person3!$C$5, Person3!$B$5+ROW(B86)-1, "")</f>
        <v/>
      </c>
      <c r="D88" s="1" t="str">
        <f>IF(Person3!$B$6+ROW(B86)-1&lt;=Person3!$C$6, Person3!$B$6+ROW(B86)-1, "")</f>
        <v/>
      </c>
      <c r="E88" s="1" t="str">
        <f>IF(Person3!$B$7+ROW(B86)-1&lt;=Person3!$C$7, Person3!$B$7+ROW(B86)-1, "")</f>
        <v/>
      </c>
      <c r="F88" s="1" t="str">
        <f>IF(Person3!$B$8+ROW(B86)-1&lt;=Person3!$C$8, Person3!$B$8+ROW(B86)-1, "")</f>
        <v/>
      </c>
      <c r="G88" s="1" t="str">
        <f>IF(Person3!$B$9+ROW(B86)-1&lt;=Person3!$C$9, Person3!$B$9+ROW(B86)-1, "")</f>
        <v/>
      </c>
      <c r="H88" s="1" t="str">
        <f>IF(Person3!$B$10+ROW(B86)-1&lt;=Person3!$C$10, Person3!$B$10+ROW(B86)-1, "")</f>
        <v/>
      </c>
      <c r="I88" s="1" t="str">
        <f>IF(Person3!$B$11+ROW(B86)-1&lt;=Person3!$C$11, Person3!$B$11+ROW(B86)-1, "")</f>
        <v/>
      </c>
      <c r="J88" s="1" t="str">
        <f>IF(Person3!$B$12+ROW(B86)-1&lt;=Person3!$C$12, Person3!$B$12+ROW(B86)-1, "")</f>
        <v/>
      </c>
      <c r="K88" s="1" t="str">
        <f>IF(Person3!$B$13+ROW(B86)-1&lt;=Person3!$C$13, Person3!$B$13+ROW(B86)-1, "")</f>
        <v/>
      </c>
      <c r="L88" s="1" t="str">
        <f>IF(Person3!$B$14+ROW(B86)-1&lt;=Person3!$C$14, Person3!$B$14+ROW(B86)-1, "")</f>
        <v/>
      </c>
      <c r="M88" s="1" t="str">
        <f>IF(Person3!$B$15+ROW(B86)-1&lt;=Person3!$C$15, Person3!$B$15+ROW(B86)-1, "")</f>
        <v/>
      </c>
      <c r="N88" s="1" t="str">
        <f>IF(Person3!$B$16+ROW(B86)-1&lt;=Person3!$C$16, Person3!$B$16+ROW(B86)-1, "")</f>
        <v/>
      </c>
      <c r="O88" s="1" t="str">
        <f>IF(Person3!$B$17+ROW(B86)-1&lt;=Person3!$C$17, Person3!$B$17+ROW(B86)-1, "")</f>
        <v/>
      </c>
      <c r="V88" s="1" t="str">
        <f>IF(Person3!$D$3+ROW(A86)-1&lt;=Person3!$E$3, Person3!$D$3+ROW(A86)-1, "")</f>
        <v/>
      </c>
      <c r="W88" s="1" t="str">
        <f>IF(Person3!$D$4+ROW(A86)-1&lt;=Person3!$E$4, Person3!$D$4+ROW(A86)-1, "")</f>
        <v/>
      </c>
      <c r="X88" s="1" t="str">
        <f>IF(Person3!$D$5+ROW(A86)-1&lt;=Person3!$E$5, Person3!$D$5+ROW(A86)-1, "")</f>
        <v/>
      </c>
      <c r="Y88" s="1" t="str">
        <f>IF(Person3!$D$6+ROW(A86)-1&lt;=Person3!$E$6, Person3!$D$6+ROW(A86)-1, "")</f>
        <v/>
      </c>
      <c r="Z88" s="1" t="str">
        <f>IF(Person3!$D$7+ROW(A86)-1&lt;=Person3!$E$7, Person3!$D$7+ROW(A86)-1, "")</f>
        <v/>
      </c>
      <c r="AA88" s="1" t="str">
        <f>IF(Person3!$D$8+ROW(A86)-1&lt;=Person3!$E$8, Person3!$D$8+ROW(A86)-1, "")</f>
        <v/>
      </c>
      <c r="AE88" s="1" t="str">
        <f>IF(Person3!$F$3+ROW(A86)-1&lt;=Person3!$G$3, Person3!$F$3+ROW(A86)-1, "")</f>
        <v/>
      </c>
      <c r="AF88" s="1" t="str">
        <f>IF(Person3!$F$4+ROW(A86)-1&lt;=Person3!$G$4, Person3!$F$4+ROW(A86)-1, "")</f>
        <v/>
      </c>
      <c r="AG88" s="1" t="str">
        <f>IF(Person3!$F$5+ROW(A86)-1&lt;=Person3!$G$5, Person3!$F$5+ROW(A86)-1, "")</f>
        <v/>
      </c>
      <c r="AH88" s="1" t="str">
        <f>IF(Person3!$F$6+ROW(A86)-1&lt;=Person3!$G$6, Person3!$F$6+ROW(A86)-1, "")</f>
        <v/>
      </c>
      <c r="AI88" s="1" t="str">
        <f>IF(Person3!$F$7+ROW(A86)-1&lt;=Person3!$G$7, Person3!$F$7+ROW(A86)-1, "")</f>
        <v/>
      </c>
    </row>
    <row r="89" spans="1:35" x14ac:dyDescent="0.3">
      <c r="A89" s="1" t="str">
        <f>IF(Person3!$B$3+ROW(A87)-1&lt;=Person3!$C$3, Person3!$B$3+ROW(A87)-1, "")</f>
        <v/>
      </c>
      <c r="B89" s="1" t="str">
        <f>IF(Person3!$B$4+ROW(B87)-1&lt;=Person3!$C$4, Person3!$B$4+ROW(B87)-1, "")</f>
        <v/>
      </c>
      <c r="C89" s="1" t="str">
        <f>IF(Person3!$B$5+ROW(B87)-1&lt;=Person3!$C$5, Person3!$B$5+ROW(B87)-1, "")</f>
        <v/>
      </c>
      <c r="D89" s="1" t="str">
        <f>IF(Person3!$B$6+ROW(B87)-1&lt;=Person3!$C$6, Person3!$B$6+ROW(B87)-1, "")</f>
        <v/>
      </c>
      <c r="E89" s="1" t="str">
        <f>IF(Person3!$B$7+ROW(B87)-1&lt;=Person3!$C$7, Person3!$B$7+ROW(B87)-1, "")</f>
        <v/>
      </c>
      <c r="F89" s="1" t="str">
        <f>IF(Person3!$B$8+ROW(B87)-1&lt;=Person3!$C$8, Person3!$B$8+ROW(B87)-1, "")</f>
        <v/>
      </c>
      <c r="G89" s="1" t="str">
        <f>IF(Person3!$B$9+ROW(B87)-1&lt;=Person3!$C$9, Person3!$B$9+ROW(B87)-1, "")</f>
        <v/>
      </c>
      <c r="H89" s="1" t="str">
        <f>IF(Person3!$B$10+ROW(B87)-1&lt;=Person3!$C$10, Person3!$B$10+ROW(B87)-1, "")</f>
        <v/>
      </c>
      <c r="I89" s="1" t="str">
        <f>IF(Person3!$B$11+ROW(B87)-1&lt;=Person3!$C$11, Person3!$B$11+ROW(B87)-1, "")</f>
        <v/>
      </c>
      <c r="J89" s="1" t="str">
        <f>IF(Person3!$B$12+ROW(B87)-1&lt;=Person3!$C$12, Person3!$B$12+ROW(B87)-1, "")</f>
        <v/>
      </c>
      <c r="K89" s="1" t="str">
        <f>IF(Person3!$B$13+ROW(B87)-1&lt;=Person3!$C$13, Person3!$B$13+ROW(B87)-1, "")</f>
        <v/>
      </c>
      <c r="L89" s="1" t="str">
        <f>IF(Person3!$B$14+ROW(B87)-1&lt;=Person3!$C$14, Person3!$B$14+ROW(B87)-1, "")</f>
        <v/>
      </c>
      <c r="M89" s="1" t="str">
        <f>IF(Person3!$B$15+ROW(B87)-1&lt;=Person3!$C$15, Person3!$B$15+ROW(B87)-1, "")</f>
        <v/>
      </c>
      <c r="N89" s="1" t="str">
        <f>IF(Person3!$B$16+ROW(B87)-1&lt;=Person3!$C$16, Person3!$B$16+ROW(B87)-1, "")</f>
        <v/>
      </c>
      <c r="O89" s="1" t="str">
        <f>IF(Person3!$B$17+ROW(B87)-1&lt;=Person3!$C$17, Person3!$B$17+ROW(B87)-1, "")</f>
        <v/>
      </c>
      <c r="V89" s="1" t="str">
        <f>IF(Person3!$D$3+ROW(A87)-1&lt;=Person3!$E$3, Person3!$D$3+ROW(A87)-1, "")</f>
        <v/>
      </c>
      <c r="W89" s="1" t="str">
        <f>IF(Person3!$D$4+ROW(A87)-1&lt;=Person3!$E$4, Person3!$D$4+ROW(A87)-1, "")</f>
        <v/>
      </c>
      <c r="X89" s="1" t="str">
        <f>IF(Person3!$D$5+ROW(A87)-1&lt;=Person3!$E$5, Person3!$D$5+ROW(A87)-1, "")</f>
        <v/>
      </c>
      <c r="Y89" s="1" t="str">
        <f>IF(Person3!$D$6+ROW(A87)-1&lt;=Person3!$E$6, Person3!$D$6+ROW(A87)-1, "")</f>
        <v/>
      </c>
      <c r="Z89" s="1" t="str">
        <f>IF(Person3!$D$7+ROW(A87)-1&lt;=Person3!$E$7, Person3!$D$7+ROW(A87)-1, "")</f>
        <v/>
      </c>
      <c r="AA89" s="1" t="str">
        <f>IF(Person3!$D$8+ROW(A87)-1&lt;=Person3!$E$8, Person3!$D$8+ROW(A87)-1, "")</f>
        <v/>
      </c>
      <c r="AE89" s="1" t="str">
        <f>IF(Person3!$F$3+ROW(A87)-1&lt;=Person3!$G$3, Person3!$F$3+ROW(A87)-1, "")</f>
        <v/>
      </c>
      <c r="AF89" s="1" t="str">
        <f>IF(Person3!$F$4+ROW(A87)-1&lt;=Person3!$G$4, Person3!$F$4+ROW(A87)-1, "")</f>
        <v/>
      </c>
      <c r="AG89" s="1" t="str">
        <f>IF(Person3!$F$5+ROW(A87)-1&lt;=Person3!$G$5, Person3!$F$5+ROW(A87)-1, "")</f>
        <v/>
      </c>
      <c r="AH89" s="1" t="str">
        <f>IF(Person3!$F$6+ROW(A87)-1&lt;=Person3!$G$6, Person3!$F$6+ROW(A87)-1, "")</f>
        <v/>
      </c>
      <c r="AI89" s="1" t="str">
        <f>IF(Person3!$F$7+ROW(A87)-1&lt;=Person3!$G$7, Person3!$F$7+ROW(A87)-1, "")</f>
        <v/>
      </c>
    </row>
    <row r="90" spans="1:35" x14ac:dyDescent="0.3">
      <c r="A90" s="1" t="str">
        <f>IF(Person3!$B$3+ROW(A88)-1&lt;=Person3!$C$3, Person3!$B$3+ROW(A88)-1, "")</f>
        <v/>
      </c>
      <c r="B90" s="1" t="str">
        <f>IF(Person3!$B$4+ROW(B88)-1&lt;=Person3!$C$4, Person3!$B$4+ROW(B88)-1, "")</f>
        <v/>
      </c>
      <c r="C90" s="1" t="str">
        <f>IF(Person3!$B$5+ROW(B88)-1&lt;=Person3!$C$5, Person3!$B$5+ROW(B88)-1, "")</f>
        <v/>
      </c>
      <c r="D90" s="1" t="str">
        <f>IF(Person3!$B$6+ROW(B88)-1&lt;=Person3!$C$6, Person3!$B$6+ROW(B88)-1, "")</f>
        <v/>
      </c>
      <c r="E90" s="1" t="str">
        <f>IF(Person3!$B$7+ROW(B88)-1&lt;=Person3!$C$7, Person3!$B$7+ROW(B88)-1, "")</f>
        <v/>
      </c>
      <c r="F90" s="1" t="str">
        <f>IF(Person3!$B$8+ROW(B88)-1&lt;=Person3!$C$8, Person3!$B$8+ROW(B88)-1, "")</f>
        <v/>
      </c>
      <c r="G90" s="1" t="str">
        <f>IF(Person3!$B$9+ROW(B88)-1&lt;=Person3!$C$9, Person3!$B$9+ROW(B88)-1, "")</f>
        <v/>
      </c>
      <c r="H90" s="1" t="str">
        <f>IF(Person3!$B$10+ROW(B88)-1&lt;=Person3!$C$10, Person3!$B$10+ROW(B88)-1, "")</f>
        <v/>
      </c>
      <c r="I90" s="1" t="str">
        <f>IF(Person3!$B$11+ROW(B88)-1&lt;=Person3!$C$11, Person3!$B$11+ROW(B88)-1, "")</f>
        <v/>
      </c>
      <c r="J90" s="1" t="str">
        <f>IF(Person3!$B$12+ROW(B88)-1&lt;=Person3!$C$12, Person3!$B$12+ROW(B88)-1, "")</f>
        <v/>
      </c>
      <c r="K90" s="1" t="str">
        <f>IF(Person3!$B$13+ROW(B88)-1&lt;=Person3!$C$13, Person3!$B$13+ROW(B88)-1, "")</f>
        <v/>
      </c>
      <c r="L90" s="1" t="str">
        <f>IF(Person3!$B$14+ROW(B88)-1&lt;=Person3!$C$14, Person3!$B$14+ROW(B88)-1, "")</f>
        <v/>
      </c>
      <c r="M90" s="1" t="str">
        <f>IF(Person3!$B$15+ROW(B88)-1&lt;=Person3!$C$15, Person3!$B$15+ROW(B88)-1, "")</f>
        <v/>
      </c>
      <c r="N90" s="1" t="str">
        <f>IF(Person3!$B$16+ROW(B88)-1&lt;=Person3!$C$16, Person3!$B$16+ROW(B88)-1, "")</f>
        <v/>
      </c>
      <c r="O90" s="1" t="str">
        <f>IF(Person3!$B$17+ROW(B88)-1&lt;=Person3!$C$17, Person3!$B$17+ROW(B88)-1, "")</f>
        <v/>
      </c>
      <c r="V90" s="1" t="str">
        <f>IF(Person3!$D$3+ROW(A88)-1&lt;=Person3!$E$3, Person3!$D$3+ROW(A88)-1, "")</f>
        <v/>
      </c>
      <c r="W90" s="1" t="str">
        <f>IF(Person3!$D$4+ROW(A88)-1&lt;=Person3!$E$4, Person3!$D$4+ROW(A88)-1, "")</f>
        <v/>
      </c>
      <c r="X90" s="1" t="str">
        <f>IF(Person3!$D$5+ROW(A88)-1&lt;=Person3!$E$5, Person3!$D$5+ROW(A88)-1, "")</f>
        <v/>
      </c>
      <c r="Y90" s="1" t="str">
        <f>IF(Person3!$D$6+ROW(A88)-1&lt;=Person3!$E$6, Person3!$D$6+ROW(A88)-1, "")</f>
        <v/>
      </c>
      <c r="Z90" s="1" t="str">
        <f>IF(Person3!$D$7+ROW(A88)-1&lt;=Person3!$E$7, Person3!$D$7+ROW(A88)-1, "")</f>
        <v/>
      </c>
      <c r="AA90" s="1" t="str">
        <f>IF(Person3!$D$8+ROW(A88)-1&lt;=Person3!$E$8, Person3!$D$8+ROW(A88)-1, "")</f>
        <v/>
      </c>
      <c r="AE90" s="1" t="str">
        <f>IF(Person3!$F$3+ROW(A88)-1&lt;=Person3!$G$3, Person3!$F$3+ROW(A88)-1, "")</f>
        <v/>
      </c>
      <c r="AF90" s="1" t="str">
        <f>IF(Person3!$F$4+ROW(A88)-1&lt;=Person3!$G$4, Person3!$F$4+ROW(A88)-1, "")</f>
        <v/>
      </c>
      <c r="AG90" s="1" t="str">
        <f>IF(Person3!$F$5+ROW(A88)-1&lt;=Person3!$G$5, Person3!$F$5+ROW(A88)-1, "")</f>
        <v/>
      </c>
      <c r="AH90" s="1" t="str">
        <f>IF(Person3!$F$6+ROW(A88)-1&lt;=Person3!$G$6, Person3!$F$6+ROW(A88)-1, "")</f>
        <v/>
      </c>
      <c r="AI90" s="1" t="str">
        <f>IF(Person3!$F$7+ROW(A88)-1&lt;=Person3!$G$7, Person3!$F$7+ROW(A88)-1, "")</f>
        <v/>
      </c>
    </row>
    <row r="91" spans="1:35" x14ac:dyDescent="0.3">
      <c r="A91" s="1" t="str">
        <f>IF(Person3!$B$3+ROW(A89)-1&lt;=Person3!$C$3, Person3!$B$3+ROW(A89)-1, "")</f>
        <v/>
      </c>
      <c r="B91" s="1" t="str">
        <f>IF(Person3!$B$4+ROW(B89)-1&lt;=Person3!$C$4, Person3!$B$4+ROW(B89)-1, "")</f>
        <v/>
      </c>
      <c r="C91" s="1" t="str">
        <f>IF(Person3!$B$5+ROW(B89)-1&lt;=Person3!$C$5, Person3!$B$5+ROW(B89)-1, "")</f>
        <v/>
      </c>
      <c r="D91" s="1" t="str">
        <f>IF(Person3!$B$6+ROW(B89)-1&lt;=Person3!$C$6, Person3!$B$6+ROW(B89)-1, "")</f>
        <v/>
      </c>
      <c r="E91" s="1" t="str">
        <f>IF(Person3!$B$7+ROW(B89)-1&lt;=Person3!$C$7, Person3!$B$7+ROW(B89)-1, "")</f>
        <v/>
      </c>
      <c r="F91" s="1" t="str">
        <f>IF(Person3!$B$8+ROW(B89)-1&lt;=Person3!$C$8, Person3!$B$8+ROW(B89)-1, "")</f>
        <v/>
      </c>
      <c r="G91" s="1" t="str">
        <f>IF(Person3!$B$9+ROW(B89)-1&lt;=Person3!$C$9, Person3!$B$9+ROW(B89)-1, "")</f>
        <v/>
      </c>
      <c r="H91" s="1" t="str">
        <f>IF(Person3!$B$10+ROW(B89)-1&lt;=Person3!$C$10, Person3!$B$10+ROW(B89)-1, "")</f>
        <v/>
      </c>
      <c r="I91" s="1" t="str">
        <f>IF(Person3!$B$11+ROW(B89)-1&lt;=Person3!$C$11, Person3!$B$11+ROW(B89)-1, "")</f>
        <v/>
      </c>
      <c r="J91" s="1" t="str">
        <f>IF(Person3!$B$12+ROW(B89)-1&lt;=Person3!$C$12, Person3!$B$12+ROW(B89)-1, "")</f>
        <v/>
      </c>
      <c r="K91" s="1" t="str">
        <f>IF(Person3!$B$13+ROW(B89)-1&lt;=Person3!$C$13, Person3!$B$13+ROW(B89)-1, "")</f>
        <v/>
      </c>
      <c r="L91" s="1" t="str">
        <f>IF(Person3!$B$14+ROW(B89)-1&lt;=Person3!$C$14, Person3!$B$14+ROW(B89)-1, "")</f>
        <v/>
      </c>
      <c r="M91" s="1" t="str">
        <f>IF(Person3!$B$15+ROW(B89)-1&lt;=Person3!$C$15, Person3!$B$15+ROW(B89)-1, "")</f>
        <v/>
      </c>
      <c r="N91" s="1" t="str">
        <f>IF(Person3!$B$16+ROW(B89)-1&lt;=Person3!$C$16, Person3!$B$16+ROW(B89)-1, "")</f>
        <v/>
      </c>
      <c r="O91" s="1" t="str">
        <f>IF(Person3!$B$17+ROW(B89)-1&lt;=Person3!$C$17, Person3!$B$17+ROW(B89)-1, "")</f>
        <v/>
      </c>
      <c r="V91" s="1" t="str">
        <f>IF(Person3!$D$3+ROW(A89)-1&lt;=Person3!$E$3, Person3!$D$3+ROW(A89)-1, "")</f>
        <v/>
      </c>
      <c r="W91" s="1" t="str">
        <f>IF(Person3!$D$4+ROW(A89)-1&lt;=Person3!$E$4, Person3!$D$4+ROW(A89)-1, "")</f>
        <v/>
      </c>
      <c r="X91" s="1" t="str">
        <f>IF(Person3!$D$5+ROW(A89)-1&lt;=Person3!$E$5, Person3!$D$5+ROW(A89)-1, "")</f>
        <v/>
      </c>
      <c r="Y91" s="1" t="str">
        <f>IF(Person3!$D$6+ROW(A89)-1&lt;=Person3!$E$6, Person3!$D$6+ROW(A89)-1, "")</f>
        <v/>
      </c>
      <c r="Z91" s="1" t="str">
        <f>IF(Person3!$D$7+ROW(A89)-1&lt;=Person3!$E$7, Person3!$D$7+ROW(A89)-1, "")</f>
        <v/>
      </c>
      <c r="AA91" s="1" t="str">
        <f>IF(Person3!$D$8+ROW(A89)-1&lt;=Person3!$E$8, Person3!$D$8+ROW(A89)-1, "")</f>
        <v/>
      </c>
      <c r="AE91" s="1" t="str">
        <f>IF(Person3!$F$3+ROW(A89)-1&lt;=Person3!$G$3, Person3!$F$3+ROW(A89)-1, "")</f>
        <v/>
      </c>
      <c r="AF91" s="1" t="str">
        <f>IF(Person3!$F$4+ROW(A89)-1&lt;=Person3!$G$4, Person3!$F$4+ROW(A89)-1, "")</f>
        <v/>
      </c>
      <c r="AG91" s="1" t="str">
        <f>IF(Person3!$F$5+ROW(A89)-1&lt;=Person3!$G$5, Person3!$F$5+ROW(A89)-1, "")</f>
        <v/>
      </c>
      <c r="AH91" s="1" t="str">
        <f>IF(Person3!$F$6+ROW(A89)-1&lt;=Person3!$G$6, Person3!$F$6+ROW(A89)-1, "")</f>
        <v/>
      </c>
      <c r="AI91" s="1" t="str">
        <f>IF(Person3!$F$7+ROW(A89)-1&lt;=Person3!$G$7, Person3!$F$7+ROW(A89)-1, "")</f>
        <v/>
      </c>
    </row>
    <row r="92" spans="1:35" x14ac:dyDescent="0.3">
      <c r="A92" s="1" t="str">
        <f>IF(Person3!$B$3+ROW(A90)-1&lt;=Person3!$C$3, Person3!$B$3+ROW(A90)-1, "")</f>
        <v/>
      </c>
      <c r="B92" s="1" t="str">
        <f>IF(Person3!$B$4+ROW(B90)-1&lt;=Person3!$C$4, Person3!$B$4+ROW(B90)-1, "")</f>
        <v/>
      </c>
      <c r="C92" s="1" t="str">
        <f>IF(Person3!$B$5+ROW(B90)-1&lt;=Person3!$C$5, Person3!$B$5+ROW(B90)-1, "")</f>
        <v/>
      </c>
      <c r="D92" s="1" t="str">
        <f>IF(Person3!$B$6+ROW(B90)-1&lt;=Person3!$C$6, Person3!$B$6+ROW(B90)-1, "")</f>
        <v/>
      </c>
      <c r="E92" s="1" t="str">
        <f>IF(Person3!$B$7+ROW(B90)-1&lt;=Person3!$C$7, Person3!$B$7+ROW(B90)-1, "")</f>
        <v/>
      </c>
      <c r="F92" s="1" t="str">
        <f>IF(Person3!$B$8+ROW(B90)-1&lt;=Person3!$C$8, Person3!$B$8+ROW(B90)-1, "")</f>
        <v/>
      </c>
      <c r="G92" s="1" t="str">
        <f>IF(Person3!$B$9+ROW(B90)-1&lt;=Person3!$C$9, Person3!$B$9+ROW(B90)-1, "")</f>
        <v/>
      </c>
      <c r="H92" s="1" t="str">
        <f>IF(Person3!$B$10+ROW(B90)-1&lt;=Person3!$C$10, Person3!$B$10+ROW(B90)-1, "")</f>
        <v/>
      </c>
      <c r="I92" s="1" t="str">
        <f>IF(Person3!$B$11+ROW(B90)-1&lt;=Person3!$C$11, Person3!$B$11+ROW(B90)-1, "")</f>
        <v/>
      </c>
      <c r="J92" s="1" t="str">
        <f>IF(Person3!$B$12+ROW(B90)-1&lt;=Person3!$C$12, Person3!$B$12+ROW(B90)-1, "")</f>
        <v/>
      </c>
      <c r="K92" s="1" t="str">
        <f>IF(Person3!$B$13+ROW(B90)-1&lt;=Person3!$C$13, Person3!$B$13+ROW(B90)-1, "")</f>
        <v/>
      </c>
      <c r="L92" s="1" t="str">
        <f>IF(Person3!$B$14+ROW(B90)-1&lt;=Person3!$C$14, Person3!$B$14+ROW(B90)-1, "")</f>
        <v/>
      </c>
      <c r="M92" s="1" t="str">
        <f>IF(Person3!$B$15+ROW(B90)-1&lt;=Person3!$C$15, Person3!$B$15+ROW(B90)-1, "")</f>
        <v/>
      </c>
      <c r="N92" s="1" t="str">
        <f>IF(Person3!$B$16+ROW(B90)-1&lt;=Person3!$C$16, Person3!$B$16+ROW(B90)-1, "")</f>
        <v/>
      </c>
      <c r="O92" s="1" t="str">
        <f>IF(Person3!$B$17+ROW(B90)-1&lt;=Person3!$C$17, Person3!$B$17+ROW(B90)-1, "")</f>
        <v/>
      </c>
      <c r="V92" s="1" t="str">
        <f>IF(Person3!$D$3+ROW(A90)-1&lt;=Person3!$E$3, Person3!$D$3+ROW(A90)-1, "")</f>
        <v/>
      </c>
      <c r="W92" s="1" t="str">
        <f>IF(Person3!$D$4+ROW(A90)-1&lt;=Person3!$E$4, Person3!$D$4+ROW(A90)-1, "")</f>
        <v/>
      </c>
      <c r="X92" s="1" t="str">
        <f>IF(Person3!$D$5+ROW(A90)-1&lt;=Person3!$E$5, Person3!$D$5+ROW(A90)-1, "")</f>
        <v/>
      </c>
      <c r="Y92" s="1" t="str">
        <f>IF(Person3!$D$6+ROW(A90)-1&lt;=Person3!$E$6, Person3!$D$6+ROW(A90)-1, "")</f>
        <v/>
      </c>
      <c r="Z92" s="1" t="str">
        <f>IF(Person3!$D$7+ROW(A90)-1&lt;=Person3!$E$7, Person3!$D$7+ROW(A90)-1, "")</f>
        <v/>
      </c>
      <c r="AA92" s="1" t="str">
        <f>IF(Person3!$D$8+ROW(A90)-1&lt;=Person3!$E$8, Person3!$D$8+ROW(A90)-1, "")</f>
        <v/>
      </c>
      <c r="AE92" s="1" t="str">
        <f>IF(Person3!$F$3+ROW(A90)-1&lt;=Person3!$G$3, Person3!$F$3+ROW(A90)-1, "")</f>
        <v/>
      </c>
      <c r="AF92" s="1" t="str">
        <f>IF(Person3!$F$4+ROW(A90)-1&lt;=Person3!$G$4, Person3!$F$4+ROW(A90)-1, "")</f>
        <v/>
      </c>
      <c r="AG92" s="1" t="str">
        <f>IF(Person3!$F$5+ROW(A90)-1&lt;=Person3!$G$5, Person3!$F$5+ROW(A90)-1, "")</f>
        <v/>
      </c>
      <c r="AH92" s="1" t="str">
        <f>IF(Person3!$F$6+ROW(A90)-1&lt;=Person3!$G$6, Person3!$F$6+ROW(A90)-1, "")</f>
        <v/>
      </c>
      <c r="AI92" s="1" t="str">
        <f>IF(Person3!$F$7+ROW(A90)-1&lt;=Person3!$G$7, Person3!$F$7+ROW(A90)-1, "")</f>
        <v/>
      </c>
    </row>
    <row r="93" spans="1:35" x14ac:dyDescent="0.3">
      <c r="A93" s="1" t="str">
        <f>IF(Person3!$B$3+ROW(A91)-1&lt;=Person3!$C$3, Person3!$B$3+ROW(A91)-1, "")</f>
        <v/>
      </c>
      <c r="B93" s="1" t="str">
        <f>IF(Person3!$B$4+ROW(B91)-1&lt;=Person3!$C$4, Person3!$B$4+ROW(B91)-1, "")</f>
        <v/>
      </c>
      <c r="C93" s="1" t="str">
        <f>IF(Person3!$B$5+ROW(B91)-1&lt;=Person3!$C$5, Person3!$B$5+ROW(B91)-1, "")</f>
        <v/>
      </c>
      <c r="D93" s="1" t="str">
        <f>IF(Person3!$B$6+ROW(B91)-1&lt;=Person3!$C$6, Person3!$B$6+ROW(B91)-1, "")</f>
        <v/>
      </c>
      <c r="E93" s="1" t="str">
        <f>IF(Person3!$B$7+ROW(B91)-1&lt;=Person3!$C$7, Person3!$B$7+ROW(B91)-1, "")</f>
        <v/>
      </c>
      <c r="F93" s="1" t="str">
        <f>IF(Person3!$B$8+ROW(B91)-1&lt;=Person3!$C$8, Person3!$B$8+ROW(B91)-1, "")</f>
        <v/>
      </c>
      <c r="G93" s="1" t="str">
        <f>IF(Person3!$B$9+ROW(B91)-1&lt;=Person3!$C$9, Person3!$B$9+ROW(B91)-1, "")</f>
        <v/>
      </c>
      <c r="H93" s="1" t="str">
        <f>IF(Person3!$B$10+ROW(B91)-1&lt;=Person3!$C$10, Person3!$B$10+ROW(B91)-1, "")</f>
        <v/>
      </c>
      <c r="I93" s="1" t="str">
        <f>IF(Person3!$B$11+ROW(B91)-1&lt;=Person3!$C$11, Person3!$B$11+ROW(B91)-1, "")</f>
        <v/>
      </c>
      <c r="J93" s="1" t="str">
        <f>IF(Person3!$B$12+ROW(B91)-1&lt;=Person3!$C$12, Person3!$B$12+ROW(B91)-1, "")</f>
        <v/>
      </c>
      <c r="K93" s="1" t="str">
        <f>IF(Person3!$B$13+ROW(B91)-1&lt;=Person3!$C$13, Person3!$B$13+ROW(B91)-1, "")</f>
        <v/>
      </c>
      <c r="L93" s="1" t="str">
        <f>IF(Person3!$B$14+ROW(B91)-1&lt;=Person3!$C$14, Person3!$B$14+ROW(B91)-1, "")</f>
        <v/>
      </c>
      <c r="M93" s="1" t="str">
        <f>IF(Person3!$B$15+ROW(B91)-1&lt;=Person3!$C$15, Person3!$B$15+ROW(B91)-1, "")</f>
        <v/>
      </c>
      <c r="N93" s="1" t="str">
        <f>IF(Person3!$B$16+ROW(B91)-1&lt;=Person3!$C$16, Person3!$B$16+ROW(B91)-1, "")</f>
        <v/>
      </c>
      <c r="O93" s="1" t="str">
        <f>IF(Person3!$B$17+ROW(B91)-1&lt;=Person3!$C$17, Person3!$B$17+ROW(B91)-1, "")</f>
        <v/>
      </c>
      <c r="V93" s="1" t="str">
        <f>IF(Person3!$D$3+ROW(A91)-1&lt;=Person3!$E$3, Person3!$D$3+ROW(A91)-1, "")</f>
        <v/>
      </c>
      <c r="W93" s="1" t="str">
        <f>IF(Person3!$D$4+ROW(A91)-1&lt;=Person3!$E$4, Person3!$D$4+ROW(A91)-1, "")</f>
        <v/>
      </c>
      <c r="X93" s="1" t="str">
        <f>IF(Person3!$D$5+ROW(A91)-1&lt;=Person3!$E$5, Person3!$D$5+ROW(A91)-1, "")</f>
        <v/>
      </c>
      <c r="Y93" s="1" t="str">
        <f>IF(Person3!$D$6+ROW(A91)-1&lt;=Person3!$E$6, Person3!$D$6+ROW(A91)-1, "")</f>
        <v/>
      </c>
      <c r="Z93" s="1" t="str">
        <f>IF(Person3!$D$7+ROW(A91)-1&lt;=Person3!$E$7, Person3!$D$7+ROW(A91)-1, "")</f>
        <v/>
      </c>
      <c r="AA93" s="1" t="str">
        <f>IF(Person3!$D$8+ROW(A91)-1&lt;=Person3!$E$8, Person3!$D$8+ROW(A91)-1, "")</f>
        <v/>
      </c>
      <c r="AE93" s="1" t="str">
        <f>IF(Person3!$F$3+ROW(A91)-1&lt;=Person3!$G$3, Person3!$F$3+ROW(A91)-1, "")</f>
        <v/>
      </c>
      <c r="AF93" s="1" t="str">
        <f>IF(Person3!$F$4+ROW(A91)-1&lt;=Person3!$G$4, Person3!$F$4+ROW(A91)-1, "")</f>
        <v/>
      </c>
      <c r="AG93" s="1" t="str">
        <f>IF(Person3!$F$5+ROW(A91)-1&lt;=Person3!$G$5, Person3!$F$5+ROW(A91)-1, "")</f>
        <v/>
      </c>
      <c r="AH93" s="1" t="str">
        <f>IF(Person3!$F$6+ROW(A91)-1&lt;=Person3!$G$6, Person3!$F$6+ROW(A91)-1, "")</f>
        <v/>
      </c>
      <c r="AI93" s="1" t="str">
        <f>IF(Person3!$F$7+ROW(A91)-1&lt;=Person3!$G$7, Person3!$F$7+ROW(A91)-1, "")</f>
        <v/>
      </c>
    </row>
    <row r="94" spans="1:35" x14ac:dyDescent="0.3">
      <c r="A94" s="1" t="str">
        <f>IF(Person3!$B$3+ROW(A92)-1&lt;=Person3!$C$3, Person3!$B$3+ROW(A92)-1, "")</f>
        <v/>
      </c>
      <c r="B94" s="1" t="str">
        <f>IF(Person3!$B$4+ROW(B92)-1&lt;=Person3!$C$4, Person3!$B$4+ROW(B92)-1, "")</f>
        <v/>
      </c>
      <c r="C94" s="1" t="str">
        <f>IF(Person3!$B$5+ROW(B92)-1&lt;=Person3!$C$5, Person3!$B$5+ROW(B92)-1, "")</f>
        <v/>
      </c>
      <c r="D94" s="1" t="str">
        <f>IF(Person3!$B$6+ROW(B92)-1&lt;=Person3!$C$6, Person3!$B$6+ROW(B92)-1, "")</f>
        <v/>
      </c>
      <c r="E94" s="1" t="str">
        <f>IF(Person3!$B$7+ROW(B92)-1&lt;=Person3!$C$7, Person3!$B$7+ROW(B92)-1, "")</f>
        <v/>
      </c>
      <c r="F94" s="1" t="str">
        <f>IF(Person3!$B$8+ROW(B92)-1&lt;=Person3!$C$8, Person3!$B$8+ROW(B92)-1, "")</f>
        <v/>
      </c>
      <c r="G94" s="1" t="str">
        <f>IF(Person3!$B$9+ROW(B92)-1&lt;=Person3!$C$9, Person3!$B$9+ROW(B92)-1, "")</f>
        <v/>
      </c>
      <c r="H94" s="1" t="str">
        <f>IF(Person3!$B$10+ROW(B92)-1&lt;=Person3!$C$10, Person3!$B$10+ROW(B92)-1, "")</f>
        <v/>
      </c>
      <c r="I94" s="1" t="str">
        <f>IF(Person3!$B$11+ROW(B92)-1&lt;=Person3!$C$11, Person3!$B$11+ROW(B92)-1, "")</f>
        <v/>
      </c>
      <c r="J94" s="1" t="str">
        <f>IF(Person3!$B$12+ROW(B92)-1&lt;=Person3!$C$12, Person3!$B$12+ROW(B92)-1, "")</f>
        <v/>
      </c>
      <c r="K94" s="1" t="str">
        <f>IF(Person3!$B$13+ROW(B92)-1&lt;=Person3!$C$13, Person3!$B$13+ROW(B92)-1, "")</f>
        <v/>
      </c>
      <c r="L94" s="1" t="str">
        <f>IF(Person3!$B$14+ROW(B92)-1&lt;=Person3!$C$14, Person3!$B$14+ROW(B92)-1, "")</f>
        <v/>
      </c>
      <c r="M94" s="1" t="str">
        <f>IF(Person3!$B$15+ROW(B92)-1&lt;=Person3!$C$15, Person3!$B$15+ROW(B92)-1, "")</f>
        <v/>
      </c>
      <c r="N94" s="1" t="str">
        <f>IF(Person3!$B$16+ROW(B92)-1&lt;=Person3!$C$16, Person3!$B$16+ROW(B92)-1, "")</f>
        <v/>
      </c>
      <c r="O94" s="1" t="str">
        <f>IF(Person3!$B$17+ROW(B92)-1&lt;=Person3!$C$17, Person3!$B$17+ROW(B92)-1, "")</f>
        <v/>
      </c>
      <c r="V94" s="1" t="str">
        <f>IF(Person3!$D$3+ROW(A92)-1&lt;=Person3!$E$3, Person3!$D$3+ROW(A92)-1, "")</f>
        <v/>
      </c>
      <c r="W94" s="1" t="str">
        <f>IF(Person3!$D$4+ROW(A92)-1&lt;=Person3!$E$4, Person3!$D$4+ROW(A92)-1, "")</f>
        <v/>
      </c>
      <c r="X94" s="1" t="str">
        <f>IF(Person3!$D$5+ROW(A92)-1&lt;=Person3!$E$5, Person3!$D$5+ROW(A92)-1, "")</f>
        <v/>
      </c>
      <c r="Y94" s="1" t="str">
        <f>IF(Person3!$D$6+ROW(A92)-1&lt;=Person3!$E$6, Person3!$D$6+ROW(A92)-1, "")</f>
        <v/>
      </c>
      <c r="Z94" s="1" t="str">
        <f>IF(Person3!$D$7+ROW(A92)-1&lt;=Person3!$E$7, Person3!$D$7+ROW(A92)-1, "")</f>
        <v/>
      </c>
      <c r="AA94" s="1" t="str">
        <f>IF(Person3!$D$8+ROW(A92)-1&lt;=Person3!$E$8, Person3!$D$8+ROW(A92)-1, "")</f>
        <v/>
      </c>
      <c r="AE94" s="1" t="str">
        <f>IF(Person3!$F$3+ROW(A92)-1&lt;=Person3!$G$3, Person3!$F$3+ROW(A92)-1, "")</f>
        <v/>
      </c>
      <c r="AF94" s="1" t="str">
        <f>IF(Person3!$F$4+ROW(A92)-1&lt;=Person3!$G$4, Person3!$F$4+ROW(A92)-1, "")</f>
        <v/>
      </c>
      <c r="AG94" s="1" t="str">
        <f>IF(Person3!$F$5+ROW(A92)-1&lt;=Person3!$G$5, Person3!$F$5+ROW(A92)-1, "")</f>
        <v/>
      </c>
      <c r="AH94" s="1" t="str">
        <f>IF(Person3!$F$6+ROW(A92)-1&lt;=Person3!$G$6, Person3!$F$6+ROW(A92)-1, "")</f>
        <v/>
      </c>
      <c r="AI94" s="1" t="str">
        <f>IF(Person3!$F$7+ROW(A92)-1&lt;=Person3!$G$7, Person3!$F$7+ROW(A92)-1, "")</f>
        <v/>
      </c>
    </row>
    <row r="95" spans="1:35" x14ac:dyDescent="0.3">
      <c r="A95" s="1" t="str">
        <f>IF(Person3!$B$3+ROW(A93)-1&lt;=Person3!$C$3, Person3!$B$3+ROW(A93)-1, "")</f>
        <v/>
      </c>
      <c r="B95" s="1" t="str">
        <f>IF(Person3!$B$4+ROW(B93)-1&lt;=Person3!$C$4, Person3!$B$4+ROW(B93)-1, "")</f>
        <v/>
      </c>
      <c r="C95" s="1" t="str">
        <f>IF(Person3!$B$5+ROW(B93)-1&lt;=Person3!$C$5, Person3!$B$5+ROW(B93)-1, "")</f>
        <v/>
      </c>
      <c r="D95" s="1" t="str">
        <f>IF(Person3!$B$6+ROW(B93)-1&lt;=Person3!$C$6, Person3!$B$6+ROW(B93)-1, "")</f>
        <v/>
      </c>
      <c r="E95" s="1" t="str">
        <f>IF(Person3!$B$7+ROW(B93)-1&lt;=Person3!$C$7, Person3!$B$7+ROW(B93)-1, "")</f>
        <v/>
      </c>
      <c r="F95" s="1" t="str">
        <f>IF(Person3!$B$8+ROW(B93)-1&lt;=Person3!$C$8, Person3!$B$8+ROW(B93)-1, "")</f>
        <v/>
      </c>
      <c r="G95" s="1" t="str">
        <f>IF(Person3!$B$9+ROW(B93)-1&lt;=Person3!$C$9, Person3!$B$9+ROW(B93)-1, "")</f>
        <v/>
      </c>
      <c r="H95" s="1" t="str">
        <f>IF(Person3!$B$10+ROW(B93)-1&lt;=Person3!$C$10, Person3!$B$10+ROW(B93)-1, "")</f>
        <v/>
      </c>
      <c r="I95" s="1" t="str">
        <f>IF(Person3!$B$11+ROW(B93)-1&lt;=Person3!$C$11, Person3!$B$11+ROW(B93)-1, "")</f>
        <v/>
      </c>
      <c r="J95" s="1" t="str">
        <f>IF(Person3!$B$12+ROW(B93)-1&lt;=Person3!$C$12, Person3!$B$12+ROW(B93)-1, "")</f>
        <v/>
      </c>
      <c r="K95" s="1" t="str">
        <f>IF(Person3!$B$13+ROW(B93)-1&lt;=Person3!$C$13, Person3!$B$13+ROW(B93)-1, "")</f>
        <v/>
      </c>
      <c r="L95" s="1" t="str">
        <f>IF(Person3!$B$14+ROW(B93)-1&lt;=Person3!$C$14, Person3!$B$14+ROW(B93)-1, "")</f>
        <v/>
      </c>
      <c r="M95" s="1" t="str">
        <f>IF(Person3!$B$15+ROW(B93)-1&lt;=Person3!$C$15, Person3!$B$15+ROW(B93)-1, "")</f>
        <v/>
      </c>
      <c r="N95" s="1" t="str">
        <f>IF(Person3!$B$16+ROW(B93)-1&lt;=Person3!$C$16, Person3!$B$16+ROW(B93)-1, "")</f>
        <v/>
      </c>
      <c r="O95" s="1" t="str">
        <f>IF(Person3!$B$17+ROW(B93)-1&lt;=Person3!$C$17, Person3!$B$17+ROW(B93)-1, "")</f>
        <v/>
      </c>
      <c r="V95" s="1" t="str">
        <f>IF(Person3!$D$3+ROW(A93)-1&lt;=Person3!$E$3, Person3!$D$3+ROW(A93)-1, "")</f>
        <v/>
      </c>
      <c r="W95" s="1" t="str">
        <f>IF(Person3!$D$4+ROW(A93)-1&lt;=Person3!$E$4, Person3!$D$4+ROW(A93)-1, "")</f>
        <v/>
      </c>
      <c r="X95" s="1" t="str">
        <f>IF(Person3!$D$5+ROW(A93)-1&lt;=Person3!$E$5, Person3!$D$5+ROW(A93)-1, "")</f>
        <v/>
      </c>
      <c r="Y95" s="1" t="str">
        <f>IF(Person3!$D$6+ROW(A93)-1&lt;=Person3!$E$6, Person3!$D$6+ROW(A93)-1, "")</f>
        <v/>
      </c>
      <c r="Z95" s="1" t="str">
        <f>IF(Person3!$D$7+ROW(A93)-1&lt;=Person3!$E$7, Person3!$D$7+ROW(A93)-1, "")</f>
        <v/>
      </c>
      <c r="AA95" s="1" t="str">
        <f>IF(Person3!$D$8+ROW(A93)-1&lt;=Person3!$E$8, Person3!$D$8+ROW(A93)-1, "")</f>
        <v/>
      </c>
      <c r="AE95" s="1" t="str">
        <f>IF(Person3!$F$3+ROW(A93)-1&lt;=Person3!$G$3, Person3!$F$3+ROW(A93)-1, "")</f>
        <v/>
      </c>
      <c r="AF95" s="1" t="str">
        <f>IF(Person3!$F$4+ROW(A93)-1&lt;=Person3!$G$4, Person3!$F$4+ROW(A93)-1, "")</f>
        <v/>
      </c>
      <c r="AG95" s="1" t="str">
        <f>IF(Person3!$F$5+ROW(A93)-1&lt;=Person3!$G$5, Person3!$F$5+ROW(A93)-1, "")</f>
        <v/>
      </c>
      <c r="AH95" s="1" t="str">
        <f>IF(Person3!$F$6+ROW(A93)-1&lt;=Person3!$G$6, Person3!$F$6+ROW(A93)-1, "")</f>
        <v/>
      </c>
      <c r="AI95" s="1" t="str">
        <f>IF(Person3!$F$7+ROW(A93)-1&lt;=Person3!$G$7, Person3!$F$7+ROW(A93)-1, "")</f>
        <v/>
      </c>
    </row>
    <row r="96" spans="1:35" x14ac:dyDescent="0.3">
      <c r="A96" s="1" t="str">
        <f>IF(Person3!$B$3+ROW(A94)-1&lt;=Person3!$C$3, Person3!$B$3+ROW(A94)-1, "")</f>
        <v/>
      </c>
      <c r="B96" s="1" t="str">
        <f>IF(Person3!$B$4+ROW(B94)-1&lt;=Person3!$C$4, Person3!$B$4+ROW(B94)-1, "")</f>
        <v/>
      </c>
      <c r="C96" s="1" t="str">
        <f>IF(Person3!$B$5+ROW(B94)-1&lt;=Person3!$C$5, Person3!$B$5+ROW(B94)-1, "")</f>
        <v/>
      </c>
      <c r="D96" s="1" t="str">
        <f>IF(Person3!$B$6+ROW(B94)-1&lt;=Person3!$C$6, Person3!$B$6+ROW(B94)-1, "")</f>
        <v/>
      </c>
      <c r="E96" s="1" t="str">
        <f>IF(Person3!$B$7+ROW(B94)-1&lt;=Person3!$C$7, Person3!$B$7+ROW(B94)-1, "")</f>
        <v/>
      </c>
      <c r="F96" s="1" t="str">
        <f>IF(Person3!$B$8+ROW(B94)-1&lt;=Person3!$C$8, Person3!$B$8+ROW(B94)-1, "")</f>
        <v/>
      </c>
      <c r="G96" s="1" t="str">
        <f>IF(Person3!$B$9+ROW(B94)-1&lt;=Person3!$C$9, Person3!$B$9+ROW(B94)-1, "")</f>
        <v/>
      </c>
      <c r="H96" s="1" t="str">
        <f>IF(Person3!$B$10+ROW(B94)-1&lt;=Person3!$C$10, Person3!$B$10+ROW(B94)-1, "")</f>
        <v/>
      </c>
      <c r="I96" s="1" t="str">
        <f>IF(Person3!$B$11+ROW(B94)-1&lt;=Person3!$C$11, Person3!$B$11+ROW(B94)-1, "")</f>
        <v/>
      </c>
      <c r="J96" s="1" t="str">
        <f>IF(Person3!$B$12+ROW(B94)-1&lt;=Person3!$C$12, Person3!$B$12+ROW(B94)-1, "")</f>
        <v/>
      </c>
      <c r="K96" s="1" t="str">
        <f>IF(Person3!$B$13+ROW(B94)-1&lt;=Person3!$C$13, Person3!$B$13+ROW(B94)-1, "")</f>
        <v/>
      </c>
      <c r="L96" s="1" t="str">
        <f>IF(Person3!$B$14+ROW(B94)-1&lt;=Person3!$C$14, Person3!$B$14+ROW(B94)-1, "")</f>
        <v/>
      </c>
      <c r="M96" s="1" t="str">
        <f>IF(Person3!$B$15+ROW(B94)-1&lt;=Person3!$C$15, Person3!$B$15+ROW(B94)-1, "")</f>
        <v/>
      </c>
      <c r="N96" s="1" t="str">
        <f>IF(Person3!$B$16+ROW(B94)-1&lt;=Person3!$C$16, Person3!$B$16+ROW(B94)-1, "")</f>
        <v/>
      </c>
      <c r="O96" s="1" t="str">
        <f>IF(Person3!$B$17+ROW(B94)-1&lt;=Person3!$C$17, Person3!$B$17+ROW(B94)-1, "")</f>
        <v/>
      </c>
      <c r="V96" s="1" t="str">
        <f>IF(Person3!$D$3+ROW(A94)-1&lt;=Person3!$E$3, Person3!$D$3+ROW(A94)-1, "")</f>
        <v/>
      </c>
      <c r="W96" s="1" t="str">
        <f>IF(Person3!$D$4+ROW(A94)-1&lt;=Person3!$E$4, Person3!$D$4+ROW(A94)-1, "")</f>
        <v/>
      </c>
      <c r="X96" s="1" t="str">
        <f>IF(Person3!$D$5+ROW(A94)-1&lt;=Person3!$E$5, Person3!$D$5+ROW(A94)-1, "")</f>
        <v/>
      </c>
      <c r="Y96" s="1" t="str">
        <f>IF(Person3!$D$6+ROW(A94)-1&lt;=Person3!$E$6, Person3!$D$6+ROW(A94)-1, "")</f>
        <v/>
      </c>
      <c r="Z96" s="1" t="str">
        <f>IF(Person3!$D$7+ROW(A94)-1&lt;=Person3!$E$7, Person3!$D$7+ROW(A94)-1, "")</f>
        <v/>
      </c>
      <c r="AA96" s="1" t="str">
        <f>IF(Person3!$D$8+ROW(A94)-1&lt;=Person3!$E$8, Person3!$D$8+ROW(A94)-1, "")</f>
        <v/>
      </c>
      <c r="AE96" s="1" t="str">
        <f>IF(Person3!$F$3+ROW(A94)-1&lt;=Person3!$G$3, Person3!$F$3+ROW(A94)-1, "")</f>
        <v/>
      </c>
      <c r="AF96" s="1" t="str">
        <f>IF(Person3!$F$4+ROW(A94)-1&lt;=Person3!$G$4, Person3!$F$4+ROW(A94)-1, "")</f>
        <v/>
      </c>
      <c r="AG96" s="1" t="str">
        <f>IF(Person3!$F$5+ROW(A94)-1&lt;=Person3!$G$5, Person3!$F$5+ROW(A94)-1, "")</f>
        <v/>
      </c>
      <c r="AH96" s="1" t="str">
        <f>IF(Person3!$F$6+ROW(A94)-1&lt;=Person3!$G$6, Person3!$F$6+ROW(A94)-1, "")</f>
        <v/>
      </c>
      <c r="AI96" s="1" t="str">
        <f>IF(Person3!$F$7+ROW(A94)-1&lt;=Person3!$G$7, Person3!$F$7+ROW(A94)-1, "")</f>
        <v/>
      </c>
    </row>
    <row r="97" spans="1:35" x14ac:dyDescent="0.3">
      <c r="A97" s="1" t="str">
        <f>IF(Person3!$B$3+ROW(A95)-1&lt;=Person3!$C$3, Person3!$B$3+ROW(A95)-1, "")</f>
        <v/>
      </c>
      <c r="B97" s="1" t="str">
        <f>IF(Person3!$B$4+ROW(B95)-1&lt;=Person3!$C$4, Person3!$B$4+ROW(B95)-1, "")</f>
        <v/>
      </c>
      <c r="C97" s="1" t="str">
        <f>IF(Person3!$B$5+ROW(B95)-1&lt;=Person3!$C$5, Person3!$B$5+ROW(B95)-1, "")</f>
        <v/>
      </c>
      <c r="D97" s="1" t="str">
        <f>IF(Person3!$B$6+ROW(B95)-1&lt;=Person3!$C$6, Person3!$B$6+ROW(B95)-1, "")</f>
        <v/>
      </c>
      <c r="E97" s="1" t="str">
        <f>IF(Person3!$B$7+ROW(B95)-1&lt;=Person3!$C$7, Person3!$B$7+ROW(B95)-1, "")</f>
        <v/>
      </c>
      <c r="F97" s="1" t="str">
        <f>IF(Person3!$B$8+ROW(B95)-1&lt;=Person3!$C$8, Person3!$B$8+ROW(B95)-1, "")</f>
        <v/>
      </c>
      <c r="G97" s="1" t="str">
        <f>IF(Person3!$B$9+ROW(B95)-1&lt;=Person3!$C$9, Person3!$B$9+ROW(B95)-1, "")</f>
        <v/>
      </c>
      <c r="H97" s="1" t="str">
        <f>IF(Person3!$B$10+ROW(B95)-1&lt;=Person3!$C$10, Person3!$B$10+ROW(B95)-1, "")</f>
        <v/>
      </c>
      <c r="I97" s="1" t="str">
        <f>IF(Person3!$B$11+ROW(B95)-1&lt;=Person3!$C$11, Person3!$B$11+ROW(B95)-1, "")</f>
        <v/>
      </c>
      <c r="J97" s="1" t="str">
        <f>IF(Person3!$B$12+ROW(B95)-1&lt;=Person3!$C$12, Person3!$B$12+ROW(B95)-1, "")</f>
        <v/>
      </c>
      <c r="K97" s="1" t="str">
        <f>IF(Person3!$B$13+ROW(B95)-1&lt;=Person3!$C$13, Person3!$B$13+ROW(B95)-1, "")</f>
        <v/>
      </c>
      <c r="L97" s="1" t="str">
        <f>IF(Person3!$B$14+ROW(B95)-1&lt;=Person3!$C$14, Person3!$B$14+ROW(B95)-1, "")</f>
        <v/>
      </c>
      <c r="M97" s="1" t="str">
        <f>IF(Person3!$B$15+ROW(B95)-1&lt;=Person3!$C$15, Person3!$B$15+ROW(B95)-1, "")</f>
        <v/>
      </c>
      <c r="N97" s="1" t="str">
        <f>IF(Person3!$B$16+ROW(B95)-1&lt;=Person3!$C$16, Person3!$B$16+ROW(B95)-1, "")</f>
        <v/>
      </c>
      <c r="O97" s="1" t="str">
        <f>IF(Person3!$B$17+ROW(B95)-1&lt;=Person3!$C$17, Person3!$B$17+ROW(B95)-1, "")</f>
        <v/>
      </c>
      <c r="V97" s="1" t="str">
        <f>IF(Person3!$D$3+ROW(A95)-1&lt;=Person3!$E$3, Person3!$D$3+ROW(A95)-1, "")</f>
        <v/>
      </c>
      <c r="W97" s="1" t="str">
        <f>IF(Person3!$D$4+ROW(A95)-1&lt;=Person3!$E$4, Person3!$D$4+ROW(A95)-1, "")</f>
        <v/>
      </c>
      <c r="X97" s="1" t="str">
        <f>IF(Person3!$D$5+ROW(A95)-1&lt;=Person3!$E$5, Person3!$D$5+ROW(A95)-1, "")</f>
        <v/>
      </c>
      <c r="Y97" s="1" t="str">
        <f>IF(Person3!$D$6+ROW(A95)-1&lt;=Person3!$E$6, Person3!$D$6+ROW(A95)-1, "")</f>
        <v/>
      </c>
      <c r="Z97" s="1" t="str">
        <f>IF(Person3!$D$7+ROW(A95)-1&lt;=Person3!$E$7, Person3!$D$7+ROW(A95)-1, "")</f>
        <v/>
      </c>
      <c r="AA97" s="1" t="str">
        <f>IF(Person3!$D$8+ROW(A95)-1&lt;=Person3!$E$8, Person3!$D$8+ROW(A95)-1, "")</f>
        <v/>
      </c>
      <c r="AE97" s="1" t="str">
        <f>IF(Person3!$F$3+ROW(A95)-1&lt;=Person3!$G$3, Person3!$F$3+ROW(A95)-1, "")</f>
        <v/>
      </c>
      <c r="AF97" s="1" t="str">
        <f>IF(Person3!$F$4+ROW(A95)-1&lt;=Person3!$G$4, Person3!$F$4+ROW(A95)-1, "")</f>
        <v/>
      </c>
      <c r="AG97" s="1" t="str">
        <f>IF(Person3!$F$5+ROW(A95)-1&lt;=Person3!$G$5, Person3!$F$5+ROW(A95)-1, "")</f>
        <v/>
      </c>
      <c r="AH97" s="1" t="str">
        <f>IF(Person3!$F$6+ROW(A95)-1&lt;=Person3!$G$6, Person3!$F$6+ROW(A95)-1, "")</f>
        <v/>
      </c>
      <c r="AI97" s="1" t="str">
        <f>IF(Person3!$F$7+ROW(A95)-1&lt;=Person3!$G$7, Person3!$F$7+ROW(A95)-1, "")</f>
        <v/>
      </c>
    </row>
    <row r="98" spans="1:35" x14ac:dyDescent="0.3">
      <c r="A98" s="1" t="str">
        <f>IF(Person3!$B$3+ROW(A96)-1&lt;=Person3!$C$3, Person3!$B$3+ROW(A96)-1, "")</f>
        <v/>
      </c>
      <c r="B98" s="1" t="str">
        <f>IF(Person3!$B$4+ROW(B96)-1&lt;=Person3!$C$4, Person3!$B$4+ROW(B96)-1, "")</f>
        <v/>
      </c>
      <c r="C98" s="1" t="str">
        <f>IF(Person3!$B$5+ROW(B96)-1&lt;=Person3!$C$5, Person3!$B$5+ROW(B96)-1, "")</f>
        <v/>
      </c>
      <c r="D98" s="1" t="str">
        <f>IF(Person3!$B$6+ROW(B96)-1&lt;=Person3!$C$6, Person3!$B$6+ROW(B96)-1, "")</f>
        <v/>
      </c>
      <c r="E98" s="1" t="str">
        <f>IF(Person3!$B$7+ROW(B96)-1&lt;=Person3!$C$7, Person3!$B$7+ROW(B96)-1, "")</f>
        <v/>
      </c>
      <c r="F98" s="1" t="str">
        <f>IF(Person3!$B$8+ROW(B96)-1&lt;=Person3!$C$8, Person3!$B$8+ROW(B96)-1, "")</f>
        <v/>
      </c>
      <c r="G98" s="1" t="str">
        <f>IF(Person3!$B$9+ROW(B96)-1&lt;=Person3!$C$9, Person3!$B$9+ROW(B96)-1, "")</f>
        <v/>
      </c>
      <c r="H98" s="1" t="str">
        <f>IF(Person3!$B$10+ROW(B96)-1&lt;=Person3!$C$10, Person3!$B$10+ROW(B96)-1, "")</f>
        <v/>
      </c>
      <c r="I98" s="1" t="str">
        <f>IF(Person3!$B$11+ROW(B96)-1&lt;=Person3!$C$11, Person3!$B$11+ROW(B96)-1, "")</f>
        <v/>
      </c>
      <c r="J98" s="1" t="str">
        <f>IF(Person3!$B$12+ROW(B96)-1&lt;=Person3!$C$12, Person3!$B$12+ROW(B96)-1, "")</f>
        <v/>
      </c>
      <c r="K98" s="1" t="str">
        <f>IF(Person3!$B$13+ROW(B96)-1&lt;=Person3!$C$13, Person3!$B$13+ROW(B96)-1, "")</f>
        <v/>
      </c>
      <c r="L98" s="1" t="str">
        <f>IF(Person3!$B$14+ROW(B96)-1&lt;=Person3!$C$14, Person3!$B$14+ROW(B96)-1, "")</f>
        <v/>
      </c>
      <c r="M98" s="1" t="str">
        <f>IF(Person3!$B$15+ROW(B96)-1&lt;=Person3!$C$15, Person3!$B$15+ROW(B96)-1, "")</f>
        <v/>
      </c>
      <c r="N98" s="1" t="str">
        <f>IF(Person3!$B$16+ROW(B96)-1&lt;=Person3!$C$16, Person3!$B$16+ROW(B96)-1, "")</f>
        <v/>
      </c>
      <c r="O98" s="1" t="str">
        <f>IF(Person3!$B$17+ROW(B96)-1&lt;=Person3!$C$17, Person3!$B$17+ROW(B96)-1, "")</f>
        <v/>
      </c>
      <c r="V98" s="1" t="str">
        <f>IF(Person3!$D$3+ROW(A96)-1&lt;=Person3!$E$3, Person3!$D$3+ROW(A96)-1, "")</f>
        <v/>
      </c>
      <c r="W98" s="1" t="str">
        <f>IF(Person3!$D$4+ROW(A96)-1&lt;=Person3!$E$4, Person3!$D$4+ROW(A96)-1, "")</f>
        <v/>
      </c>
      <c r="X98" s="1" t="str">
        <f>IF(Person3!$D$5+ROW(A96)-1&lt;=Person3!$E$5, Person3!$D$5+ROW(A96)-1, "")</f>
        <v/>
      </c>
      <c r="Y98" s="1" t="str">
        <f>IF(Person3!$D$6+ROW(A96)-1&lt;=Person3!$E$6, Person3!$D$6+ROW(A96)-1, "")</f>
        <v/>
      </c>
      <c r="Z98" s="1" t="str">
        <f>IF(Person3!$D$7+ROW(A96)-1&lt;=Person3!$E$7, Person3!$D$7+ROW(A96)-1, "")</f>
        <v/>
      </c>
      <c r="AA98" s="1" t="str">
        <f>IF(Person3!$D$8+ROW(A96)-1&lt;=Person3!$E$8, Person3!$D$8+ROW(A96)-1, "")</f>
        <v/>
      </c>
      <c r="AE98" s="1" t="str">
        <f>IF(Person3!$F$3+ROW(A96)-1&lt;=Person3!$G$3, Person3!$F$3+ROW(A96)-1, "")</f>
        <v/>
      </c>
      <c r="AF98" s="1" t="str">
        <f>IF(Person3!$F$4+ROW(A96)-1&lt;=Person3!$G$4, Person3!$F$4+ROW(A96)-1, "")</f>
        <v/>
      </c>
      <c r="AG98" s="1" t="str">
        <f>IF(Person3!$F$5+ROW(A96)-1&lt;=Person3!$G$5, Person3!$F$5+ROW(A96)-1, "")</f>
        <v/>
      </c>
      <c r="AH98" s="1" t="str">
        <f>IF(Person3!$F$6+ROW(A96)-1&lt;=Person3!$G$6, Person3!$F$6+ROW(A96)-1, "")</f>
        <v/>
      </c>
      <c r="AI98" s="1" t="str">
        <f>IF(Person3!$F$7+ROW(A96)-1&lt;=Person3!$G$7, Person3!$F$7+ROW(A96)-1, "")</f>
        <v/>
      </c>
    </row>
    <row r="99" spans="1:35" x14ac:dyDescent="0.3">
      <c r="A99" s="1" t="str">
        <f>IF(Person3!$B$3+ROW(A97)-1&lt;=Person3!$C$3, Person3!$B$3+ROW(A97)-1, "")</f>
        <v/>
      </c>
      <c r="B99" s="1" t="str">
        <f>IF(Person3!$B$4+ROW(B97)-1&lt;=Person3!$C$4, Person3!$B$4+ROW(B97)-1, "")</f>
        <v/>
      </c>
      <c r="C99" s="1" t="str">
        <f>IF(Person3!$B$5+ROW(B97)-1&lt;=Person3!$C$5, Person3!$B$5+ROW(B97)-1, "")</f>
        <v/>
      </c>
      <c r="D99" s="1" t="str">
        <f>IF(Person3!$B$6+ROW(B97)-1&lt;=Person3!$C$6, Person3!$B$6+ROW(B97)-1, "")</f>
        <v/>
      </c>
      <c r="E99" s="1" t="str">
        <f>IF(Person3!$B$7+ROW(B97)-1&lt;=Person3!$C$7, Person3!$B$7+ROW(B97)-1, "")</f>
        <v/>
      </c>
      <c r="F99" s="1" t="str">
        <f>IF(Person3!$B$8+ROW(B97)-1&lt;=Person3!$C$8, Person3!$B$8+ROW(B97)-1, "")</f>
        <v/>
      </c>
      <c r="G99" s="1" t="str">
        <f>IF(Person3!$B$9+ROW(B97)-1&lt;=Person3!$C$9, Person3!$B$9+ROW(B97)-1, "")</f>
        <v/>
      </c>
      <c r="H99" s="1" t="str">
        <f>IF(Person3!$B$10+ROW(B97)-1&lt;=Person3!$C$10, Person3!$B$10+ROW(B97)-1, "")</f>
        <v/>
      </c>
      <c r="I99" s="1" t="str">
        <f>IF(Person3!$B$11+ROW(B97)-1&lt;=Person3!$C$11, Person3!$B$11+ROW(B97)-1, "")</f>
        <v/>
      </c>
      <c r="J99" s="1" t="str">
        <f>IF(Person3!$B$12+ROW(B97)-1&lt;=Person3!$C$12, Person3!$B$12+ROW(B97)-1, "")</f>
        <v/>
      </c>
      <c r="K99" s="1" t="str">
        <f>IF(Person3!$B$13+ROW(B97)-1&lt;=Person3!$C$13, Person3!$B$13+ROW(B97)-1, "")</f>
        <v/>
      </c>
      <c r="L99" s="1" t="str">
        <f>IF(Person3!$B$14+ROW(B97)-1&lt;=Person3!$C$14, Person3!$B$14+ROW(B97)-1, "")</f>
        <v/>
      </c>
      <c r="M99" s="1" t="str">
        <f>IF(Person3!$B$15+ROW(B97)-1&lt;=Person3!$C$15, Person3!$B$15+ROW(B97)-1, "")</f>
        <v/>
      </c>
      <c r="N99" s="1" t="str">
        <f>IF(Person3!$B$16+ROW(B97)-1&lt;=Person3!$C$16, Person3!$B$16+ROW(B97)-1, "")</f>
        <v/>
      </c>
      <c r="O99" s="1" t="str">
        <f>IF(Person3!$B$17+ROW(B97)-1&lt;=Person3!$C$17, Person3!$B$17+ROW(B97)-1, "")</f>
        <v/>
      </c>
      <c r="V99" s="1" t="str">
        <f>IF(Person3!$D$3+ROW(A97)-1&lt;=Person3!$E$3, Person3!$D$3+ROW(A97)-1, "")</f>
        <v/>
      </c>
      <c r="W99" s="1" t="str">
        <f>IF(Person3!$D$4+ROW(A97)-1&lt;=Person3!$E$4, Person3!$D$4+ROW(A97)-1, "")</f>
        <v/>
      </c>
      <c r="X99" s="1" t="str">
        <f>IF(Person3!$D$5+ROW(A97)-1&lt;=Person3!$E$5, Person3!$D$5+ROW(A97)-1, "")</f>
        <v/>
      </c>
      <c r="Y99" s="1" t="str">
        <f>IF(Person3!$D$6+ROW(A97)-1&lt;=Person3!$E$6, Person3!$D$6+ROW(A97)-1, "")</f>
        <v/>
      </c>
      <c r="Z99" s="1" t="str">
        <f>IF(Person3!$D$7+ROW(A97)-1&lt;=Person3!$E$7, Person3!$D$7+ROW(A97)-1, "")</f>
        <v/>
      </c>
      <c r="AA99" s="1" t="str">
        <f>IF(Person3!$D$8+ROW(A97)-1&lt;=Person3!$E$8, Person3!$D$8+ROW(A97)-1, "")</f>
        <v/>
      </c>
      <c r="AE99" s="1" t="str">
        <f>IF(Person3!$F$3+ROW(A97)-1&lt;=Person3!$G$3, Person3!$F$3+ROW(A97)-1, "")</f>
        <v/>
      </c>
      <c r="AF99" s="1" t="str">
        <f>IF(Person3!$F$4+ROW(A97)-1&lt;=Person3!$G$4, Person3!$F$4+ROW(A97)-1, "")</f>
        <v/>
      </c>
      <c r="AG99" s="1" t="str">
        <f>IF(Person3!$F$5+ROW(A97)-1&lt;=Person3!$G$5, Person3!$F$5+ROW(A97)-1, "")</f>
        <v/>
      </c>
      <c r="AH99" s="1" t="str">
        <f>IF(Person3!$F$6+ROW(A97)-1&lt;=Person3!$G$6, Person3!$F$6+ROW(A97)-1, "")</f>
        <v/>
      </c>
      <c r="AI99" s="1" t="str">
        <f>IF(Person3!$F$7+ROW(A97)-1&lt;=Person3!$G$7, Person3!$F$7+ROW(A97)-1, "")</f>
        <v/>
      </c>
    </row>
    <row r="100" spans="1:35" x14ac:dyDescent="0.3">
      <c r="A100" s="1" t="str">
        <f>IF(Person3!$B$3+ROW(A98)-1&lt;=Person3!$C$3, Person3!$B$3+ROW(A98)-1, "")</f>
        <v/>
      </c>
      <c r="B100" s="1" t="str">
        <f>IF(Person3!$B$4+ROW(B98)-1&lt;=Person3!$C$4, Person3!$B$4+ROW(B98)-1, "")</f>
        <v/>
      </c>
      <c r="C100" s="1" t="str">
        <f>IF(Person3!$B$5+ROW(B98)-1&lt;=Person3!$C$5, Person3!$B$5+ROW(B98)-1, "")</f>
        <v/>
      </c>
      <c r="D100" s="1" t="str">
        <f>IF(Person3!$B$6+ROW(B98)-1&lt;=Person3!$C$6, Person3!$B$6+ROW(B98)-1, "")</f>
        <v/>
      </c>
      <c r="E100" s="1" t="str">
        <f>IF(Person3!$B$7+ROW(B98)-1&lt;=Person3!$C$7, Person3!$B$7+ROW(B98)-1, "")</f>
        <v/>
      </c>
      <c r="F100" s="1" t="str">
        <f>IF(Person3!$B$8+ROW(B98)-1&lt;=Person3!$C$8, Person3!$B$8+ROW(B98)-1, "")</f>
        <v/>
      </c>
      <c r="G100" s="1" t="str">
        <f>IF(Person3!$B$9+ROW(B98)-1&lt;=Person3!$C$9, Person3!$B$9+ROW(B98)-1, "")</f>
        <v/>
      </c>
      <c r="H100" s="1" t="str">
        <f>IF(Person3!$B$10+ROW(B98)-1&lt;=Person3!$C$10, Person3!$B$10+ROW(B98)-1, "")</f>
        <v/>
      </c>
      <c r="I100" s="1" t="str">
        <f>IF(Person3!$B$11+ROW(B98)-1&lt;=Person3!$C$11, Person3!$B$11+ROW(B98)-1, "")</f>
        <v/>
      </c>
      <c r="J100" s="1" t="str">
        <f>IF(Person3!$B$12+ROW(B98)-1&lt;=Person3!$C$12, Person3!$B$12+ROW(B98)-1, "")</f>
        <v/>
      </c>
      <c r="K100" s="1" t="str">
        <f>IF(Person3!$B$13+ROW(B98)-1&lt;=Person3!$C$13, Person3!$B$13+ROW(B98)-1, "")</f>
        <v/>
      </c>
      <c r="L100" s="1" t="str">
        <f>IF(Person3!$B$14+ROW(B98)-1&lt;=Person3!$C$14, Person3!$B$14+ROW(B98)-1, "")</f>
        <v/>
      </c>
      <c r="M100" s="1" t="str">
        <f>IF(Person3!$B$15+ROW(B98)-1&lt;=Person3!$C$15, Person3!$B$15+ROW(B98)-1, "")</f>
        <v/>
      </c>
      <c r="N100" s="1" t="str">
        <f>IF(Person3!$B$16+ROW(B98)-1&lt;=Person3!$C$16, Person3!$B$16+ROW(B98)-1, "")</f>
        <v/>
      </c>
      <c r="O100" s="1" t="str">
        <f>IF(Person3!$B$17+ROW(B98)-1&lt;=Person3!$C$17, Person3!$B$17+ROW(B98)-1, "")</f>
        <v/>
      </c>
      <c r="V100" s="1" t="str">
        <f>IF(Person3!$D$3+ROW(A98)-1&lt;=Person3!$E$3, Person3!$D$3+ROW(A98)-1, "")</f>
        <v/>
      </c>
      <c r="W100" s="1" t="str">
        <f>IF(Person3!$D$4+ROW(A98)-1&lt;=Person3!$E$4, Person3!$D$4+ROW(A98)-1, "")</f>
        <v/>
      </c>
      <c r="X100" s="1" t="str">
        <f>IF(Person3!$D$5+ROW(A98)-1&lt;=Person3!$E$5, Person3!$D$5+ROW(A98)-1, "")</f>
        <v/>
      </c>
      <c r="Y100" s="1" t="str">
        <f>IF(Person3!$D$6+ROW(A98)-1&lt;=Person3!$E$6, Person3!$D$6+ROW(A98)-1, "")</f>
        <v/>
      </c>
      <c r="Z100" s="1" t="str">
        <f>IF(Person3!$D$7+ROW(A98)-1&lt;=Person3!$E$7, Person3!$D$7+ROW(A98)-1, "")</f>
        <v/>
      </c>
      <c r="AA100" s="1" t="str">
        <f>IF(Person3!$D$8+ROW(A98)-1&lt;=Person3!$E$8, Person3!$D$8+ROW(A98)-1, "")</f>
        <v/>
      </c>
      <c r="AE100" s="1" t="str">
        <f>IF(Person3!$F$3+ROW(A98)-1&lt;=Person3!$G$3, Person3!$F$3+ROW(A98)-1, "")</f>
        <v/>
      </c>
      <c r="AF100" s="1" t="str">
        <f>IF(Person3!$F$4+ROW(A98)-1&lt;=Person3!$G$4, Person3!$F$4+ROW(A98)-1, "")</f>
        <v/>
      </c>
      <c r="AG100" s="1" t="str">
        <f>IF(Person3!$F$5+ROW(A98)-1&lt;=Person3!$G$5, Person3!$F$5+ROW(A98)-1, "")</f>
        <v/>
      </c>
      <c r="AH100" s="1" t="str">
        <f>IF(Person3!$F$6+ROW(A98)-1&lt;=Person3!$G$6, Person3!$F$6+ROW(A98)-1, "")</f>
        <v/>
      </c>
      <c r="AI100" s="1" t="str">
        <f>IF(Person3!$F$7+ROW(A98)-1&lt;=Person3!$G$7, Person3!$F$7+ROW(A98)-1, "")</f>
        <v/>
      </c>
    </row>
    <row r="101" spans="1:35" x14ac:dyDescent="0.3">
      <c r="A101" s="1" t="str">
        <f>IF(Person3!$B$3+ROW(A99)-1&lt;=Person3!$C$3, Person3!$B$3+ROW(A99)-1, "")</f>
        <v/>
      </c>
      <c r="B101" s="1" t="str">
        <f>IF(Person3!$B$4+ROW(B99)-1&lt;=Person3!$C$4, Person3!$B$4+ROW(B99)-1, "")</f>
        <v/>
      </c>
      <c r="C101" s="1" t="str">
        <f>IF(Person3!$B$5+ROW(B99)-1&lt;=Person3!$C$5, Person3!$B$5+ROW(B99)-1, "")</f>
        <v/>
      </c>
      <c r="D101" s="1" t="str">
        <f>IF(Person3!$B$6+ROW(B99)-1&lt;=Person3!$C$6, Person3!$B$6+ROW(B99)-1, "")</f>
        <v/>
      </c>
      <c r="E101" s="1" t="str">
        <f>IF(Person3!$B$7+ROW(B99)-1&lt;=Person3!$C$7, Person3!$B$7+ROW(B99)-1, "")</f>
        <v/>
      </c>
      <c r="F101" s="1" t="str">
        <f>IF(Person3!$B$8+ROW(B99)-1&lt;=Person3!$C$8, Person3!$B$8+ROW(B99)-1, "")</f>
        <v/>
      </c>
      <c r="G101" s="1" t="str">
        <f>IF(Person3!$B$9+ROW(B99)-1&lt;=Person3!$C$9, Person3!$B$9+ROW(B99)-1, "")</f>
        <v/>
      </c>
      <c r="H101" s="1" t="str">
        <f>IF(Person3!$B$10+ROW(B99)-1&lt;=Person3!$C$10, Person3!$B$10+ROW(B99)-1, "")</f>
        <v/>
      </c>
      <c r="I101" s="1" t="str">
        <f>IF(Person3!$B$11+ROW(B99)-1&lt;=Person3!$C$11, Person3!$B$11+ROW(B99)-1, "")</f>
        <v/>
      </c>
      <c r="J101" s="1" t="str">
        <f>IF(Person3!$B$12+ROW(B99)-1&lt;=Person3!$C$12, Person3!$B$12+ROW(B99)-1, "")</f>
        <v/>
      </c>
      <c r="K101" s="1" t="str">
        <f>IF(Person3!$B$13+ROW(B99)-1&lt;=Person3!$C$13, Person3!$B$13+ROW(B99)-1, "")</f>
        <v/>
      </c>
      <c r="L101" s="1" t="str">
        <f>IF(Person3!$B$14+ROW(B99)-1&lt;=Person3!$C$14, Person3!$B$14+ROW(B99)-1, "")</f>
        <v/>
      </c>
      <c r="M101" s="1" t="str">
        <f>IF(Person3!$B$15+ROW(B99)-1&lt;=Person3!$C$15, Person3!$B$15+ROW(B99)-1, "")</f>
        <v/>
      </c>
      <c r="N101" s="1" t="str">
        <f>IF(Person3!$B$16+ROW(B99)-1&lt;=Person3!$C$16, Person3!$B$16+ROW(B99)-1, "")</f>
        <v/>
      </c>
      <c r="O101" s="1" t="str">
        <f>IF(Person3!$B$17+ROW(B99)-1&lt;=Person3!$C$17, Person3!$B$17+ROW(B99)-1, "")</f>
        <v/>
      </c>
      <c r="V101" s="1" t="str">
        <f>IF(Person3!$D$3+ROW(A99)-1&lt;=Person3!$E$3, Person3!$D$3+ROW(A99)-1, "")</f>
        <v/>
      </c>
      <c r="W101" s="1" t="str">
        <f>IF(Person3!$D$4+ROW(A99)-1&lt;=Person3!$E$4, Person3!$D$4+ROW(A99)-1, "")</f>
        <v/>
      </c>
      <c r="X101" s="1" t="str">
        <f>IF(Person3!$D$5+ROW(A99)-1&lt;=Person3!$E$5, Person3!$D$5+ROW(A99)-1, "")</f>
        <v/>
      </c>
      <c r="Y101" s="1" t="str">
        <f>IF(Person3!$D$6+ROW(A99)-1&lt;=Person3!$E$6, Person3!$D$6+ROW(A99)-1, "")</f>
        <v/>
      </c>
      <c r="Z101" s="1" t="str">
        <f>IF(Person3!$D$7+ROW(A99)-1&lt;=Person3!$E$7, Person3!$D$7+ROW(A99)-1, "")</f>
        <v/>
      </c>
      <c r="AA101" s="1" t="str">
        <f>IF(Person3!$D$8+ROW(A99)-1&lt;=Person3!$E$8, Person3!$D$8+ROW(A99)-1, "")</f>
        <v/>
      </c>
      <c r="AE101" s="1" t="str">
        <f>IF(Person2!$F$3+ROW(A99)-1&lt;=Person2!$G$3, Person2!$F$3+ROW(A99)-1, "")</f>
        <v/>
      </c>
      <c r="AF101" s="1" t="str">
        <f>IF(Person3!$F$4+ROW(A99)-1&lt;=Person3!$G$4, Person3!$F$4+ROW(A99)-1, "")</f>
        <v/>
      </c>
      <c r="AG101" s="1" t="str">
        <f>IF(Person3!$F$5+ROW(A99)-1&lt;=Person3!$G$5, Person3!$F$5+ROW(A99)-1, "")</f>
        <v/>
      </c>
      <c r="AH101" s="1" t="str">
        <f>IF(Person3!$F$6+ROW(A99)-1&lt;=Person3!$G$6, Person3!$F$6+ROW(A99)-1, "")</f>
        <v/>
      </c>
      <c r="AI101" s="1" t="str">
        <f>IF(Person3!$F$7+ROW(A99)-1&lt;=Person3!$G$7, Person3!$F$7+ROW(A99)-1, "")</f>
        <v/>
      </c>
    </row>
    <row r="102" spans="1:35" x14ac:dyDescent="0.3">
      <c r="A102" s="1" t="str">
        <f>IF(Person3!$B$3+ROW(A100)-1&lt;=Person3!$C$3, Person3!$B$3+ROW(A100)-1, "")</f>
        <v/>
      </c>
      <c r="B102" s="1" t="str">
        <f>IF(Person3!$B$4+ROW(B100)-1&lt;=Person3!$C$4, Person3!$B$4+ROW(B100)-1, "")</f>
        <v/>
      </c>
      <c r="C102" s="1" t="str">
        <f>IF(Person3!$B$5+ROW(B100)-1&lt;=Person3!$C$5, Person3!$B$5+ROW(B100)-1, "")</f>
        <v/>
      </c>
      <c r="D102" s="1" t="str">
        <f>IF(Person3!$B$6+ROW(B100)-1&lt;=Person3!$C$6, Person3!$B$6+ROW(B100)-1, "")</f>
        <v/>
      </c>
      <c r="E102" s="1" t="str">
        <f>IF(Person3!$B$7+ROW(B100)-1&lt;=Person3!$C$7, Person3!$B$7+ROW(B100)-1, "")</f>
        <v/>
      </c>
      <c r="F102" s="1" t="str">
        <f>IF(Person3!$B$8+ROW(B100)-1&lt;=Person3!$C$8, Person3!$B$8+ROW(B100)-1, "")</f>
        <v/>
      </c>
      <c r="G102" s="1" t="str">
        <f>IF(Person3!$B$9+ROW(B100)-1&lt;=Person3!$C$9, Person3!$B$9+ROW(B100)-1, "")</f>
        <v/>
      </c>
      <c r="H102" s="1" t="str">
        <f>IF(Person3!$B$10+ROW(B100)-1&lt;=Person3!$C$10, Person3!$B$10+ROW(B100)-1, "")</f>
        <v/>
      </c>
      <c r="I102" s="1" t="str">
        <f>IF(Person3!$B$11+ROW(B100)-1&lt;=Person3!$C$11, Person3!$B$11+ROW(B100)-1, "")</f>
        <v/>
      </c>
      <c r="J102" s="1" t="str">
        <f>IF(Person3!$B$12+ROW(B100)-1&lt;=Person3!$C$12, Person3!$B$12+ROW(B100)-1, "")</f>
        <v/>
      </c>
      <c r="K102" s="1" t="str">
        <f>IF(Person3!$B$13+ROW(B100)-1&lt;=Person3!$C$13, Person3!$B$13+ROW(B100)-1, "")</f>
        <v/>
      </c>
      <c r="L102" s="1" t="str">
        <f>IF(Person3!$B$14+ROW(B100)-1&lt;=Person3!$C$14, Person3!$B$14+ROW(B100)-1, "")</f>
        <v/>
      </c>
      <c r="M102" s="1" t="str">
        <f>IF(Person3!$B$15+ROW(B100)-1&lt;=Person3!$C$15, Person3!$B$15+ROW(B100)-1, "")</f>
        <v/>
      </c>
      <c r="N102" s="1" t="str">
        <f>IF(Person3!$B$16+ROW(B100)-1&lt;=Person3!$C$16, Person3!$B$16+ROW(B100)-1, "")</f>
        <v/>
      </c>
      <c r="O102" s="1" t="str">
        <f>IF(Person3!$B$17+ROW(B100)-1&lt;=Person3!$C$17, Person3!$B$17+ROW(B100)-1, "")</f>
        <v/>
      </c>
      <c r="V102" s="1" t="str">
        <f>IF(Person3!$D$3+ROW(A100)-1&lt;=Person3!$E$3, Person3!$D$3+ROW(A100)-1, "")</f>
        <v/>
      </c>
      <c r="W102" s="1" t="str">
        <f>IF(Person3!$D$4+ROW(A100)-1&lt;=Person3!$E$4, Person3!$D$4+ROW(A100)-1, "")</f>
        <v/>
      </c>
      <c r="X102" s="1" t="str">
        <f>IF(Person3!$D$5+ROW(A100)-1&lt;=Person3!$E$5, Person3!$D$5+ROW(A100)-1, "")</f>
        <v/>
      </c>
      <c r="Y102" s="1" t="str">
        <f>IF(Person3!$D$6+ROW(A100)-1&lt;=Person3!$E$6, Person3!$D$6+ROW(A100)-1, "")</f>
        <v/>
      </c>
      <c r="Z102" s="1" t="str">
        <f>IF(Person3!$D$7+ROW(A100)-1&lt;=Person3!$E$7, Person3!$D$7+ROW(A100)-1, "")</f>
        <v/>
      </c>
      <c r="AA102" s="1" t="str">
        <f>IF(Person3!$D$8+ROW(A100)-1&lt;=Person3!$E$8, Person3!$D$8+ROW(A100)-1, "")</f>
        <v/>
      </c>
      <c r="AE102" s="1" t="str">
        <f>IF(Person2!$F$3+ROW(A100)-1&lt;=Person2!$G$3, Person2!$F$3+ROW(A100)-1, "")</f>
        <v/>
      </c>
      <c r="AF102" s="1" t="str">
        <f>IF(Person3!$F$4+ROW(A100)-1&lt;=Person3!$G$4, Person3!$F$4+ROW(A100)-1, "")</f>
        <v/>
      </c>
      <c r="AG102" s="1" t="str">
        <f>IF(Person3!$F$5+ROW(A100)-1&lt;=Person3!$G$5, Person3!$F$5+ROW(A100)-1, "")</f>
        <v/>
      </c>
      <c r="AH102" s="1" t="str">
        <f>IF(Person3!$F$6+ROW(A100)-1&lt;=Person3!$G$6, Person3!$F$6+ROW(A100)-1, "")</f>
        <v/>
      </c>
      <c r="AI102" s="1" t="str">
        <f>IF(Person3!$F$7+ROW(A100)-1&lt;=Person3!$G$7, Person3!$F$7+ROW(A100)-1, "")</f>
        <v/>
      </c>
    </row>
    <row r="103" spans="1:35" x14ac:dyDescent="0.3">
      <c r="A103" s="1" t="str">
        <f>IF(Person3!$B$3+ROW(A101)-1&lt;=Person3!$C$3, Person3!$B$3+ROW(A101)-1, "")</f>
        <v/>
      </c>
      <c r="B103" s="1" t="str">
        <f>IF(Person2!$B$4+ROW(B101)-1&lt;=Person2!$C$4, Person2!$B$4+ROW(B101)-1, "")</f>
        <v/>
      </c>
      <c r="C103" s="1" t="str">
        <f>IF(Person2!$B$5+ROW(B101)-1&lt;=Person2!$C$5, Person2!$B$5+ROW(B101)-1, "")</f>
        <v/>
      </c>
      <c r="D103" s="1" t="str">
        <f>IF(Person2!$B$6+ROW(B101)-1&lt;=Person2!$C$6, Person2!$B$6+ROW(B101)-1, "")</f>
        <v/>
      </c>
      <c r="E103" s="1" t="str">
        <f>IF(Person3!$B$7+ROW(B101)-1&lt;=Person3!$C$7, Person3!$B$7+ROW(B101)-1, "")</f>
        <v/>
      </c>
      <c r="F103" s="1" t="str">
        <f>IF(Person3!$B$8+ROW(B101)-1&lt;=Person3!$C$8, Person3!$B$8+ROW(B101)-1, "")</f>
        <v/>
      </c>
      <c r="G103" s="1" t="str">
        <f>IF(Person2!$B$9+ROW(B101)-1&lt;=Person2!$C$9, Person2!$B$9+ROW(B101)-1, "")</f>
        <v/>
      </c>
      <c r="H103" s="1" t="str">
        <f>IF(Person3!$B$10+ROW(B101)-1&lt;=Person3!$C$10, Person3!$B$10+ROW(B101)-1, "")</f>
        <v/>
      </c>
      <c r="I103" s="1" t="str">
        <f>IF(Person3!$B$11+ROW(B101)-1&lt;=Person3!$C$11, Person3!$B$11+ROW(B101)-1, "")</f>
        <v/>
      </c>
      <c r="J103" s="1" t="str">
        <f>IF(Person3!$B$12+ROW(B101)-1&lt;=Person3!$C$12, Person3!$B$12+ROW(B101)-1, "")</f>
        <v/>
      </c>
      <c r="K103" s="1" t="str">
        <f>IF(Person3!$B$13+ROW(B101)-1&lt;=Person3!$C$13, Person3!$B$13+ROW(B101)-1, "")</f>
        <v/>
      </c>
      <c r="L103" s="1" t="str">
        <f>IF(Person3!$B$14+ROW(B101)-1&lt;=Person3!$C$14, Person3!$B$14+ROW(B101)-1, "")</f>
        <v/>
      </c>
      <c r="M103" s="1" t="str">
        <f>IF(Person3!$B$15+ROW(B101)-1&lt;=Person3!$C$15, Person3!$B$15+ROW(B101)-1, "")</f>
        <v/>
      </c>
      <c r="N103" s="1" t="str">
        <f>IF(Person3!$B$16+ROW(B101)-1&lt;=Person3!$C$16, Person3!$B$16+ROW(B101)-1, "")</f>
        <v/>
      </c>
      <c r="O103" s="1" t="str">
        <f>IF(Person3!$B$17+ROW(B101)-1&lt;=Person3!$C$17, Person3!$B$17+ROW(B101)-1, "")</f>
        <v/>
      </c>
      <c r="V103" s="1" t="str">
        <f>IF(Person2!$D$3+ROW(A101)-1&lt;=Person2!$E$3, Person2!$D$3+ROW(A101)-1, "")</f>
        <v/>
      </c>
      <c r="W103" s="1" t="str">
        <f>IF(Person3!$D$4+ROW(A101)-1&lt;=Person3!$E$4, Person3!$D$4+ROW(A101)-1, "")</f>
        <v/>
      </c>
      <c r="X103" s="1" t="str">
        <f>IF(Person3!$D$5+ROW(A101)-1&lt;=Person3!$E$5, Person3!$D$5+ROW(A101)-1, "")</f>
        <v/>
      </c>
      <c r="Y103" s="1" t="str">
        <f>IF(Person3!$D$6+ROW(A101)-1&lt;=Person3!$E$6, Person3!$D$6+ROW(A101)-1, "")</f>
        <v/>
      </c>
      <c r="Z103" s="1" t="str">
        <f>IF(Person3!$D$7+ROW(A101)-1&lt;=Person3!$E$7, Person3!$D$7+ROW(A101)-1, "")</f>
        <v/>
      </c>
      <c r="AA103" s="1" t="str">
        <f>IF(Person3!$D$8+ROW(A101)-1&lt;=Person3!$E$8, Person3!$D$8+ROW(A101)-1, "")</f>
        <v/>
      </c>
    </row>
    <row r="104" spans="1:35" x14ac:dyDescent="0.3">
      <c r="H104" s="1" t="str">
        <f>IF(Person3!$B$10+ROW(B102)-1&lt;=Person3!$C$10, Person3!$B$10+ROW(B102)-1, "")</f>
        <v/>
      </c>
      <c r="I104" s="1" t="str">
        <f>IF(Person3!$B$11+ROW(B102)-1&lt;=Person3!$C$11, Person3!$B$11+ROW(B102)-1, "")</f>
        <v/>
      </c>
      <c r="J104" s="1" t="str">
        <f>IF(Person3!$B$12+ROW(B102)-1&lt;=Person3!$C$12, Person3!$B$12+ROW(B102)-1, "")</f>
        <v/>
      </c>
      <c r="K104" s="1" t="str">
        <f>IF(Person3!$B$13+ROW(B102)-1&lt;=Person3!$C$13, Person3!$B$13+ROW(B102)-1, "")</f>
        <v/>
      </c>
      <c r="L104" s="1" t="str">
        <f>IF(Person3!$B$14+ROW(B102)-1&lt;=Person3!$C$14, Person3!$B$14+ROW(B102)-1, "")</f>
        <v/>
      </c>
      <c r="M104" s="1" t="str">
        <f>IF(Person3!$B$15+ROW(B102)-1&lt;=Person3!$C$15, Person3!$B$15+ROW(B102)-1, "")</f>
        <v/>
      </c>
      <c r="N104" s="1" t="str">
        <f>IF(Person3!$B$16+ROW(B102)-1&lt;=Person3!$C$16, Person3!$B$16+ROW(B102)-1, "")</f>
        <v/>
      </c>
      <c r="O104" s="1" t="str">
        <f>IF(Person3!$B$17+ROW(B102)-1&lt;=Person3!$C$17, Person3!$B$17+ROW(B102)-1, "")</f>
        <v/>
      </c>
    </row>
    <row r="105" spans="1:35" x14ac:dyDescent="0.3">
      <c r="H105" s="1" t="str">
        <f>IF(Person3!$B$10+ROW(B103)-1&lt;=Person3!$C$10, Person3!$B$10+ROW(B103)-1, "")</f>
        <v/>
      </c>
      <c r="I105" s="1" t="str">
        <f>IF(Person3!$B$11+ROW(B103)-1&lt;=Person3!$C$11, Person3!$B$11+ROW(B103)-1, "")</f>
        <v/>
      </c>
      <c r="J105" s="1" t="str">
        <f>IF(Person3!$B$12+ROW(B103)-1&lt;=Person3!$C$12, Person3!$B$12+ROW(B103)-1, "")</f>
        <v/>
      </c>
      <c r="K105" s="1" t="str">
        <f>IF(Person3!$B$13+ROW(B103)-1&lt;=Person3!$C$13, Person3!$B$13+ROW(B103)-1, "")</f>
        <v/>
      </c>
      <c r="L105" s="1" t="str">
        <f>IF(Person3!$B$14+ROW(B103)-1&lt;=Person3!$C$14, Person3!$B$14+ROW(B103)-1, "")</f>
        <v/>
      </c>
      <c r="M105" s="1" t="str">
        <f>IF(Person3!$B$15+ROW(B103)-1&lt;=Person3!$C$15, Person3!$B$15+ROW(B103)-1, "")</f>
        <v/>
      </c>
      <c r="N105" s="1" t="str">
        <f>IF(Person3!$B$16+ROW(B103)-1&lt;=Person3!$C$16, Person3!$B$16+ROW(B103)-1, "")</f>
        <v/>
      </c>
      <c r="O105" s="1" t="str">
        <f>IF(Person3!$B$17+ROW(B103)-1&lt;=Person3!$C$17, Person3!$B$17+ROW(B103)-1, "")</f>
        <v/>
      </c>
    </row>
    <row r="106" spans="1:35" x14ac:dyDescent="0.3">
      <c r="H106" s="1" t="str">
        <f>IF(Person3!$B$10+ROW(B104)-1&lt;=Person3!$C$10, Person3!$B$10+ROW(B104)-1, "")</f>
        <v/>
      </c>
      <c r="I106" s="1" t="str">
        <f>IF(Person3!$B$11+ROW(B104)-1&lt;=Person3!$C$11, Person3!$B$11+ROW(B104)-1, "")</f>
        <v/>
      </c>
      <c r="J106" s="1" t="str">
        <f>IF(Person3!$B$12+ROW(B104)-1&lt;=Person3!$C$12, Person3!$B$12+ROW(B104)-1, "")</f>
        <v/>
      </c>
      <c r="K106" s="1" t="str">
        <f>IF(Person3!$B$13+ROW(B104)-1&lt;=Person3!$C$13, Person3!$B$13+ROW(B104)-1, "")</f>
        <v/>
      </c>
      <c r="L106" s="1" t="str">
        <f>IF(Person3!$B$14+ROW(B104)-1&lt;=Person3!$C$14, Person3!$B$14+ROW(B104)-1, "")</f>
        <v/>
      </c>
      <c r="M106" s="1" t="str">
        <f>IF(Person3!$B$15+ROW(B104)-1&lt;=Person3!$C$15, Person3!$B$15+ROW(B104)-1, "")</f>
        <v/>
      </c>
      <c r="N106" s="1" t="str">
        <f>IF(Person3!$B$16+ROW(B104)-1&lt;=Person3!$C$16, Person3!$B$16+ROW(B104)-1, "")</f>
        <v/>
      </c>
      <c r="O106" s="1" t="str">
        <f>IF(Person3!$B$17+ROW(B104)-1&lt;=Person3!$C$17, Person3!$B$17+ROW(B104)-1, "")</f>
        <v/>
      </c>
    </row>
    <row r="107" spans="1:35" x14ac:dyDescent="0.3">
      <c r="H107" s="1" t="str">
        <f>IF(Person3!$B$10+ROW(B105)-1&lt;=Person3!$C$10, Person3!$B$10+ROW(B105)-1, "")</f>
        <v/>
      </c>
      <c r="I107" s="1" t="str">
        <f>IF(Person3!$B$11+ROW(B105)-1&lt;=Person3!$C$11, Person3!$B$11+ROW(B105)-1, "")</f>
        <v/>
      </c>
      <c r="J107" s="1" t="str">
        <f>IF(Person3!$B$12+ROW(B105)-1&lt;=Person3!$C$12, Person3!$B$12+ROW(B105)-1, "")</f>
        <v/>
      </c>
      <c r="K107" s="1" t="str">
        <f>IF(Person3!$B$13+ROW(B105)-1&lt;=Person3!$C$13, Person3!$B$13+ROW(B105)-1, "")</f>
        <v/>
      </c>
      <c r="L107" s="1" t="str">
        <f>IF(Person3!$B$14+ROW(B105)-1&lt;=Person3!$C$14, Person3!$B$14+ROW(B105)-1, "")</f>
        <v/>
      </c>
      <c r="M107" s="1" t="str">
        <f>IF(Person3!$B$15+ROW(B105)-1&lt;=Person3!$C$15, Person3!$B$15+ROW(B105)-1, "")</f>
        <v/>
      </c>
      <c r="N107" s="1" t="str">
        <f>IF(Person3!$B$16+ROW(B105)-1&lt;=Person3!$C$16, Person3!$B$16+ROW(B105)-1, "")</f>
        <v/>
      </c>
      <c r="O107" s="1" t="str">
        <f>IF(Person3!$B$17+ROW(B105)-1&lt;=Person3!$C$17, Person3!$B$17+ROW(B105)-1, "")</f>
        <v/>
      </c>
    </row>
    <row r="108" spans="1:35" x14ac:dyDescent="0.3">
      <c r="H108" s="1" t="str">
        <f>IF(Person3!$B$10+ROW(B106)-1&lt;=Person3!$C$10, Person3!$B$10+ROW(B106)-1, "")</f>
        <v/>
      </c>
      <c r="I108" s="1" t="str">
        <f>IF(Person3!$B$11+ROW(B106)-1&lt;=Person3!$C$11, Person3!$B$11+ROW(B106)-1, "")</f>
        <v/>
      </c>
      <c r="J108" s="1" t="str">
        <f>IF(Person3!$B$12+ROW(B106)-1&lt;=Person3!$C$12, Person3!$B$12+ROW(B106)-1, "")</f>
        <v/>
      </c>
      <c r="K108" s="1" t="str">
        <f>IF(Person3!$B$13+ROW(B106)-1&lt;=Person3!$C$13, Person3!$B$13+ROW(B106)-1, "")</f>
        <v/>
      </c>
      <c r="L108" s="1" t="str">
        <f>IF(Person3!$B$14+ROW(B106)-1&lt;=Person3!$C$14, Person3!$B$14+ROW(B106)-1, "")</f>
        <v/>
      </c>
      <c r="M108" s="1" t="str">
        <f>IF(Person3!$B$15+ROW(B106)-1&lt;=Person3!$C$15, Person3!$B$15+ROW(B106)-1, "")</f>
        <v/>
      </c>
      <c r="N108" s="1" t="str">
        <f>IF(Person3!$B$16+ROW(B106)-1&lt;=Person3!$C$16, Person3!$B$16+ROW(B106)-1, "")</f>
        <v/>
      </c>
      <c r="O108" s="1" t="str">
        <f>IF(Person3!$B$17+ROW(B106)-1&lt;=Person3!$C$17, Person3!$B$17+ROW(B106)-1, "")</f>
        <v/>
      </c>
    </row>
    <row r="109" spans="1:35" x14ac:dyDescent="0.3">
      <c r="H109" s="1" t="str">
        <f>IF(Person3!$B$10+ROW(B107)-1&lt;=Person3!$C$10, Person3!$B$10+ROW(B107)-1, "")</f>
        <v/>
      </c>
      <c r="I109" s="1" t="str">
        <f>IF(Person3!$B$11+ROW(B107)-1&lt;=Person3!$C$11, Person3!$B$11+ROW(B107)-1, "")</f>
        <v/>
      </c>
      <c r="J109" s="1" t="str">
        <f>IF(Person3!$B$12+ROW(B107)-1&lt;=Person3!$C$12, Person3!$B$12+ROW(B107)-1, "")</f>
        <v/>
      </c>
      <c r="K109" s="1" t="str">
        <f>IF(Person3!$B$13+ROW(B107)-1&lt;=Person3!$C$13, Person3!$B$13+ROW(B107)-1, "")</f>
        <v/>
      </c>
      <c r="L109" s="1" t="str">
        <f>IF(Person3!$B$14+ROW(B107)-1&lt;=Person3!$C$14, Person3!$B$14+ROW(B107)-1, "")</f>
        <v/>
      </c>
      <c r="M109" s="1" t="str">
        <f>IF(Person3!$B$15+ROW(B107)-1&lt;=Person3!$C$15, Person3!$B$15+ROW(B107)-1, "")</f>
        <v/>
      </c>
      <c r="N109" s="1" t="str">
        <f>IF(Person3!$B$16+ROW(B107)-1&lt;=Person3!$C$16, Person3!$B$16+ROW(B107)-1, "")</f>
        <v/>
      </c>
      <c r="O109" s="1" t="str">
        <f>IF(Person3!$B$17+ROW(B107)-1&lt;=Person3!$C$17, Person3!$B$17+ROW(B107)-1, "")</f>
        <v/>
      </c>
    </row>
    <row r="110" spans="1:35" x14ac:dyDescent="0.3">
      <c r="H110" s="1" t="str">
        <f>IF(Person3!$B$10+ROW(B108)-1&lt;=Person3!$C$10, Person3!$B$10+ROW(B108)-1, "")</f>
        <v/>
      </c>
      <c r="I110" s="1" t="str">
        <f>IF(Person3!$B$11+ROW(B108)-1&lt;=Person3!$C$11, Person3!$B$11+ROW(B108)-1, "")</f>
        <v/>
      </c>
      <c r="J110" s="1" t="str">
        <f>IF(Person3!$B$12+ROW(B108)-1&lt;=Person3!$C$12, Person3!$B$12+ROW(B108)-1, "")</f>
        <v/>
      </c>
      <c r="K110" s="1" t="str">
        <f>IF(Person3!$B$13+ROW(B108)-1&lt;=Person3!$C$13, Person3!$B$13+ROW(B108)-1, "")</f>
        <v/>
      </c>
      <c r="L110" s="1" t="str">
        <f>IF(Person3!$B$14+ROW(B108)-1&lt;=Person3!$C$14, Person3!$B$14+ROW(B108)-1, "")</f>
        <v/>
      </c>
      <c r="M110" s="1" t="str">
        <f>IF(Person3!$B$15+ROW(B108)-1&lt;=Person3!$C$15, Person3!$B$15+ROW(B108)-1, "")</f>
        <v/>
      </c>
      <c r="N110" s="1" t="str">
        <f>IF(Person3!$B$16+ROW(B108)-1&lt;=Person3!$C$16, Person3!$B$16+ROW(B108)-1, "")</f>
        <v/>
      </c>
      <c r="O110" s="1" t="str">
        <f>IF(Person3!$B$17+ROW(B108)-1&lt;=Person3!$C$17, Person3!$B$17+ROW(B108)-1, "")</f>
        <v/>
      </c>
    </row>
    <row r="111" spans="1:35" x14ac:dyDescent="0.3">
      <c r="H111" s="1" t="str">
        <f>IF(Person3!$B$10+ROW(B109)-1&lt;=Person3!$C$10, Person3!$B$10+ROW(B109)-1, "")</f>
        <v/>
      </c>
      <c r="I111" s="1" t="str">
        <f>IF(Person3!$B$11+ROW(B109)-1&lt;=Person3!$C$11, Person3!$B$11+ROW(B109)-1, "")</f>
        <v/>
      </c>
      <c r="J111" s="1" t="str">
        <f>IF(Person3!$B$12+ROW(B109)-1&lt;=Person3!$C$12, Person3!$B$12+ROW(B109)-1, "")</f>
        <v/>
      </c>
      <c r="K111" s="1" t="str">
        <f>IF(Person3!$B$13+ROW(B109)-1&lt;=Person3!$C$13, Person3!$B$13+ROW(B109)-1, "")</f>
        <v/>
      </c>
      <c r="L111" s="1" t="str">
        <f>IF(Person3!$B$14+ROW(B109)-1&lt;=Person3!$C$14, Person3!$B$14+ROW(B109)-1, "")</f>
        <v/>
      </c>
      <c r="M111" s="1" t="str">
        <f>IF(Person3!$B$15+ROW(B109)-1&lt;=Person3!$C$15, Person3!$B$15+ROW(B109)-1, "")</f>
        <v/>
      </c>
      <c r="N111" s="1" t="str">
        <f>IF(Person3!$B$16+ROW(B109)-1&lt;=Person3!$C$16, Person3!$B$16+ROW(B109)-1, "")</f>
        <v/>
      </c>
      <c r="O111" s="1" t="str">
        <f>IF(Person3!$B$17+ROW(B109)-1&lt;=Person3!$C$17, Person3!$B$17+ROW(B109)-1, "")</f>
        <v/>
      </c>
    </row>
    <row r="112" spans="1:35" x14ac:dyDescent="0.3">
      <c r="H112" s="1" t="str">
        <f>IF(Person3!$B$10+ROW(B110)-1&lt;=Person3!$C$10, Person3!$B$10+ROW(B110)-1, "")</f>
        <v/>
      </c>
      <c r="I112" s="1" t="str">
        <f>IF(Person3!$B$11+ROW(B110)-1&lt;=Person3!$C$11, Person3!$B$11+ROW(B110)-1, "")</f>
        <v/>
      </c>
      <c r="J112" s="1" t="str">
        <f>IF(Person3!$B$12+ROW(B110)-1&lt;=Person3!$C$12, Person3!$B$12+ROW(B110)-1, "")</f>
        <v/>
      </c>
      <c r="K112" s="1" t="str">
        <f>IF(Person3!$B$13+ROW(B110)-1&lt;=Person3!$C$13, Person3!$B$13+ROW(B110)-1, "")</f>
        <v/>
      </c>
      <c r="L112" s="1" t="str">
        <f>IF(Person3!$B$14+ROW(B110)-1&lt;=Person3!$C$14, Person3!$B$14+ROW(B110)-1, "")</f>
        <v/>
      </c>
      <c r="M112" s="1" t="str">
        <f>IF(Person3!$B$15+ROW(B110)-1&lt;=Person3!$C$15, Person3!$B$15+ROW(B110)-1, "")</f>
        <v/>
      </c>
      <c r="N112" s="1" t="str">
        <f>IF(Person3!$B$16+ROW(B110)-1&lt;=Person3!$C$16, Person3!$B$16+ROW(B110)-1, "")</f>
        <v/>
      </c>
      <c r="O112" s="1" t="str">
        <f>IF(Person3!$B$17+ROW(B110)-1&lt;=Person3!$C$17, Person3!$B$17+ROW(B110)-1, "")</f>
        <v/>
      </c>
    </row>
    <row r="113" spans="8:15" x14ac:dyDescent="0.3">
      <c r="H113" s="1" t="str">
        <f>IF(Person3!$B$10+ROW(B111)-1&lt;=Person3!$C$10, Person3!$B$10+ROW(B111)-1, "")</f>
        <v/>
      </c>
      <c r="I113" s="1" t="str">
        <f>IF(Person3!$B$11+ROW(B111)-1&lt;=Person3!$C$11, Person3!$B$11+ROW(B111)-1, "")</f>
        <v/>
      </c>
      <c r="J113" s="1" t="str">
        <f>IF(Person3!$B$12+ROW(B111)-1&lt;=Person3!$C$12, Person3!$B$12+ROW(B111)-1, "")</f>
        <v/>
      </c>
      <c r="K113" s="1" t="str">
        <f>IF(Person3!$B$13+ROW(B111)-1&lt;=Person3!$C$13, Person3!$B$13+ROW(B111)-1, "")</f>
        <v/>
      </c>
      <c r="L113" s="1" t="str">
        <f>IF(Person3!$B$14+ROW(B111)-1&lt;=Person3!$C$14, Person3!$B$14+ROW(B111)-1, "")</f>
        <v/>
      </c>
      <c r="M113" s="1" t="str">
        <f>IF(Person3!$B$15+ROW(B111)-1&lt;=Person3!$C$15, Person3!$B$15+ROW(B111)-1, "")</f>
        <v/>
      </c>
      <c r="N113" s="1" t="str">
        <f>IF(Person3!$B$16+ROW(B111)-1&lt;=Person3!$C$16, Person3!$B$16+ROW(B111)-1, "")</f>
        <v/>
      </c>
      <c r="O113" s="1" t="str">
        <f>IF(Person3!$B$17+ROW(B111)-1&lt;=Person3!$C$17, Person3!$B$17+ROW(B111)-1, "")</f>
        <v/>
      </c>
    </row>
    <row r="114" spans="8:15" x14ac:dyDescent="0.3">
      <c r="H114" s="1" t="str">
        <f>IF(Person3!$B$10+ROW(B112)-1&lt;=Person3!$C$10, Person3!$B$10+ROW(B112)-1, "")</f>
        <v/>
      </c>
      <c r="I114" s="1" t="str">
        <f>IF(Person3!$B$11+ROW(B112)-1&lt;=Person3!$C$11, Person3!$B$11+ROW(B112)-1, "")</f>
        <v/>
      </c>
      <c r="J114" s="1" t="str">
        <f>IF(Person3!$B$12+ROW(B112)-1&lt;=Person3!$C$12, Person3!$B$12+ROW(B112)-1, "")</f>
        <v/>
      </c>
      <c r="K114" s="1" t="str">
        <f>IF(Person3!$B$13+ROW(B112)-1&lt;=Person3!$C$13, Person3!$B$13+ROW(B112)-1, "")</f>
        <v/>
      </c>
      <c r="L114" s="1" t="str">
        <f>IF(Person3!$B$14+ROW(B112)-1&lt;=Person3!$C$14, Person3!$B$14+ROW(B112)-1, "")</f>
        <v/>
      </c>
      <c r="M114" s="1" t="str">
        <f>IF(Person3!$B$15+ROW(B112)-1&lt;=Person3!$C$15, Person3!$B$15+ROW(B112)-1, "")</f>
        <v/>
      </c>
      <c r="N114" s="1" t="str">
        <f>IF(Person3!$B$16+ROW(B112)-1&lt;=Person3!$C$16, Person3!$B$16+ROW(B112)-1, "")</f>
        <v/>
      </c>
      <c r="O114" s="1" t="str">
        <f>IF(Person3!$B$17+ROW(B112)-1&lt;=Person3!$C$17, Person3!$B$17+ROW(B112)-1, "")</f>
        <v/>
      </c>
    </row>
    <row r="115" spans="8:15" x14ac:dyDescent="0.3">
      <c r="H115" s="1" t="str">
        <f>IF(Person3!$B$10+ROW(B113)-1&lt;=Person3!$C$10, Person3!$B$10+ROW(B113)-1, "")</f>
        <v/>
      </c>
      <c r="I115" s="1" t="str">
        <f>IF(Person3!$B$11+ROW(B113)-1&lt;=Person3!$C$11, Person3!$B$11+ROW(B113)-1, "")</f>
        <v/>
      </c>
      <c r="J115" s="1" t="str">
        <f>IF(Person3!$B$12+ROW(B113)-1&lt;=Person3!$C$12, Person3!$B$12+ROW(B113)-1, "")</f>
        <v/>
      </c>
      <c r="K115" s="1" t="str">
        <f>IF(Person3!$B$13+ROW(B113)-1&lt;=Person3!$C$13, Person3!$B$13+ROW(B113)-1, "")</f>
        <v/>
      </c>
      <c r="L115" s="1" t="str">
        <f>IF(Person3!$B$14+ROW(B113)-1&lt;=Person3!$C$14, Person3!$B$14+ROW(B113)-1, "")</f>
        <v/>
      </c>
      <c r="M115" s="1" t="str">
        <f>IF(Person3!$B$15+ROW(B113)-1&lt;=Person3!$C$15, Person3!$B$15+ROW(B113)-1, "")</f>
        <v/>
      </c>
      <c r="N115" s="1" t="str">
        <f>IF(Person3!$B$16+ROW(B113)-1&lt;=Person3!$C$16, Person3!$B$16+ROW(B113)-1, "")</f>
        <v/>
      </c>
      <c r="O115" s="1" t="str">
        <f>IF(Person3!$B$17+ROW(B113)-1&lt;=Person3!$C$17, Person3!$B$17+ROW(B113)-1, "")</f>
        <v/>
      </c>
    </row>
    <row r="116" spans="8:15" x14ac:dyDescent="0.3">
      <c r="H116" s="1" t="str">
        <f>IF(Person3!$B$10+ROW(B114)-1&lt;=Person3!$C$10, Person3!$B$10+ROW(B114)-1, "")</f>
        <v/>
      </c>
      <c r="I116" s="1" t="str">
        <f>IF(Person3!$B$11+ROW(B114)-1&lt;=Person3!$C$11, Person3!$B$11+ROW(B114)-1, "")</f>
        <v/>
      </c>
      <c r="J116" s="1" t="str">
        <f>IF(Person3!$B$12+ROW(B114)-1&lt;=Person3!$C$12, Person3!$B$12+ROW(B114)-1, "")</f>
        <v/>
      </c>
      <c r="K116" s="1" t="str">
        <f>IF(Person3!$B$13+ROW(B114)-1&lt;=Person3!$C$13, Person3!$B$13+ROW(B114)-1, "")</f>
        <v/>
      </c>
      <c r="L116" s="1" t="str">
        <f>IF(Person3!$B$14+ROW(B114)-1&lt;=Person3!$C$14, Person3!$B$14+ROW(B114)-1, "")</f>
        <v/>
      </c>
      <c r="M116" s="1" t="str">
        <f>IF(Person3!$B$15+ROW(B114)-1&lt;=Person3!$C$15, Person3!$B$15+ROW(B114)-1, "")</f>
        <v/>
      </c>
      <c r="N116" s="1" t="str">
        <f>IF(Person3!$B$16+ROW(B114)-1&lt;=Person3!$C$16, Person3!$B$16+ROW(B114)-1, "")</f>
        <v/>
      </c>
      <c r="O116" s="1" t="str">
        <f>IF(Person3!$B$17+ROW(B114)-1&lt;=Person3!$C$17, Person3!$B$17+ROW(B114)-1, "")</f>
        <v/>
      </c>
    </row>
    <row r="117" spans="8:15" x14ac:dyDescent="0.3">
      <c r="H117" s="1" t="str">
        <f>IF(Person3!$B$10+ROW(B115)-1&lt;=Person3!$C$10, Person3!$B$10+ROW(B115)-1, "")</f>
        <v/>
      </c>
      <c r="I117" s="1" t="str">
        <f>IF(Person3!$B$11+ROW(B115)-1&lt;=Person3!$C$11, Person3!$B$11+ROW(B115)-1, "")</f>
        <v/>
      </c>
      <c r="J117" s="1" t="str">
        <f>IF(Person3!$B$12+ROW(B115)-1&lt;=Person3!$C$12, Person3!$B$12+ROW(B115)-1, "")</f>
        <v/>
      </c>
      <c r="K117" s="1" t="str">
        <f>IF(Person3!$B$13+ROW(B115)-1&lt;=Person3!$C$13, Person3!$B$13+ROW(B115)-1, "")</f>
        <v/>
      </c>
      <c r="L117" s="1" t="str">
        <f>IF(Person3!$B$14+ROW(B115)-1&lt;=Person3!$C$14, Person3!$B$14+ROW(B115)-1, "")</f>
        <v/>
      </c>
      <c r="M117" s="1" t="str">
        <f>IF(Person3!$B$15+ROW(B115)-1&lt;=Person3!$C$15, Person3!$B$15+ROW(B115)-1, "")</f>
        <v/>
      </c>
      <c r="N117" s="1" t="str">
        <f>IF(Person3!$B$16+ROW(B115)-1&lt;=Person3!$C$16, Person3!$B$16+ROW(B115)-1, "")</f>
        <v/>
      </c>
      <c r="O117" s="1" t="str">
        <f>IF(Person3!$B$17+ROW(B115)-1&lt;=Person3!$C$17, Person3!$B$17+ROW(B115)-1, "")</f>
        <v/>
      </c>
    </row>
    <row r="118" spans="8:15" x14ac:dyDescent="0.3">
      <c r="H118" s="1" t="str">
        <f>IF(Person3!$B$10+ROW(B116)-1&lt;=Person3!$C$10, Person3!$B$10+ROW(B116)-1, "")</f>
        <v/>
      </c>
      <c r="I118" s="1" t="str">
        <f>IF(Person3!$B$11+ROW(B116)-1&lt;=Person3!$C$11, Person3!$B$11+ROW(B116)-1, "")</f>
        <v/>
      </c>
      <c r="J118" s="1" t="str">
        <f>IF(Person3!$B$12+ROW(B116)-1&lt;=Person3!$C$12, Person3!$B$12+ROW(B116)-1, "")</f>
        <v/>
      </c>
      <c r="K118" s="1" t="str">
        <f>IF(Person3!$B$13+ROW(B116)-1&lt;=Person3!$C$13, Person3!$B$13+ROW(B116)-1, "")</f>
        <v/>
      </c>
      <c r="L118" s="1" t="str">
        <f>IF(Person3!$B$14+ROW(B116)-1&lt;=Person3!$C$14, Person3!$B$14+ROW(B116)-1, "")</f>
        <v/>
      </c>
      <c r="M118" s="1" t="str">
        <f>IF(Person3!$B$15+ROW(B116)-1&lt;=Person3!$C$15, Person3!$B$15+ROW(B116)-1, "")</f>
        <v/>
      </c>
      <c r="N118" s="1" t="str">
        <f>IF(Person3!$B$16+ROW(B116)-1&lt;=Person3!$C$16, Person3!$B$16+ROW(B116)-1, "")</f>
        <v/>
      </c>
      <c r="O118" s="1" t="str">
        <f>IF(Person3!$B$17+ROW(B116)-1&lt;=Person3!$C$17, Person3!$B$17+ROW(B116)-1, "")</f>
        <v/>
      </c>
    </row>
    <row r="119" spans="8:15" x14ac:dyDescent="0.3">
      <c r="H119" s="1" t="str">
        <f>IF(Person3!$B$10+ROW(B117)-1&lt;=Person3!$C$10, Person3!$B$10+ROW(B117)-1, "")</f>
        <v/>
      </c>
      <c r="I119" s="1" t="str">
        <f>IF(Person3!$B$11+ROW(B117)-1&lt;=Person3!$C$11, Person3!$B$11+ROW(B117)-1, "")</f>
        <v/>
      </c>
      <c r="J119" s="1" t="str">
        <f>IF(Person3!$B$12+ROW(B117)-1&lt;=Person3!$C$12, Person3!$B$12+ROW(B117)-1, "")</f>
        <v/>
      </c>
      <c r="K119" s="1" t="str">
        <f>IF(Person3!$B$13+ROW(B117)-1&lt;=Person3!$C$13, Person3!$B$13+ROW(B117)-1, "")</f>
        <v/>
      </c>
      <c r="L119" s="1" t="str">
        <f>IF(Person3!$B$14+ROW(B117)-1&lt;=Person3!$C$14, Person3!$B$14+ROW(B117)-1, "")</f>
        <v/>
      </c>
      <c r="M119" s="1" t="str">
        <f>IF(Person3!$B$15+ROW(B117)-1&lt;=Person3!$C$15, Person3!$B$15+ROW(B117)-1, "")</f>
        <v/>
      </c>
      <c r="N119" s="1" t="str">
        <f>IF(Person3!$B$16+ROW(B117)-1&lt;=Person3!$C$16, Person3!$B$16+ROW(B117)-1, "")</f>
        <v/>
      </c>
      <c r="O119" s="1" t="str">
        <f>IF(Person3!$B$17+ROW(B117)-1&lt;=Person3!$C$17, Person3!$B$17+ROW(B117)-1, "")</f>
        <v/>
      </c>
    </row>
    <row r="120" spans="8:15" x14ac:dyDescent="0.3">
      <c r="H120" s="1" t="str">
        <f>IF(Person3!$B$10+ROW(B118)-1&lt;=Person3!$C$10, Person3!$B$10+ROW(B118)-1, "")</f>
        <v/>
      </c>
      <c r="I120" s="1" t="str">
        <f>IF(Person3!$B$11+ROW(B118)-1&lt;=Person3!$C$11, Person3!$B$11+ROW(B118)-1, "")</f>
        <v/>
      </c>
      <c r="J120" s="1" t="str">
        <f>IF(Person3!$B$12+ROW(B118)-1&lt;=Person3!$C$12, Person3!$B$12+ROW(B118)-1, "")</f>
        <v/>
      </c>
      <c r="K120" s="1" t="str">
        <f>IF(Person3!$B$13+ROW(B118)-1&lt;=Person3!$C$13, Person3!$B$13+ROW(B118)-1, "")</f>
        <v/>
      </c>
      <c r="L120" s="1" t="str">
        <f>IF(Person3!$B$14+ROW(B118)-1&lt;=Person3!$C$14, Person3!$B$14+ROW(B118)-1, "")</f>
        <v/>
      </c>
      <c r="M120" s="1" t="str">
        <f>IF(Person3!$B$15+ROW(B118)-1&lt;=Person3!$C$15, Person3!$B$15+ROW(B118)-1, "")</f>
        <v/>
      </c>
      <c r="N120" s="1" t="str">
        <f>IF(Person3!$B$16+ROW(B118)-1&lt;=Person3!$C$16, Person3!$B$16+ROW(B118)-1, "")</f>
        <v/>
      </c>
      <c r="O120" s="1" t="str">
        <f>IF(Person3!$B$17+ROW(B118)-1&lt;=Person3!$C$17, Person3!$B$17+ROW(B118)-1, "")</f>
        <v/>
      </c>
    </row>
    <row r="121" spans="8:15" x14ac:dyDescent="0.3">
      <c r="H121" s="1" t="str">
        <f>IF(Person3!$B$10+ROW(B119)-1&lt;=Person3!$C$10, Person3!$B$10+ROW(B119)-1, "")</f>
        <v/>
      </c>
      <c r="I121" s="1" t="str">
        <f>IF(Person3!$B$11+ROW(B119)-1&lt;=Person3!$C$11, Person3!$B$11+ROW(B119)-1, "")</f>
        <v/>
      </c>
      <c r="J121" s="1" t="str">
        <f>IF(Person3!$B$12+ROW(B119)-1&lt;=Person3!$C$12, Person3!$B$12+ROW(B119)-1, "")</f>
        <v/>
      </c>
      <c r="K121" s="1" t="str">
        <f>IF(Person3!$B$13+ROW(B119)-1&lt;=Person3!$C$13, Person3!$B$13+ROW(B119)-1, "")</f>
        <v/>
      </c>
      <c r="L121" s="1" t="str">
        <f>IF(Person3!$B$14+ROW(B119)-1&lt;=Person3!$C$14, Person3!$B$14+ROW(B119)-1, "")</f>
        <v/>
      </c>
      <c r="M121" s="1" t="str">
        <f>IF(Person3!$B$15+ROW(B119)-1&lt;=Person3!$C$15, Person3!$B$15+ROW(B119)-1, "")</f>
        <v/>
      </c>
      <c r="N121" s="1" t="str">
        <f>IF(Person3!$B$16+ROW(B119)-1&lt;=Person3!$C$16, Person3!$B$16+ROW(B119)-1, "")</f>
        <v/>
      </c>
      <c r="O121" s="1" t="str">
        <f>IF(Person3!$B$17+ROW(B119)-1&lt;=Person3!$C$17, Person3!$B$17+ROW(B119)-1, "")</f>
        <v/>
      </c>
    </row>
    <row r="122" spans="8:15" x14ac:dyDescent="0.3">
      <c r="H122" s="1" t="str">
        <f>IF(Person3!$B$10+ROW(B120)-1&lt;=Person3!$C$10, Person3!$B$10+ROW(B120)-1, "")</f>
        <v/>
      </c>
      <c r="I122" s="1" t="str">
        <f>IF(Person3!$B$11+ROW(B120)-1&lt;=Person3!$C$11, Person3!$B$11+ROW(B120)-1, "")</f>
        <v/>
      </c>
      <c r="J122" s="1" t="str">
        <f>IF(Person3!$B$12+ROW(B120)-1&lt;=Person3!$C$12, Person3!$B$12+ROW(B120)-1, "")</f>
        <v/>
      </c>
      <c r="K122" s="1" t="str">
        <f>IF(Person3!$B$13+ROW(B120)-1&lt;=Person3!$C$13, Person3!$B$13+ROW(B120)-1, "")</f>
        <v/>
      </c>
      <c r="L122" s="1" t="str">
        <f>IF(Person3!$B$14+ROW(B120)-1&lt;=Person3!$C$14, Person3!$B$14+ROW(B120)-1, "")</f>
        <v/>
      </c>
      <c r="M122" s="1" t="str">
        <f>IF(Person3!$B$15+ROW(B120)-1&lt;=Person3!$C$15, Person3!$B$15+ROW(B120)-1, "")</f>
        <v/>
      </c>
      <c r="N122" s="1" t="str">
        <f>IF(Person3!$B$16+ROW(B120)-1&lt;=Person3!$C$16, Person3!$B$16+ROW(B120)-1, "")</f>
        <v/>
      </c>
      <c r="O122" s="1" t="str">
        <f>IF(Person3!$B$17+ROW(B120)-1&lt;=Person3!$C$17, Person3!$B$17+ROW(B120)-1, "")</f>
        <v/>
      </c>
    </row>
    <row r="123" spans="8:15" x14ac:dyDescent="0.3">
      <c r="H123" s="1" t="str">
        <f>IF(Person3!$B$10+ROW(B121)-1&lt;=Person3!$C$10, Person3!$B$10+ROW(B121)-1, "")</f>
        <v/>
      </c>
      <c r="J123" s="1" t="str">
        <f>IF(Person3!$B$12+ROW(B121)-1&lt;=Person3!$C$12, Person3!$B$12+ROW(B121)-1, "")</f>
        <v/>
      </c>
      <c r="O123" s="1" t="str">
        <f>IF(Person3!$B$17+ROW(B121)-1&lt;=Person3!$C$17, Person3!$B$17+ROW(B121)-1, "")</f>
        <v/>
      </c>
    </row>
    <row r="124" spans="8:15" x14ac:dyDescent="0.3">
      <c r="H124" s="1" t="str">
        <f>IF(Person3!$B$10+ROW(B122)-1&lt;=Person3!$C$10, Person3!$B$10+ROW(B122)-1, "")</f>
        <v/>
      </c>
      <c r="J124" s="1" t="str">
        <f>IF(Person3!$B$12+ROW(B122)-1&lt;=Person3!$C$12, Person3!$B$12+ROW(B122)-1, "")</f>
        <v/>
      </c>
      <c r="O124" s="1" t="str">
        <f>IF(Person3!$B$17+ROW(B122)-1&lt;=Person3!$C$17, Person3!$B$17+ROW(B122)-1, "")</f>
        <v/>
      </c>
    </row>
    <row r="125" spans="8:15" x14ac:dyDescent="0.3">
      <c r="H125" s="1" t="str">
        <f>IF(Person3!$B$10+ROW(B123)-1&lt;=Person3!$C$10, Person3!$B$10+ROW(B123)-1, "")</f>
        <v/>
      </c>
    </row>
    <row r="126" spans="8:15" x14ac:dyDescent="0.3">
      <c r="H126" s="1" t="str">
        <f>IF(Person3!$B$10+ROW(B124)-1&lt;=Person3!$C$10, Person3!$B$10+ROW(B124)-1, "")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024BF-07AC-4070-A2DD-BB4BDBB45A95}">
  <sheetPr codeName="Tabelle9"/>
  <dimension ref="A1:AI103"/>
  <sheetViews>
    <sheetView topLeftCell="S1" workbookViewId="0">
      <selection activeCell="Y25" sqref="Y25"/>
    </sheetView>
  </sheetViews>
  <sheetFormatPr baseColWidth="10" defaultRowHeight="14.4" x14ac:dyDescent="0.3"/>
  <cols>
    <col min="1" max="1" width="11.5546875" customWidth="1"/>
  </cols>
  <sheetData>
    <row r="1" spans="1:35" x14ac:dyDescent="0.3">
      <c r="A1" t="s">
        <v>4</v>
      </c>
      <c r="B1" t="str">
        <f>Person1!B1</f>
        <v>Urlaub</v>
      </c>
      <c r="V1" t="s">
        <v>7</v>
      </c>
      <c r="AE1" t="s">
        <v>8</v>
      </c>
    </row>
    <row r="2" spans="1:35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V2">
        <v>1</v>
      </c>
      <c r="W2">
        <v>2</v>
      </c>
      <c r="X2">
        <v>3</v>
      </c>
      <c r="Y2">
        <v>4</v>
      </c>
      <c r="Z2">
        <v>5</v>
      </c>
      <c r="AA2">
        <v>6</v>
      </c>
      <c r="AE2">
        <v>1</v>
      </c>
      <c r="AF2">
        <v>2</v>
      </c>
      <c r="AG2">
        <v>3</v>
      </c>
      <c r="AH2">
        <v>4</v>
      </c>
      <c r="AI2">
        <v>5</v>
      </c>
    </row>
    <row r="3" spans="1:35" x14ac:dyDescent="0.3">
      <c r="A3" s="1">
        <f>IF(Person1!$B$3+ROW(A1)-1&lt;=Person1!$C$3, Person1!$B$3+ROW(A1)-1, "")</f>
        <v>46024</v>
      </c>
      <c r="B3" s="1">
        <f>IF(Person1!$B$4+ROW(B1)-1&lt;=Person1!$C$4, Person1!$B$4+ROW(B1)-1, "")</f>
        <v>0</v>
      </c>
      <c r="C3" s="1">
        <f>IF(Person1!$B$5+ROW(B1)-1&lt;=Person1!$C$5, Person1!$B$5+ROW(B1)-1, "")</f>
        <v>0</v>
      </c>
      <c r="D3" s="1">
        <f>IF(Person1!$B$6+ROW(B1)-1&lt;=Person1!$C$6, Person1!$B$6+ROW(B1)-1, "")</f>
        <v>0</v>
      </c>
      <c r="E3" s="1">
        <f>IF(Person1!$B$7+ROW(B1)-1&lt;=Person1!$C$7, Person1!$B$7+ROW(B1)-1, "")</f>
        <v>0</v>
      </c>
      <c r="F3" s="1">
        <f>IF(Person1!$B$8+ROW(B1)-1&lt;=Person1!$C$8, Person1!$B$8+ROW(B1)-1, "")</f>
        <v>0</v>
      </c>
      <c r="G3" s="1">
        <f>IF(Person1!$B$9+ROW(B1)-1&lt;=Person1!$C$9, Person1!$B$9+ROW(B1)-1, "")</f>
        <v>0</v>
      </c>
      <c r="H3" s="1">
        <f>IF(Person1!$B$10+ROW(B1)-1&lt;=Person1!$C$10, Person1!$B$10+ROW(B1)-1, "")</f>
        <v>0</v>
      </c>
      <c r="I3" s="1">
        <f>IF(Person1!$B$11+ROW(B1)-1&lt;=Person1!$C$11, Person1!$B$11+ROW(B1)-1, "")</f>
        <v>0</v>
      </c>
      <c r="J3" s="1">
        <f>IF(Person1!$B$12+ROW(B1)-1&lt;=Person1!$C$12, Person1!$B$12+ROW(B1)-1, "")</f>
        <v>0</v>
      </c>
      <c r="K3" s="1">
        <f>IF(Person1!$B$13+ROW(B1)-1&lt;=Person1!$C$13, Person1!$B$13+ROW(B1)-1, "")</f>
        <v>0</v>
      </c>
      <c r="L3" s="1">
        <f>IF(Person1!$B$14+ROW(B1)-1&lt;=Person1!$C$14, Person1!$B$14+ROW(B1)-1, "")</f>
        <v>0</v>
      </c>
      <c r="M3" s="1">
        <f>IF(Person1!$B$15+ROW(B1)-1&lt;=Person1!$C$15, Person1!$B$15+ROW(B1)-1, "")</f>
        <v>0</v>
      </c>
      <c r="N3" s="1">
        <f>IF(Person1!$B$16+ROW(B1)-1&lt;=Person1!$C$16, Person1!$B$16+ROW(B1)-1, "")</f>
        <v>0</v>
      </c>
      <c r="O3" s="1">
        <f>IF(Person1!$B$17+ROW(B1)-1&lt;=Person1!$C$17, Person1!$B$17+ROW(B1)-1, "")</f>
        <v>0</v>
      </c>
      <c r="V3" s="1">
        <f>IF(Person1!$D$3+ROW(A1)-1&lt;=Person1!$E$3, Person1!$D$3+ROW(A1)-1, "")</f>
        <v>0</v>
      </c>
      <c r="W3" s="1">
        <f>IF(Person1!$D$4+ROW(A1)-1&lt;=Person1!$E$4, Person1!$D$4+ROW(A1)-1, "")</f>
        <v>0</v>
      </c>
      <c r="X3" s="1">
        <f>IF(Person1!$D$5+ROW(A1)-1&lt;=Person1!$E$5, Person1!$D$5+ROW(A1)-1, "")</f>
        <v>0</v>
      </c>
      <c r="Y3" s="1">
        <f>IF(Person1!$D$6+ROW(A1)-1&lt;=Person1!$E$6, Person1!$D$6+ROW(A1)-1, "")</f>
        <v>0</v>
      </c>
      <c r="Z3" s="1">
        <f>IF(Person1!$D$7+ROW(A1)-1&lt;=Person1!$E$7, Person1!$D$7+ROW(A1)-1, "")</f>
        <v>0</v>
      </c>
      <c r="AA3" s="1">
        <f>IF(Person1!$D$8+ROW(A1)-1&lt;=Person1!$E$8, Person1!$D$8+ROW(A1)-1, "")</f>
        <v>0</v>
      </c>
      <c r="AE3" s="1">
        <f>IF(Person1!$F$3+ROW(A1)-1&lt;=Person1!$G$3, Person1!$F$3+ROW(A1)-1, "")</f>
        <v>46380</v>
      </c>
      <c r="AF3" s="1">
        <f>IF(Person1!$F$4+ROW(A1)-1&lt;=Person1!$G$4, Person1!$F$4+ROW(A1)-1, "")</f>
        <v>0</v>
      </c>
      <c r="AG3" s="1">
        <f>IF(Person1!$F$5+ROW(A1)-1&lt;=Person1!$G$5, Person1!$F$5+ROW(A1)-1, "")</f>
        <v>0</v>
      </c>
      <c r="AH3" s="1">
        <f>IF(Person1!$F$6+ROW(A1)-1&lt;=Person1!$G$6, Person1!$F$6+ROW(A1)-1, "")</f>
        <v>0</v>
      </c>
      <c r="AI3" s="1">
        <f>IF(Person1!$F$7+ROW(A1)-1&lt;=Person1!$G$7, Person1!$F$7+ROW(A1)-1, "")</f>
        <v>0</v>
      </c>
    </row>
    <row r="4" spans="1:35" x14ac:dyDescent="0.3">
      <c r="A4" s="1" t="str">
        <f>IF(Person1!$B$3+ROW(A2)-1&lt;=Person1!$C$3, Person1!$B$3+ROW(A2)-1, "")</f>
        <v/>
      </c>
      <c r="B4" s="1" t="str">
        <f>IF(Person1!$B$4+ROW(B2)-1&lt;=Person1!$C$4, Person1!$B$4+ROW(B2)-1, "")</f>
        <v/>
      </c>
      <c r="C4" s="1" t="str">
        <f>IF(Person1!$B$5+ROW(B2)-1&lt;=Person1!$C$5, Person1!$B$5+ROW(B2)-1, "")</f>
        <v/>
      </c>
      <c r="D4" s="1" t="str">
        <f>IF(Person1!$B$6+ROW(B2)-1&lt;=Person1!$C$6, Person1!$B$6+ROW(B2)-1, "")</f>
        <v/>
      </c>
      <c r="E4" s="1" t="str">
        <f>IF(Person1!$B$7+ROW(B2)-1&lt;=Person1!$C$7, Person1!$B$7+ROW(B2)-1, "")</f>
        <v/>
      </c>
      <c r="F4" s="1" t="str">
        <f>IF(Person1!$B$8+ROW(B2)-1&lt;=Person1!$C$8, Person1!$B$8+ROW(B2)-1, "")</f>
        <v/>
      </c>
      <c r="G4" s="1" t="str">
        <f>IF(Person1!$B$9+ROW(B2)-1&lt;=Person1!$C$9, Person1!$B$9+ROW(B2)-1, "")</f>
        <v/>
      </c>
      <c r="H4" s="1" t="str">
        <f>IF(Person1!$B$10+ROW(B2)-1&lt;=Person1!$C$10, Person1!$B$10+ROW(B2)-1, "")</f>
        <v/>
      </c>
      <c r="I4" s="1" t="str">
        <f>IF(Person1!$B$11+ROW(B2)-1&lt;=Person1!$C$11, Person1!$B$11+ROW(B2)-1, "")</f>
        <v/>
      </c>
      <c r="J4" s="1" t="str">
        <f>IF(Person1!$B$12+ROW(B2)-1&lt;=Person1!$C$12, Person1!$B$12+ROW(B2)-1, "")</f>
        <v/>
      </c>
      <c r="K4" s="1" t="str">
        <f>IF(Person1!$B$13+ROW(B2)-1&lt;=Person1!$C$13, Person1!$B$13+ROW(B2)-1, "")</f>
        <v/>
      </c>
      <c r="L4" s="1" t="str">
        <f>IF(Person1!$B$14+ROW(B2)-1&lt;=Person1!$C$14, Person1!$B$14+ROW(B2)-1, "")</f>
        <v/>
      </c>
      <c r="M4" s="1" t="str">
        <f>IF(Person1!$B$15+ROW(B2)-1&lt;=Person1!$C$15, Person1!$B$15+ROW(B2)-1, "")</f>
        <v/>
      </c>
      <c r="N4" s="1" t="str">
        <f>IF(Person1!$B$16+ROW(B2)-1&lt;=Person1!$C$16, Person1!$B$16+ROW(B2)-1, "")</f>
        <v/>
      </c>
      <c r="O4" s="1" t="str">
        <f>IF(Person1!$B$17+ROW(B2)-1&lt;=Person1!$C$17, Person1!$B$17+ROW(B2)-1, "")</f>
        <v/>
      </c>
      <c r="V4" s="1" t="str">
        <f>IF(Person1!$D$3+ROW(A2)-1&lt;=Person1!$E$3, Person1!$D$3+ROW(A2)-1, "")</f>
        <v/>
      </c>
      <c r="W4" s="1" t="str">
        <f>IF(Person1!$D$4+ROW(A2)-1&lt;=Person1!$E$4, Person1!$D$4+ROW(A2)-1, "")</f>
        <v/>
      </c>
      <c r="X4" s="1" t="str">
        <f>IF(Person1!$D$5+ROW(A2)-1&lt;=Person1!$E$5, Person1!$D$5+ROW(A2)-1, "")</f>
        <v/>
      </c>
      <c r="Y4" s="1" t="str">
        <f>IF(Person1!$D$6+ROW(A2)-1&lt;=Person1!$E$6, Person1!$D$6+ROW(A2)-1, "")</f>
        <v/>
      </c>
      <c r="Z4" s="1" t="str">
        <f>IF(Person1!$D$7+ROW(A2)-1&lt;=Person1!$E$7, Person1!$D$7+ROW(A2)-1, "")</f>
        <v/>
      </c>
      <c r="AA4" s="1" t="str">
        <f>IF(Person1!$D$8+ROW(A2)-1&lt;=Person1!$E$8, Person1!$D$8+ROW(A2)-1, "")</f>
        <v/>
      </c>
      <c r="AE4" s="1" t="str">
        <f>IF(Person1!$F$3+ROW(A2)-1&lt;=Person1!$G$3, Person1!$F$3+ROW(A2)-1, "")</f>
        <v/>
      </c>
      <c r="AF4" s="1" t="str">
        <f>IF(Person1!$F$4+ROW(A2)-1&lt;=Person1!$G$4, Person1!$F$4+ROW(A2)-1, "")</f>
        <v/>
      </c>
      <c r="AG4" s="1" t="str">
        <f>IF(Person1!$F$5+ROW(A2)-1&lt;=Person1!$G$5, Person1!$F$5+ROW(A2)-1, "")</f>
        <v/>
      </c>
      <c r="AH4" s="1" t="str">
        <f>IF(Person1!$F$6+ROW(A2)-1&lt;=Person1!$G$6, Person1!$F$6+ROW(A2)-1, "")</f>
        <v/>
      </c>
      <c r="AI4" s="1" t="str">
        <f>IF(Person1!$F$7+ROW(A2)-1&lt;=Person1!$G$7, Person1!$F$7+ROW(A2)-1, "")</f>
        <v/>
      </c>
    </row>
    <row r="5" spans="1:35" x14ac:dyDescent="0.3">
      <c r="A5" s="1" t="str">
        <f>IF(Person1!$B$3+ROW(A3)-1&lt;=Person1!$C$3, Person1!$B$3+ROW(A3)-1, "")</f>
        <v/>
      </c>
      <c r="B5" s="1" t="str">
        <f>IF(Person1!$B$4+ROW(B3)-1&lt;=Person1!$C$4, Person1!$B$4+ROW(B3)-1, "")</f>
        <v/>
      </c>
      <c r="C5" s="1" t="str">
        <f>IF(Person1!$B$5+ROW(B3)-1&lt;=Person1!$C$5, Person1!$B$5+ROW(B3)-1, "")</f>
        <v/>
      </c>
      <c r="D5" s="1" t="str">
        <f>IF(Person1!$B$6+ROW(B3)-1&lt;=Person1!$C$6, Person1!$B$6+ROW(B3)-1, "")</f>
        <v/>
      </c>
      <c r="E5" s="1" t="str">
        <f>IF(Person1!$B$7+ROW(B3)-1&lt;=Person1!$C$7, Person1!$B$7+ROW(B3)-1, "")</f>
        <v/>
      </c>
      <c r="F5" s="1" t="str">
        <f>IF(Person1!$B$8+ROW(B3)-1&lt;=Person1!$C$8, Person1!$B$8+ROW(B3)-1, "")</f>
        <v/>
      </c>
      <c r="G5" s="1" t="str">
        <f>IF(Person1!$B$9+ROW(B3)-1&lt;=Person1!$C$9, Person1!$B$9+ROW(B3)-1, "")</f>
        <v/>
      </c>
      <c r="H5" s="1" t="str">
        <f>IF(Person1!$B$10+ROW(B3)-1&lt;=Person1!$C$10, Person1!$B$10+ROW(B3)-1, "")</f>
        <v/>
      </c>
      <c r="I5" s="1" t="str">
        <f>IF(Person1!$B$11+ROW(B3)-1&lt;=Person1!$C$11, Person1!$B$11+ROW(B3)-1, "")</f>
        <v/>
      </c>
      <c r="J5" s="1" t="str">
        <f>IF(Person1!$B$12+ROW(B3)-1&lt;=Person1!$C$12, Person1!$B$12+ROW(B3)-1, "")</f>
        <v/>
      </c>
      <c r="K5" s="1" t="str">
        <f>IF(Person1!$B$13+ROW(B3)-1&lt;=Person1!$C$13, Person1!$B$13+ROW(B3)-1, "")</f>
        <v/>
      </c>
      <c r="L5" s="1" t="str">
        <f>IF(Person1!$B$14+ROW(B3)-1&lt;=Person1!$C$14, Person1!$B$14+ROW(B3)-1, "")</f>
        <v/>
      </c>
      <c r="M5" s="1" t="str">
        <f>IF(Person1!$B$15+ROW(B3)-1&lt;=Person1!$C$15, Person1!$B$15+ROW(B3)-1, "")</f>
        <v/>
      </c>
      <c r="N5" s="1" t="str">
        <f>IF(Person1!$B$16+ROW(B3)-1&lt;=Person1!$C$16, Person1!$B$16+ROW(B3)-1, "")</f>
        <v/>
      </c>
      <c r="O5" s="1" t="str">
        <f>IF(Person1!$B$17+ROW(B3)-1&lt;=Person1!$C$17, Person1!$B$17+ROW(B3)-1, "")</f>
        <v/>
      </c>
      <c r="V5" s="1" t="str">
        <f>IF(Person1!$D$3+ROW(A3)-1&lt;=Person1!$E$3, Person1!$D$3+ROW(A3)-1, "")</f>
        <v/>
      </c>
      <c r="W5" s="1" t="str">
        <f>IF(Person1!$D$4+ROW(A3)-1&lt;=Person1!$E$4, Person1!$D$4+ROW(A3)-1, "")</f>
        <v/>
      </c>
      <c r="X5" s="1" t="str">
        <f>IF(Person1!$D$5+ROW(A3)-1&lt;=Person1!$E$5, Person1!$D$5+ROW(A3)-1, "")</f>
        <v/>
      </c>
      <c r="Y5" s="1" t="str">
        <f>IF(Person1!$D$6+ROW(A3)-1&lt;=Person1!$E$6, Person1!$D$6+ROW(A3)-1, "")</f>
        <v/>
      </c>
      <c r="Z5" s="1" t="str">
        <f>IF(Person1!$D$7+ROW(A3)-1&lt;=Person1!$E$7, Person1!$D$7+ROW(A3)-1, "")</f>
        <v/>
      </c>
      <c r="AA5" s="1" t="str">
        <f>IF(Person1!$D$8+ROW(A3)-1&lt;=Person1!$E$8, Person1!$D$8+ROW(A3)-1, "")</f>
        <v/>
      </c>
      <c r="AE5" s="1" t="str">
        <f>IF(Person1!$F$3+ROW(A3)-1&lt;=Person1!$G$3, Person1!$F$3+ROW(A3)-1, "")</f>
        <v/>
      </c>
      <c r="AF5" s="1" t="str">
        <f>IF(Person1!$F$4+ROW(A3)-1&lt;=Person1!$G$4, Person1!$F$4+ROW(A3)-1, "")</f>
        <v/>
      </c>
      <c r="AG5" s="1" t="str">
        <f>IF(Person1!$F$5+ROW(A3)-1&lt;=Person1!$G$5, Person1!$F$5+ROW(A3)-1, "")</f>
        <v/>
      </c>
      <c r="AH5" s="1" t="str">
        <f>IF(Person1!$F$6+ROW(A3)-1&lt;=Person1!$G$6, Person1!$F$6+ROW(A3)-1, "")</f>
        <v/>
      </c>
      <c r="AI5" s="1" t="str">
        <f>IF(Person1!$F$7+ROW(A3)-1&lt;=Person1!$G$7, Person1!$F$7+ROW(A3)-1, "")</f>
        <v/>
      </c>
    </row>
    <row r="6" spans="1:35" x14ac:dyDescent="0.3">
      <c r="A6" s="1" t="str">
        <f>IF(Person1!$B$3+ROW(A4)-1&lt;=Person1!$C$3, Person1!$B$3+ROW(A4)-1, "")</f>
        <v/>
      </c>
      <c r="B6" s="1" t="str">
        <f>IF(Person1!$B$4+ROW(B4)-1&lt;=Person1!$C$4, Person1!$B$4+ROW(B4)-1, "")</f>
        <v/>
      </c>
      <c r="C6" s="1" t="str">
        <f>IF(Person1!$B$5+ROW(B4)-1&lt;=Person1!$C$5, Person1!$B$5+ROW(B4)-1, "")</f>
        <v/>
      </c>
      <c r="D6" s="1" t="str">
        <f>IF(Person1!$B$6+ROW(B4)-1&lt;=Person1!$C$6, Person1!$B$6+ROW(B4)-1, "")</f>
        <v/>
      </c>
      <c r="E6" s="1" t="str">
        <f>IF(Person1!$B$7+ROW(B4)-1&lt;=Person1!$C$7, Person1!$B$7+ROW(B4)-1, "")</f>
        <v/>
      </c>
      <c r="F6" s="1" t="str">
        <f>IF(Person1!$B$8+ROW(B4)-1&lt;=Person1!$C$8, Person1!$B$8+ROW(B4)-1, "")</f>
        <v/>
      </c>
      <c r="G6" s="1" t="str">
        <f>IF(Person1!$B$9+ROW(B4)-1&lt;=Person1!$C$9, Person1!$B$9+ROW(B4)-1, "")</f>
        <v/>
      </c>
      <c r="H6" s="1" t="str">
        <f>IF(Person1!$B$10+ROW(B4)-1&lt;=Person1!$C$10, Person1!$B$10+ROW(B4)-1, "")</f>
        <v/>
      </c>
      <c r="I6" s="1" t="str">
        <f>IF(Person1!$B$11+ROW(B4)-1&lt;=Person1!$C$11, Person1!$B$11+ROW(B4)-1, "")</f>
        <v/>
      </c>
      <c r="J6" s="1" t="str">
        <f>IF(Person1!$B$12+ROW(B4)-1&lt;=Person1!$C$12, Person1!$B$12+ROW(B4)-1, "")</f>
        <v/>
      </c>
      <c r="K6" s="1" t="str">
        <f>IF(Person1!$B$13+ROW(B4)-1&lt;=Person1!$C$13, Person1!$B$13+ROW(B4)-1, "")</f>
        <v/>
      </c>
      <c r="L6" s="1" t="str">
        <f>IF(Person1!$B$14+ROW(B4)-1&lt;=Person1!$C$14, Person1!$B$14+ROW(B4)-1, "")</f>
        <v/>
      </c>
      <c r="M6" s="1" t="str">
        <f>IF(Person1!$B$15+ROW(B4)-1&lt;=Person1!$C$15, Person1!$B$15+ROW(B4)-1, "")</f>
        <v/>
      </c>
      <c r="N6" s="1" t="str">
        <f>IF(Person1!$B$16+ROW(B4)-1&lt;=Person1!$C$16, Person1!$B$16+ROW(B4)-1, "")</f>
        <v/>
      </c>
      <c r="O6" s="1" t="str">
        <f>IF(Person1!$B$17+ROW(B4)-1&lt;=Person1!$C$17, Person1!$B$17+ROW(B4)-1, "")</f>
        <v/>
      </c>
      <c r="V6" s="1" t="str">
        <f>IF(Person1!$D$3+ROW(A4)-1&lt;=Person1!$E$3, Person1!$D$3+ROW(A4)-1, "")</f>
        <v/>
      </c>
      <c r="W6" s="1" t="str">
        <f>IF(Person1!$D$4+ROW(A4)-1&lt;=Person1!$E$4, Person1!$D$4+ROW(A4)-1, "")</f>
        <v/>
      </c>
      <c r="X6" s="1" t="str">
        <f>IF(Person1!$D$5+ROW(A4)-1&lt;=Person1!$E$5, Person1!$D$5+ROW(A4)-1, "")</f>
        <v/>
      </c>
      <c r="Y6" s="1" t="str">
        <f>IF(Person1!$D$6+ROW(A4)-1&lt;=Person1!$E$6, Person1!$D$6+ROW(A4)-1, "")</f>
        <v/>
      </c>
      <c r="Z6" s="1" t="str">
        <f>IF(Person1!$D$7+ROW(A4)-1&lt;=Person1!$E$7, Person1!$D$7+ROW(A4)-1, "")</f>
        <v/>
      </c>
      <c r="AA6" s="1" t="str">
        <f>IF(Person1!$D$8+ROW(A4)-1&lt;=Person1!$E$8, Person1!$D$8+ROW(A4)-1, "")</f>
        <v/>
      </c>
      <c r="AE6" s="1" t="str">
        <f>IF(Person1!$F$3+ROW(A4)-1&lt;=Person1!$G$3, Person1!$F$3+ROW(A4)-1, "")</f>
        <v/>
      </c>
      <c r="AF6" s="1" t="str">
        <f>IF(Person1!$F$4+ROW(A4)-1&lt;=Person1!$G$4, Person1!$F$4+ROW(A4)-1, "")</f>
        <v/>
      </c>
      <c r="AG6" s="1" t="str">
        <f>IF(Person1!$F$5+ROW(A4)-1&lt;=Person1!$G$5, Person1!$F$5+ROW(A4)-1, "")</f>
        <v/>
      </c>
      <c r="AH6" s="1" t="str">
        <f>IF(Person1!$F$6+ROW(A4)-1&lt;=Person1!$G$6, Person1!$F$6+ROW(A4)-1, "")</f>
        <v/>
      </c>
      <c r="AI6" s="1" t="str">
        <f>IF(Person1!$F$7+ROW(A4)-1&lt;=Person1!$G$7, Person1!$F$7+ROW(A4)-1, "")</f>
        <v/>
      </c>
    </row>
    <row r="7" spans="1:35" x14ac:dyDescent="0.3">
      <c r="A7" s="1" t="str">
        <f>IF(Person1!$B$3+ROW(A5)-1&lt;=Person1!$C$3, Person1!$B$3+ROW(A5)-1, "")</f>
        <v/>
      </c>
      <c r="B7" s="1" t="str">
        <f>IF(Person1!$B$4+ROW(B5)-1&lt;=Person1!$C$4, Person1!$B$4+ROW(B5)-1, "")</f>
        <v/>
      </c>
      <c r="C7" s="1" t="str">
        <f>IF(Person1!$B$5+ROW(B5)-1&lt;=Person1!$C$5, Person1!$B$5+ROW(B5)-1, "")</f>
        <v/>
      </c>
      <c r="D7" s="1" t="str">
        <f>IF(Person1!$B$6+ROW(B5)-1&lt;=Person1!$C$6, Person1!$B$6+ROW(B5)-1, "")</f>
        <v/>
      </c>
      <c r="E7" s="1" t="str">
        <f>IF(Person1!$B$7+ROW(B5)-1&lt;=Person1!$C$7, Person1!$B$7+ROW(B5)-1, "")</f>
        <v/>
      </c>
      <c r="F7" s="1" t="str">
        <f>IF(Person1!$B$8+ROW(B5)-1&lt;=Person1!$C$8, Person1!$B$8+ROW(B5)-1, "")</f>
        <v/>
      </c>
      <c r="G7" s="1" t="str">
        <f>IF(Person1!$B$9+ROW(B5)-1&lt;=Person1!$C$9, Person1!$B$9+ROW(B5)-1, "")</f>
        <v/>
      </c>
      <c r="H7" s="1" t="str">
        <f>IF(Person1!$B$10+ROW(B5)-1&lt;=Person1!$C$10, Person1!$B$10+ROW(B5)-1, "")</f>
        <v/>
      </c>
      <c r="I7" s="1" t="str">
        <f>IF(Person1!$B$11+ROW(B5)-1&lt;=Person1!$C$11, Person1!$B$11+ROW(B5)-1, "")</f>
        <v/>
      </c>
      <c r="J7" s="1" t="str">
        <f>IF(Person1!$B$12+ROW(B5)-1&lt;=Person1!$C$12, Person1!$B$12+ROW(B5)-1, "")</f>
        <v/>
      </c>
      <c r="K7" s="1" t="str">
        <f>IF(Person1!$B$13+ROW(B5)-1&lt;=Person1!$C$13, Person1!$B$13+ROW(B5)-1, "")</f>
        <v/>
      </c>
      <c r="L7" s="1" t="str">
        <f>IF(Person1!$B$14+ROW(B5)-1&lt;=Person1!$C$14, Person1!$B$14+ROW(B5)-1, "")</f>
        <v/>
      </c>
      <c r="M7" s="1" t="str">
        <f>IF(Person1!$B$15+ROW(B5)-1&lt;=Person1!$C$15, Person1!$B$15+ROW(B5)-1, "")</f>
        <v/>
      </c>
      <c r="N7" s="1" t="str">
        <f>IF(Person1!$B$16+ROW(B5)-1&lt;=Person1!$C$16, Person1!$B$16+ROW(B5)-1, "")</f>
        <v/>
      </c>
      <c r="O7" s="1" t="str">
        <f>IF(Person1!$B$17+ROW(B5)-1&lt;=Person1!$C$17, Person1!$B$17+ROW(B5)-1, "")</f>
        <v/>
      </c>
      <c r="V7" s="1" t="str">
        <f>IF(Person1!$D$3+ROW(A5)-1&lt;=Person1!$E$3, Person1!$D$3+ROW(A5)-1, "")</f>
        <v/>
      </c>
      <c r="W7" s="1" t="str">
        <f>IF(Person1!$D$4+ROW(A5)-1&lt;=Person1!$E$4, Person1!$D$4+ROW(A5)-1, "")</f>
        <v/>
      </c>
      <c r="X7" s="1" t="str">
        <f>IF(Person1!$D$5+ROW(A5)-1&lt;=Person1!$E$5, Person1!$D$5+ROW(A5)-1, "")</f>
        <v/>
      </c>
      <c r="Y7" s="1" t="str">
        <f>IF(Person1!$D$6+ROW(A5)-1&lt;=Person1!$E$6, Person1!$D$6+ROW(A5)-1, "")</f>
        <v/>
      </c>
      <c r="Z7" s="1" t="str">
        <f>IF(Person1!$D$7+ROW(A5)-1&lt;=Person1!$E$7, Person1!$D$7+ROW(A5)-1, "")</f>
        <v/>
      </c>
      <c r="AA7" s="1" t="str">
        <f>IF(Person1!$D$8+ROW(A5)-1&lt;=Person1!$E$8, Person1!$D$8+ROW(A5)-1, "")</f>
        <v/>
      </c>
      <c r="AE7" s="1" t="str">
        <f>IF(Person1!$F$3+ROW(A5)-1&lt;=Person1!$G$3, Person1!$F$3+ROW(A5)-1, "")</f>
        <v/>
      </c>
      <c r="AF7" s="1" t="str">
        <f>IF(Person1!$F$4+ROW(A5)-1&lt;=Person1!$G$4, Person1!$F$4+ROW(A5)-1, "")</f>
        <v/>
      </c>
      <c r="AG7" s="1" t="str">
        <f>IF(Person1!$F$5+ROW(A5)-1&lt;=Person1!$G$5, Person1!$F$5+ROW(A5)-1, "")</f>
        <v/>
      </c>
      <c r="AH7" s="1" t="str">
        <f>IF(Person1!$F$6+ROW(A5)-1&lt;=Person1!$G$6, Person1!$F$6+ROW(A5)-1, "")</f>
        <v/>
      </c>
      <c r="AI7" s="1" t="str">
        <f>IF(Person1!$F$7+ROW(A5)-1&lt;=Person1!$G$7, Person1!$F$7+ROW(A5)-1, "")</f>
        <v/>
      </c>
    </row>
    <row r="8" spans="1:35" x14ac:dyDescent="0.3">
      <c r="A8" s="1" t="str">
        <f>IF(Person1!$B$3+ROW(A6)-1&lt;=Person1!$C$3, Person1!$B$3+ROW(A6)-1, "")</f>
        <v/>
      </c>
      <c r="B8" s="1" t="str">
        <f>IF(Person1!$B$4+ROW(B6)-1&lt;=Person1!$C$4, Person1!$B$4+ROW(B6)-1, "")</f>
        <v/>
      </c>
      <c r="C8" s="1" t="str">
        <f>IF(Person1!$B$5+ROW(B6)-1&lt;=Person1!$C$5, Person1!$B$5+ROW(B6)-1, "")</f>
        <v/>
      </c>
      <c r="D8" s="1" t="str">
        <f>IF(Person1!$B$6+ROW(B6)-1&lt;=Person1!$C$6, Person1!$B$6+ROW(B6)-1, "")</f>
        <v/>
      </c>
      <c r="E8" s="1" t="str">
        <f>IF(Person1!$B$7+ROW(B6)-1&lt;=Person1!$C$7, Person1!$B$7+ROW(B6)-1, "")</f>
        <v/>
      </c>
      <c r="F8" s="1" t="str">
        <f>IF(Person1!$B$8+ROW(B6)-1&lt;=Person1!$C$8, Person1!$B$8+ROW(B6)-1, "")</f>
        <v/>
      </c>
      <c r="G8" s="1" t="str">
        <f>IF(Person1!$B$9+ROW(B6)-1&lt;=Person1!$C$9, Person1!$B$9+ROW(B6)-1, "")</f>
        <v/>
      </c>
      <c r="H8" s="1" t="str">
        <f>IF(Person1!$B$10+ROW(B6)-1&lt;=Person1!$C$10, Person1!$B$10+ROW(B6)-1, "")</f>
        <v/>
      </c>
      <c r="I8" s="1" t="str">
        <f>IF(Person1!$B$11+ROW(B6)-1&lt;=Person1!$C$11, Person1!$B$11+ROW(B6)-1, "")</f>
        <v/>
      </c>
      <c r="J8" s="1" t="str">
        <f>IF(Person1!$B$12+ROW(B6)-1&lt;=Person1!$C$12, Person1!$B$12+ROW(B6)-1, "")</f>
        <v/>
      </c>
      <c r="K8" s="1" t="str">
        <f>IF(Person1!$B$13+ROW(B6)-1&lt;=Person1!$C$13, Person1!$B$13+ROW(B6)-1, "")</f>
        <v/>
      </c>
      <c r="L8" s="1" t="str">
        <f>IF(Person1!$B$14+ROW(B6)-1&lt;=Person1!$C$14, Person1!$B$14+ROW(B6)-1, "")</f>
        <v/>
      </c>
      <c r="M8" s="1" t="str">
        <f>IF(Person1!$B$15+ROW(B6)-1&lt;=Person1!$C$15, Person1!$B$15+ROW(B6)-1, "")</f>
        <v/>
      </c>
      <c r="N8" s="1" t="str">
        <f>IF(Person1!$B$16+ROW(B6)-1&lt;=Person1!$C$16, Person1!$B$16+ROW(B6)-1, "")</f>
        <v/>
      </c>
      <c r="O8" s="1" t="str">
        <f>IF(Person1!$B$17+ROW(B6)-1&lt;=Person1!$C$17, Person1!$B$17+ROW(B6)-1, "")</f>
        <v/>
      </c>
      <c r="V8" s="1" t="str">
        <f>IF(Person1!$D$3+ROW(A6)-1&lt;=Person1!$E$3, Person1!$D$3+ROW(A6)-1, "")</f>
        <v/>
      </c>
      <c r="W8" s="1" t="str">
        <f>IF(Person1!$D$4+ROW(A6)-1&lt;=Person1!$E$4, Person1!$D$4+ROW(A6)-1, "")</f>
        <v/>
      </c>
      <c r="X8" s="1" t="str">
        <f>IF(Person1!$D$5+ROW(A6)-1&lt;=Person1!$E$5, Person1!$D$5+ROW(A6)-1, "")</f>
        <v/>
      </c>
      <c r="Y8" s="1" t="str">
        <f>IF(Person1!$D$6+ROW(A6)-1&lt;=Person1!$E$6, Person1!$D$6+ROW(A6)-1, "")</f>
        <v/>
      </c>
      <c r="Z8" s="1" t="str">
        <f>IF(Person1!$D$7+ROW(A6)-1&lt;=Person1!$E$7, Person1!$D$7+ROW(A6)-1, "")</f>
        <v/>
      </c>
      <c r="AA8" s="1" t="str">
        <f>IF(Person1!$D$8+ROW(A6)-1&lt;=Person1!$E$8, Person1!$D$8+ROW(A6)-1, "")</f>
        <v/>
      </c>
      <c r="AE8" s="1" t="str">
        <f>IF(Person1!$F$3+ROW(A6)-1&lt;=Person1!$G$3, Person1!$F$3+ROW(A6)-1, "")</f>
        <v/>
      </c>
      <c r="AF8" s="1" t="str">
        <f>IF(Person1!$F$4+ROW(A6)-1&lt;=Person1!$G$4, Person1!$F$4+ROW(A6)-1, "")</f>
        <v/>
      </c>
      <c r="AG8" s="1" t="str">
        <f>IF(Person1!$F$5+ROW(A6)-1&lt;=Person1!$G$5, Person1!$F$5+ROW(A6)-1, "")</f>
        <v/>
      </c>
      <c r="AH8" s="1" t="str">
        <f>IF(Person1!$F$6+ROW(A6)-1&lt;=Person1!$G$6, Person1!$F$6+ROW(A6)-1, "")</f>
        <v/>
      </c>
      <c r="AI8" s="1" t="str">
        <f>IF(Person1!$F$7+ROW(A6)-1&lt;=Person1!$G$7, Person1!$F$7+ROW(A6)-1, "")</f>
        <v/>
      </c>
    </row>
    <row r="9" spans="1:35" x14ac:dyDescent="0.3">
      <c r="A9" s="1" t="str">
        <f>IF(Person1!$B$3+ROW(A7)-1&lt;=Person1!$C$3, Person1!$B$3+ROW(A7)-1, "")</f>
        <v/>
      </c>
      <c r="B9" s="1" t="str">
        <f>IF(Person1!$B$4+ROW(B7)-1&lt;=Person1!$C$4, Person1!$B$4+ROW(B7)-1, "")</f>
        <v/>
      </c>
      <c r="C9" s="1" t="str">
        <f>IF(Person1!$B$5+ROW(B7)-1&lt;=Person1!$C$5, Person1!$B$5+ROW(B7)-1, "")</f>
        <v/>
      </c>
      <c r="D9" s="1" t="str">
        <f>IF(Person1!$B$6+ROW(B7)-1&lt;=Person1!$C$6, Person1!$B$6+ROW(B7)-1, "")</f>
        <v/>
      </c>
      <c r="E9" s="1" t="str">
        <f>IF(Person1!$B$7+ROW(B7)-1&lt;=Person1!$C$7, Person1!$B$7+ROW(B7)-1, "")</f>
        <v/>
      </c>
      <c r="F9" s="1" t="str">
        <f>IF(Person1!$B$8+ROW(B7)-1&lt;=Person1!$C$8, Person1!$B$8+ROW(B7)-1, "")</f>
        <v/>
      </c>
      <c r="G9" s="1" t="str">
        <f>IF(Person1!$B$9+ROW(B7)-1&lt;=Person1!$C$9, Person1!$B$9+ROW(B7)-1, "")</f>
        <v/>
      </c>
      <c r="H9" s="1" t="str">
        <f>IF(Person1!$B$10+ROW(B7)-1&lt;=Person1!$C$10, Person1!$B$10+ROW(B7)-1, "")</f>
        <v/>
      </c>
      <c r="I9" s="1" t="str">
        <f>IF(Person1!$B$11+ROW(B7)-1&lt;=Person1!$C$11, Person1!$B$11+ROW(B7)-1, "")</f>
        <v/>
      </c>
      <c r="J9" s="1" t="str">
        <f>IF(Person1!$B$12+ROW(B7)-1&lt;=Person1!$C$12, Person1!$B$12+ROW(B7)-1, "")</f>
        <v/>
      </c>
      <c r="K9" s="1" t="str">
        <f>IF(Person1!$B$13+ROW(B7)-1&lt;=Person1!$C$13, Person1!$B$13+ROW(B7)-1, "")</f>
        <v/>
      </c>
      <c r="L9" s="1" t="str">
        <f>IF(Person1!$B$14+ROW(B7)-1&lt;=Person1!$C$14, Person1!$B$14+ROW(B7)-1, "")</f>
        <v/>
      </c>
      <c r="M9" s="1" t="str">
        <f>IF(Person1!$B$15+ROW(B7)-1&lt;=Person1!$C$15, Person1!$B$15+ROW(B7)-1, "")</f>
        <v/>
      </c>
      <c r="N9" s="1" t="str">
        <f>IF(Person1!$B$16+ROW(B7)-1&lt;=Person1!$C$16, Person1!$B$16+ROW(B7)-1, "")</f>
        <v/>
      </c>
      <c r="O9" s="1" t="str">
        <f>IF(Person1!$B$17+ROW(B7)-1&lt;=Person1!$C$17, Person1!$B$17+ROW(B7)-1, "")</f>
        <v/>
      </c>
      <c r="V9" s="1" t="str">
        <f>IF(Person1!$D$3+ROW(A7)-1&lt;=Person1!$E$3, Person1!$D$3+ROW(A7)-1, "")</f>
        <v/>
      </c>
      <c r="W9" s="1" t="str">
        <f>IF(Person1!$D$4+ROW(A7)-1&lt;=Person1!$E$4, Person1!$D$4+ROW(A7)-1, "")</f>
        <v/>
      </c>
      <c r="X9" s="1" t="str">
        <f>IF(Person1!$D$5+ROW(A7)-1&lt;=Person1!$E$5, Person1!$D$5+ROW(A7)-1, "")</f>
        <v/>
      </c>
      <c r="Y9" s="1" t="str">
        <f>IF(Person1!$D$6+ROW(A7)-1&lt;=Person1!$E$6, Person1!$D$6+ROW(A7)-1, "")</f>
        <v/>
      </c>
      <c r="Z9" s="1" t="str">
        <f>IF(Person1!$D$7+ROW(A7)-1&lt;=Person1!$E$7, Person1!$D$7+ROW(A7)-1, "")</f>
        <v/>
      </c>
      <c r="AA9" s="1" t="str">
        <f>IF(Person1!$D$8+ROW(A7)-1&lt;=Person1!$E$8, Person1!$D$8+ROW(A7)-1, "")</f>
        <v/>
      </c>
      <c r="AE9" s="1" t="str">
        <f>IF(Person1!$F$3+ROW(A7)-1&lt;=Person1!$G$3, Person1!$F$3+ROW(A7)-1, "")</f>
        <v/>
      </c>
      <c r="AF9" s="1" t="str">
        <f>IF(Person1!$F$4+ROW(A7)-1&lt;=Person1!$G$4, Person1!$F$4+ROW(A7)-1, "")</f>
        <v/>
      </c>
      <c r="AG9" s="1" t="str">
        <f>IF(Person1!$F$5+ROW(A7)-1&lt;=Person1!$G$5, Person1!$F$5+ROW(A7)-1, "")</f>
        <v/>
      </c>
      <c r="AH9" s="1" t="str">
        <f>IF(Person1!$F$6+ROW(A7)-1&lt;=Person1!$G$6, Person1!$F$6+ROW(A7)-1, "")</f>
        <v/>
      </c>
      <c r="AI9" s="1" t="str">
        <f>IF(Person1!$F$7+ROW(A7)-1&lt;=Person1!$G$7, Person1!$F$7+ROW(A7)-1, "")</f>
        <v/>
      </c>
    </row>
    <row r="10" spans="1:35" x14ac:dyDescent="0.3">
      <c r="A10" s="1" t="str">
        <f>IF(Person1!$B$3+ROW(A8)-1&lt;=Person1!$C$3, Person1!$B$3+ROW(A8)-1, "")</f>
        <v/>
      </c>
      <c r="B10" s="1" t="str">
        <f>IF(Person1!$B$4+ROW(B8)-1&lt;=Person1!$C$4, Person1!$B$4+ROW(B8)-1, "")</f>
        <v/>
      </c>
      <c r="C10" s="1" t="str">
        <f>IF(Person1!$B$5+ROW(B8)-1&lt;=Person1!$C$5, Person1!$B$5+ROW(B8)-1, "")</f>
        <v/>
      </c>
      <c r="D10" s="1" t="str">
        <f>IF(Person1!$B$6+ROW(B8)-1&lt;=Person1!$C$6, Person1!$B$6+ROW(B8)-1, "")</f>
        <v/>
      </c>
      <c r="E10" s="1" t="str">
        <f>IF(Person1!$B$7+ROW(B8)-1&lt;=Person1!$C$7, Person1!$B$7+ROW(B8)-1, "")</f>
        <v/>
      </c>
      <c r="F10" s="1" t="str">
        <f>IF(Person1!$B$8+ROW(B8)-1&lt;=Person1!$C$8, Person1!$B$8+ROW(B8)-1, "")</f>
        <v/>
      </c>
      <c r="G10" s="1" t="str">
        <f>IF(Person1!$B$9+ROW(B8)-1&lt;=Person1!$C$9, Person1!$B$9+ROW(B8)-1, "")</f>
        <v/>
      </c>
      <c r="H10" s="1" t="str">
        <f>IF(Person1!$B$10+ROW(B8)-1&lt;=Person1!$C$10, Person1!$B$10+ROW(B8)-1, "")</f>
        <v/>
      </c>
      <c r="I10" s="1" t="str">
        <f>IF(Person1!$B$11+ROW(B8)-1&lt;=Person1!$C$11, Person1!$B$11+ROW(B8)-1, "")</f>
        <v/>
      </c>
      <c r="J10" s="1" t="str">
        <f>IF(Person1!$B$12+ROW(B8)-1&lt;=Person1!$C$12, Person1!$B$12+ROW(B8)-1, "")</f>
        <v/>
      </c>
      <c r="K10" s="1" t="str">
        <f>IF(Person1!$B$13+ROW(B8)-1&lt;=Person1!$C$13, Person1!$B$13+ROW(B8)-1, "")</f>
        <v/>
      </c>
      <c r="L10" s="1" t="str">
        <f>IF(Person1!$B$14+ROW(B8)-1&lt;=Person1!$C$14, Person1!$B$14+ROW(B8)-1, "")</f>
        <v/>
      </c>
      <c r="M10" s="1" t="str">
        <f>IF(Person1!$B$15+ROW(B8)-1&lt;=Person1!$C$15, Person1!$B$15+ROW(B8)-1, "")</f>
        <v/>
      </c>
      <c r="N10" s="1" t="str">
        <f>IF(Person1!$B$16+ROW(B8)-1&lt;=Person1!$C$16, Person1!$B$16+ROW(B8)-1, "")</f>
        <v/>
      </c>
      <c r="O10" s="1" t="str">
        <f>IF(Person1!$B$17+ROW(B8)-1&lt;=Person1!$C$17, Person1!$B$17+ROW(B8)-1, "")</f>
        <v/>
      </c>
      <c r="V10" s="1" t="str">
        <f>IF(Person1!$D$3+ROW(A8)-1&lt;=Person1!$E$3, Person1!$D$3+ROW(A8)-1, "")</f>
        <v/>
      </c>
      <c r="W10" s="1" t="str">
        <f>IF(Person1!$D$4+ROW(A8)-1&lt;=Person1!$E$4, Person1!$D$4+ROW(A8)-1, "")</f>
        <v/>
      </c>
      <c r="X10" s="1" t="str">
        <f>IF(Person1!$D$5+ROW(A8)-1&lt;=Person1!$E$5, Person1!$D$5+ROW(A8)-1, "")</f>
        <v/>
      </c>
      <c r="Y10" s="1" t="str">
        <f>IF(Person1!$D$6+ROW(A8)-1&lt;=Person1!$E$6, Person1!$D$6+ROW(A8)-1, "")</f>
        <v/>
      </c>
      <c r="Z10" s="1" t="str">
        <f>IF(Person1!$D$7+ROW(A8)-1&lt;=Person1!$E$7, Person1!$D$7+ROW(A8)-1, "")</f>
        <v/>
      </c>
      <c r="AA10" s="1" t="str">
        <f>IF(Person1!$D$8+ROW(A8)-1&lt;=Person1!$E$8, Person1!$D$8+ROW(A8)-1, "")</f>
        <v/>
      </c>
      <c r="AE10" s="1" t="str">
        <f>IF(Person1!$F$3+ROW(A8)-1&lt;=Person1!$G$3, Person1!$F$3+ROW(A8)-1, "")</f>
        <v/>
      </c>
      <c r="AF10" s="1" t="str">
        <f>IF(Person1!$F$4+ROW(A8)-1&lt;=Person1!$G$4, Person1!$F$4+ROW(A8)-1, "")</f>
        <v/>
      </c>
      <c r="AG10" s="1" t="str">
        <f>IF(Person1!$F$5+ROW(A8)-1&lt;=Person1!$G$5, Person1!$F$5+ROW(A8)-1, "")</f>
        <v/>
      </c>
      <c r="AH10" s="1" t="str">
        <f>IF(Person1!$F$6+ROW(A8)-1&lt;=Person1!$G$6, Person1!$F$6+ROW(A8)-1, "")</f>
        <v/>
      </c>
      <c r="AI10" s="1" t="str">
        <f>IF(Person1!$F$7+ROW(A8)-1&lt;=Person1!$G$7, Person1!$F$7+ROW(A8)-1, "")</f>
        <v/>
      </c>
    </row>
    <row r="11" spans="1:35" x14ac:dyDescent="0.3">
      <c r="A11" s="1" t="str">
        <f>IF(Person1!$B$3+ROW(A9)-1&lt;=Person1!$C$3, Person1!$B$3+ROW(A9)-1, "")</f>
        <v/>
      </c>
      <c r="B11" s="1" t="str">
        <f>IF(Person1!$B$4+ROW(B9)-1&lt;=Person1!$C$4, Person1!$B$4+ROW(B9)-1, "")</f>
        <v/>
      </c>
      <c r="C11" s="1" t="str">
        <f>IF(Person1!$B$5+ROW(B9)-1&lt;=Person1!$C$5, Person1!$B$5+ROW(B9)-1, "")</f>
        <v/>
      </c>
      <c r="D11" s="1" t="str">
        <f>IF(Person1!$B$6+ROW(B9)-1&lt;=Person1!$C$6, Person1!$B$6+ROW(B9)-1, "")</f>
        <v/>
      </c>
      <c r="E11" s="1" t="str">
        <f>IF(Person1!$B$7+ROW(B9)-1&lt;=Person1!$C$7, Person1!$B$7+ROW(B9)-1, "")</f>
        <v/>
      </c>
      <c r="F11" s="1" t="str">
        <f>IF(Person1!$B$8+ROW(B9)-1&lt;=Person1!$C$8, Person1!$B$8+ROW(B9)-1, "")</f>
        <v/>
      </c>
      <c r="G11" s="1" t="str">
        <f>IF(Person1!$B$9+ROW(B9)-1&lt;=Person1!$C$9, Person1!$B$9+ROW(B9)-1, "")</f>
        <v/>
      </c>
      <c r="H11" s="1" t="str">
        <f>IF(Person1!$B$10+ROW(B9)-1&lt;=Person1!$C$10, Person1!$B$10+ROW(B9)-1, "")</f>
        <v/>
      </c>
      <c r="I11" s="1" t="str">
        <f>IF(Person1!$B$11+ROW(B9)-1&lt;=Person1!$C$11, Person1!$B$11+ROW(B9)-1, "")</f>
        <v/>
      </c>
      <c r="J11" s="1" t="str">
        <f>IF(Person1!$B$12+ROW(B9)-1&lt;=Person1!$C$12, Person1!$B$12+ROW(B9)-1, "")</f>
        <v/>
      </c>
      <c r="K11" s="1" t="str">
        <f>IF(Person1!$B$13+ROW(B9)-1&lt;=Person1!$C$13, Person1!$B$13+ROW(B9)-1, "")</f>
        <v/>
      </c>
      <c r="L11" s="1" t="str">
        <f>IF(Person1!$B$14+ROW(B9)-1&lt;=Person1!$C$14, Person1!$B$14+ROW(B9)-1, "")</f>
        <v/>
      </c>
      <c r="M11" s="1" t="str">
        <f>IF(Person1!$B$15+ROW(B9)-1&lt;=Person1!$C$15, Person1!$B$15+ROW(B9)-1, "")</f>
        <v/>
      </c>
      <c r="N11" s="1" t="str">
        <f>IF(Person1!$B$16+ROW(B9)-1&lt;=Person1!$C$16, Person1!$B$16+ROW(B9)-1, "")</f>
        <v/>
      </c>
      <c r="O11" s="1" t="str">
        <f>IF(Person1!$B$17+ROW(B9)-1&lt;=Person1!$C$17, Person1!$B$17+ROW(B9)-1, "")</f>
        <v/>
      </c>
      <c r="V11" s="1" t="str">
        <f>IF(Person1!$D$3+ROW(A9)-1&lt;=Person1!$E$3, Person1!$D$3+ROW(A9)-1, "")</f>
        <v/>
      </c>
      <c r="W11" s="1" t="str">
        <f>IF(Person1!$D$4+ROW(A9)-1&lt;=Person1!$E$4, Person1!$D$4+ROW(A9)-1, "")</f>
        <v/>
      </c>
      <c r="X11" s="1" t="str">
        <f>IF(Person1!$D$5+ROW(A9)-1&lt;=Person1!$E$5, Person1!$D$5+ROW(A9)-1, "")</f>
        <v/>
      </c>
      <c r="Y11" s="1" t="str">
        <f>IF(Person1!$D$6+ROW(A9)-1&lt;=Person1!$E$6, Person1!$D$6+ROW(A9)-1, "")</f>
        <v/>
      </c>
      <c r="Z11" s="1" t="str">
        <f>IF(Person1!$D$7+ROW(A9)-1&lt;=Person1!$E$7, Person1!$D$7+ROW(A9)-1, "")</f>
        <v/>
      </c>
      <c r="AA11" s="1" t="str">
        <f>IF(Person1!$D$8+ROW(A9)-1&lt;=Person1!$E$8, Person1!$D$8+ROW(A9)-1, "")</f>
        <v/>
      </c>
      <c r="AE11" s="1" t="str">
        <f>IF(Person1!$F$3+ROW(A9)-1&lt;=Person1!$G$3, Person1!$F$3+ROW(A9)-1, "")</f>
        <v/>
      </c>
      <c r="AF11" s="1" t="str">
        <f>IF(Person1!$F$4+ROW(A9)-1&lt;=Person1!$G$4, Person1!$F$4+ROW(A9)-1, "")</f>
        <v/>
      </c>
      <c r="AG11" s="1" t="str">
        <f>IF(Person1!$F$5+ROW(A9)-1&lt;=Person1!$G$5, Person1!$F$5+ROW(A9)-1, "")</f>
        <v/>
      </c>
      <c r="AH11" s="1" t="str">
        <f>IF(Person1!$F$6+ROW(A9)-1&lt;=Person1!$G$6, Person1!$F$6+ROW(A9)-1, "")</f>
        <v/>
      </c>
      <c r="AI11" s="1" t="str">
        <f>IF(Person1!$F$7+ROW(A9)-1&lt;=Person1!$G$7, Person1!$F$7+ROW(A9)-1, "")</f>
        <v/>
      </c>
    </row>
    <row r="12" spans="1:35" x14ac:dyDescent="0.3">
      <c r="A12" s="1" t="str">
        <f>IF(Person1!$B$3+ROW(A10)-1&lt;=Person1!$C$3, Person1!$B$3+ROW(A10)-1, "")</f>
        <v/>
      </c>
      <c r="B12" s="1" t="str">
        <f>IF(Person1!$B$4+ROW(B10)-1&lt;=Person1!$C$4, Person1!$B$4+ROW(B10)-1, "")</f>
        <v/>
      </c>
      <c r="C12" s="1" t="str">
        <f>IF(Person1!$B$5+ROW(B10)-1&lt;=Person1!$C$5, Person1!$B$5+ROW(B10)-1, "")</f>
        <v/>
      </c>
      <c r="D12" s="1" t="str">
        <f>IF(Person1!$B$6+ROW(B10)-1&lt;=Person1!$C$6, Person1!$B$6+ROW(B10)-1, "")</f>
        <v/>
      </c>
      <c r="E12" s="1" t="str">
        <f>IF(Person1!$B$7+ROW(B10)-1&lt;=Person1!$C$7, Person1!$B$7+ROW(B10)-1, "")</f>
        <v/>
      </c>
      <c r="F12" s="1" t="str">
        <f>IF(Person1!$B$8+ROW(B10)-1&lt;=Person1!$C$8, Person1!$B$8+ROW(B10)-1, "")</f>
        <v/>
      </c>
      <c r="G12" s="1" t="str">
        <f>IF(Person1!$B$9+ROW(B10)-1&lt;=Person1!$C$9, Person1!$B$9+ROW(B10)-1, "")</f>
        <v/>
      </c>
      <c r="H12" s="1" t="str">
        <f>IF(Person1!$B$10+ROW(B10)-1&lt;=Person1!$C$10, Person1!$B$10+ROW(B10)-1, "")</f>
        <v/>
      </c>
      <c r="I12" s="1" t="str">
        <f>IF(Person1!$B$11+ROW(B10)-1&lt;=Person1!$C$11, Person1!$B$11+ROW(B10)-1, "")</f>
        <v/>
      </c>
      <c r="J12" s="1" t="str">
        <f>IF(Person1!$B$12+ROW(B10)-1&lt;=Person1!$C$12, Person1!$B$12+ROW(B10)-1, "")</f>
        <v/>
      </c>
      <c r="K12" s="1" t="str">
        <f>IF(Person1!$B$13+ROW(B10)-1&lt;=Person1!$C$13, Person1!$B$13+ROW(B10)-1, "")</f>
        <v/>
      </c>
      <c r="L12" s="1" t="str">
        <f>IF(Person1!$B$14+ROW(B10)-1&lt;=Person1!$C$14, Person1!$B$14+ROW(B10)-1, "")</f>
        <v/>
      </c>
      <c r="M12" s="1" t="str">
        <f>IF(Person1!$B$15+ROW(B10)-1&lt;=Person1!$C$15, Person1!$B$15+ROW(B10)-1, "")</f>
        <v/>
      </c>
      <c r="N12" s="1" t="str">
        <f>IF(Person1!$B$16+ROW(B10)-1&lt;=Person1!$C$16, Person1!$B$16+ROW(B10)-1, "")</f>
        <v/>
      </c>
      <c r="O12" s="1" t="str">
        <f>IF(Person1!$B$17+ROW(B10)-1&lt;=Person1!$C$17, Person1!$B$17+ROW(B10)-1, "")</f>
        <v/>
      </c>
      <c r="V12" s="1" t="str">
        <f>IF(Person1!$D$3+ROW(A10)-1&lt;=Person1!$E$3, Person1!$D$3+ROW(A10)-1, "")</f>
        <v/>
      </c>
      <c r="W12" s="1" t="str">
        <f>IF(Person1!$D$4+ROW(A10)-1&lt;=Person1!$E$4, Person1!$D$4+ROW(A10)-1, "")</f>
        <v/>
      </c>
      <c r="X12" s="1" t="str">
        <f>IF(Person1!$D$5+ROW(A10)-1&lt;=Person1!$E$5, Person1!$D$5+ROW(A10)-1, "")</f>
        <v/>
      </c>
      <c r="Y12" s="1" t="str">
        <f>IF(Person1!$D$6+ROW(A10)-1&lt;=Person1!$E$6, Person1!$D$6+ROW(A10)-1, "")</f>
        <v/>
      </c>
      <c r="Z12" s="1" t="str">
        <f>IF(Person1!$D$7+ROW(A10)-1&lt;=Person1!$E$7, Person1!$D$7+ROW(A10)-1, "")</f>
        <v/>
      </c>
      <c r="AA12" s="1" t="str">
        <f>IF(Person1!$D$8+ROW(A10)-1&lt;=Person1!$E$8, Person1!$D$8+ROW(A10)-1, "")</f>
        <v/>
      </c>
      <c r="AE12" s="1" t="str">
        <f>IF(Person1!$F$3+ROW(A10)-1&lt;=Person1!$G$3, Person1!$F$3+ROW(A10)-1, "")</f>
        <v/>
      </c>
      <c r="AF12" s="1" t="str">
        <f>IF(Person1!$F$4+ROW(A10)-1&lt;=Person1!$G$4, Person1!$F$4+ROW(A10)-1, "")</f>
        <v/>
      </c>
      <c r="AG12" s="1" t="str">
        <f>IF(Person1!$F$5+ROW(A10)-1&lt;=Person1!$G$5, Person1!$F$5+ROW(A10)-1, "")</f>
        <v/>
      </c>
      <c r="AH12" s="1" t="str">
        <f>IF(Person1!$F$6+ROW(A10)-1&lt;=Person1!$G$6, Person1!$F$6+ROW(A10)-1, "")</f>
        <v/>
      </c>
      <c r="AI12" s="1" t="str">
        <f>IF(Person1!$F$7+ROW(A10)-1&lt;=Person1!$G$7, Person1!$F$7+ROW(A10)-1, "")</f>
        <v/>
      </c>
    </row>
    <row r="13" spans="1:35" x14ac:dyDescent="0.3">
      <c r="A13" s="1" t="str">
        <f>IF(Person1!$B$3+ROW(A11)-1&lt;=Person1!$C$3, Person1!$B$3+ROW(A11)-1, "")</f>
        <v/>
      </c>
      <c r="B13" s="1" t="str">
        <f>IF(Person1!$B$4+ROW(B11)-1&lt;=Person1!$C$4, Person1!$B$4+ROW(B11)-1, "")</f>
        <v/>
      </c>
      <c r="C13" s="1" t="str">
        <f>IF(Person1!$B$5+ROW(B11)-1&lt;=Person1!$C$5, Person1!$B$5+ROW(B11)-1, "")</f>
        <v/>
      </c>
      <c r="D13" s="1" t="str">
        <f>IF(Person1!$B$6+ROW(B11)-1&lt;=Person1!$C$6, Person1!$B$6+ROW(B11)-1, "")</f>
        <v/>
      </c>
      <c r="E13" s="1" t="str">
        <f>IF(Person1!$B$7+ROW(B11)-1&lt;=Person1!$C$7, Person1!$B$7+ROW(B11)-1, "")</f>
        <v/>
      </c>
      <c r="F13" s="1" t="str">
        <f>IF(Person1!$B$8+ROW(B11)-1&lt;=Person1!$C$8, Person1!$B$8+ROW(B11)-1, "")</f>
        <v/>
      </c>
      <c r="G13" s="1" t="str">
        <f>IF(Person1!$B$9+ROW(B11)-1&lt;=Person1!$C$9, Person1!$B$9+ROW(B11)-1, "")</f>
        <v/>
      </c>
      <c r="H13" s="1" t="str">
        <f>IF(Person1!$B$10+ROW(B11)-1&lt;=Person1!$C$10, Person1!$B$10+ROW(B11)-1, "")</f>
        <v/>
      </c>
      <c r="I13" s="1" t="str">
        <f>IF(Person1!$B$11+ROW(B11)-1&lt;=Person1!$C$11, Person1!$B$11+ROW(B11)-1, "")</f>
        <v/>
      </c>
      <c r="J13" s="1" t="str">
        <f>IF(Person1!$B$12+ROW(B11)-1&lt;=Person1!$C$12, Person1!$B$12+ROW(B11)-1, "")</f>
        <v/>
      </c>
      <c r="K13" s="1" t="str">
        <f>IF(Person1!$B$13+ROW(B11)-1&lt;=Person1!$C$13, Person1!$B$13+ROW(B11)-1, "")</f>
        <v/>
      </c>
      <c r="L13" s="1" t="str">
        <f>IF(Person1!$B$14+ROW(B11)-1&lt;=Person1!$C$14, Person1!$B$14+ROW(B11)-1, "")</f>
        <v/>
      </c>
      <c r="M13" s="1" t="str">
        <f>IF(Person1!$B$15+ROW(B11)-1&lt;=Person1!$C$15, Person1!$B$15+ROW(B11)-1, "")</f>
        <v/>
      </c>
      <c r="N13" s="1" t="str">
        <f>IF(Person1!$B$16+ROW(B11)-1&lt;=Person1!$C$16, Person1!$B$16+ROW(B11)-1, "")</f>
        <v/>
      </c>
      <c r="O13" s="1" t="str">
        <f>IF(Person1!$B$17+ROW(B11)-1&lt;=Person1!$C$17, Person1!$B$17+ROW(B11)-1, "")</f>
        <v/>
      </c>
      <c r="V13" s="1" t="str">
        <f>IF(Person1!$D$3+ROW(A11)-1&lt;=Person1!$E$3, Person1!$D$3+ROW(A11)-1, "")</f>
        <v/>
      </c>
      <c r="W13" s="1" t="str">
        <f>IF(Person1!$D$4+ROW(A11)-1&lt;=Person1!$E$4, Person1!$D$4+ROW(A11)-1, "")</f>
        <v/>
      </c>
      <c r="X13" s="1" t="str">
        <f>IF(Person1!$D$5+ROW(A11)-1&lt;=Person1!$E$5, Person1!$D$5+ROW(A11)-1, "")</f>
        <v/>
      </c>
      <c r="Y13" s="1" t="str">
        <f>IF(Person1!$D$6+ROW(A11)-1&lt;=Person1!$E$6, Person1!$D$6+ROW(A11)-1, "")</f>
        <v/>
      </c>
      <c r="Z13" s="1" t="str">
        <f>IF(Person1!$D$7+ROW(A11)-1&lt;=Person1!$E$7, Person1!$D$7+ROW(A11)-1, "")</f>
        <v/>
      </c>
      <c r="AA13" s="1" t="str">
        <f>IF(Person1!$D$8+ROW(A11)-1&lt;=Person1!$E$8, Person1!$D$8+ROW(A11)-1, "")</f>
        <v/>
      </c>
      <c r="AE13" s="1" t="str">
        <f>IF(Person1!$F$3+ROW(A11)-1&lt;=Person1!$G$3, Person1!$F$3+ROW(A11)-1, "")</f>
        <v/>
      </c>
      <c r="AF13" s="1" t="str">
        <f>IF(Person1!$F$4+ROW(A11)-1&lt;=Person1!$G$4, Person1!$F$4+ROW(A11)-1, "")</f>
        <v/>
      </c>
      <c r="AG13" s="1" t="str">
        <f>IF(Person1!$F$5+ROW(A11)-1&lt;=Person1!$G$5, Person1!$F$5+ROW(A11)-1, "")</f>
        <v/>
      </c>
      <c r="AH13" s="1" t="str">
        <f>IF(Person1!$F$6+ROW(A11)-1&lt;=Person1!$G$6, Person1!$F$6+ROW(A11)-1, "")</f>
        <v/>
      </c>
      <c r="AI13" s="1" t="str">
        <f>IF(Person1!$F$7+ROW(A11)-1&lt;=Person1!$G$7, Person1!$F$7+ROW(A11)-1, "")</f>
        <v/>
      </c>
    </row>
    <row r="14" spans="1:35" x14ac:dyDescent="0.3">
      <c r="A14" s="1" t="str">
        <f>IF(Person1!$B$3+ROW(A12)-1&lt;=Person1!$C$3, Person1!$B$3+ROW(A12)-1, "")</f>
        <v/>
      </c>
      <c r="B14" s="1" t="str">
        <f>IF(Person1!$B$4+ROW(B12)-1&lt;=Person1!$C$4, Person1!$B$4+ROW(B12)-1, "")</f>
        <v/>
      </c>
      <c r="C14" s="1" t="str">
        <f>IF(Person1!$B$5+ROW(B12)-1&lt;=Person1!$C$5, Person1!$B$5+ROW(B12)-1, "")</f>
        <v/>
      </c>
      <c r="D14" s="1" t="str">
        <f>IF(Person1!$B$6+ROW(B12)-1&lt;=Person1!$C$6, Person1!$B$6+ROW(B12)-1, "")</f>
        <v/>
      </c>
      <c r="E14" s="1" t="str">
        <f>IF(Person1!$B$7+ROW(B12)-1&lt;=Person1!$C$7, Person1!$B$7+ROW(B12)-1, "")</f>
        <v/>
      </c>
      <c r="F14" s="1" t="str">
        <f>IF(Person1!$B$8+ROW(B12)-1&lt;=Person1!$C$8, Person1!$B$8+ROW(B12)-1, "")</f>
        <v/>
      </c>
      <c r="G14" s="1" t="str">
        <f>IF(Person1!$B$9+ROW(B12)-1&lt;=Person1!$C$9, Person1!$B$9+ROW(B12)-1, "")</f>
        <v/>
      </c>
      <c r="H14" s="1" t="str">
        <f>IF(Person1!$B$10+ROW(B12)-1&lt;=Person1!$C$10, Person1!$B$10+ROW(B12)-1, "")</f>
        <v/>
      </c>
      <c r="I14" s="1" t="str">
        <f>IF(Person1!$B$11+ROW(B12)-1&lt;=Person1!$C$11, Person1!$B$11+ROW(B12)-1, "")</f>
        <v/>
      </c>
      <c r="J14" s="1" t="str">
        <f>IF(Person1!$B$12+ROW(B12)-1&lt;=Person1!$C$12, Person1!$B$12+ROW(B12)-1, "")</f>
        <v/>
      </c>
      <c r="K14" s="1" t="str">
        <f>IF(Person1!$B$13+ROW(B12)-1&lt;=Person1!$C$13, Person1!$B$13+ROW(B12)-1, "")</f>
        <v/>
      </c>
      <c r="L14" s="1" t="str">
        <f>IF(Person1!$B$14+ROW(B12)-1&lt;=Person1!$C$14, Person1!$B$14+ROW(B12)-1, "")</f>
        <v/>
      </c>
      <c r="M14" s="1" t="str">
        <f>IF(Person1!$B$15+ROW(B12)-1&lt;=Person1!$C$15, Person1!$B$15+ROW(B12)-1, "")</f>
        <v/>
      </c>
      <c r="N14" s="1" t="str">
        <f>IF(Person1!$B$16+ROW(B12)-1&lt;=Person1!$C$16, Person1!$B$16+ROW(B12)-1, "")</f>
        <v/>
      </c>
      <c r="O14" s="1" t="str">
        <f>IF(Person1!$B$17+ROW(B12)-1&lt;=Person1!$C$17, Person1!$B$17+ROW(B12)-1, "")</f>
        <v/>
      </c>
      <c r="V14" s="1" t="str">
        <f>IF(Person1!$D$3+ROW(A12)-1&lt;=Person1!$E$3, Person1!$D$3+ROW(A12)-1, "")</f>
        <v/>
      </c>
      <c r="W14" s="1" t="str">
        <f>IF(Person1!$D$4+ROW(A12)-1&lt;=Person1!$E$4, Person1!$D$4+ROW(A12)-1, "")</f>
        <v/>
      </c>
      <c r="X14" s="1" t="str">
        <f>IF(Person1!$D$5+ROW(A12)-1&lt;=Person1!$E$5, Person1!$D$5+ROW(A12)-1, "")</f>
        <v/>
      </c>
      <c r="Y14" s="1" t="str">
        <f>IF(Person1!$D$6+ROW(A12)-1&lt;=Person1!$E$6, Person1!$D$6+ROW(A12)-1, "")</f>
        <v/>
      </c>
      <c r="Z14" s="1" t="str">
        <f>IF(Person1!$D$7+ROW(A12)-1&lt;=Person1!$E$7, Person1!$D$7+ROW(A12)-1, "")</f>
        <v/>
      </c>
      <c r="AA14" s="1" t="str">
        <f>IF(Person1!$D$8+ROW(A12)-1&lt;=Person1!$E$8, Person1!$D$8+ROW(A12)-1, "")</f>
        <v/>
      </c>
      <c r="AE14" s="1" t="str">
        <f>IF(Person1!$F$3+ROW(A12)-1&lt;=Person1!$G$3, Person1!$F$3+ROW(A12)-1, "")</f>
        <v/>
      </c>
      <c r="AF14" s="1" t="str">
        <f>IF(Person1!$F$4+ROW(A12)-1&lt;=Person1!$G$4, Person1!$F$4+ROW(A12)-1, "")</f>
        <v/>
      </c>
      <c r="AG14" s="1" t="str">
        <f>IF(Person1!$F$5+ROW(A12)-1&lt;=Person1!$G$5, Person1!$F$5+ROW(A12)-1, "")</f>
        <v/>
      </c>
      <c r="AH14" s="1" t="str">
        <f>IF(Person1!$F$6+ROW(A12)-1&lt;=Person1!$G$6, Person1!$F$6+ROW(A12)-1, "")</f>
        <v/>
      </c>
      <c r="AI14" s="1" t="str">
        <f>IF(Person1!$F$7+ROW(A12)-1&lt;=Person1!$G$7, Person1!$F$7+ROW(A12)-1, "")</f>
        <v/>
      </c>
    </row>
    <row r="15" spans="1:35" x14ac:dyDescent="0.3">
      <c r="A15" s="1" t="str">
        <f>IF(Person1!$B$3+ROW(A13)-1&lt;=Person1!$C$3, Person1!$B$3+ROW(A13)-1, "")</f>
        <v/>
      </c>
      <c r="B15" s="1" t="str">
        <f>IF(Person1!$B$4+ROW(B13)-1&lt;=Person1!$C$4, Person1!$B$4+ROW(B13)-1, "")</f>
        <v/>
      </c>
      <c r="C15" s="1" t="str">
        <f>IF(Person1!$B$5+ROW(B13)-1&lt;=Person1!$C$5, Person1!$B$5+ROW(B13)-1, "")</f>
        <v/>
      </c>
      <c r="D15" s="1" t="str">
        <f>IF(Person1!$B$6+ROW(B13)-1&lt;=Person1!$C$6, Person1!$B$6+ROW(B13)-1, "")</f>
        <v/>
      </c>
      <c r="E15" s="1" t="str">
        <f>IF(Person1!$B$7+ROW(B13)-1&lt;=Person1!$C$7, Person1!$B$7+ROW(B13)-1, "")</f>
        <v/>
      </c>
      <c r="F15" s="1" t="str">
        <f>IF(Person1!$B$8+ROW(B13)-1&lt;=Person1!$C$8, Person1!$B$8+ROW(B13)-1, "")</f>
        <v/>
      </c>
      <c r="G15" s="1" t="str">
        <f>IF(Person1!$B$9+ROW(B13)-1&lt;=Person1!$C$9, Person1!$B$9+ROW(B13)-1, "")</f>
        <v/>
      </c>
      <c r="H15" s="1" t="str">
        <f>IF(Person1!$B$10+ROW(B13)-1&lt;=Person1!$C$10, Person1!$B$10+ROW(B13)-1, "")</f>
        <v/>
      </c>
      <c r="I15" s="1" t="str">
        <f>IF(Person1!$B$11+ROW(B13)-1&lt;=Person1!$C$11, Person1!$B$11+ROW(B13)-1, "")</f>
        <v/>
      </c>
      <c r="J15" s="1" t="str">
        <f>IF(Person1!$B$12+ROW(B13)-1&lt;=Person1!$C$12, Person1!$B$12+ROW(B13)-1, "")</f>
        <v/>
      </c>
      <c r="K15" s="1" t="str">
        <f>IF(Person1!$B$13+ROW(B13)-1&lt;=Person1!$C$13, Person1!$B$13+ROW(B13)-1, "")</f>
        <v/>
      </c>
      <c r="L15" s="1" t="str">
        <f>IF(Person1!$B$14+ROW(B13)-1&lt;=Person1!$C$14, Person1!$B$14+ROW(B13)-1, "")</f>
        <v/>
      </c>
      <c r="M15" s="1" t="str">
        <f>IF(Person1!$B$15+ROW(B13)-1&lt;=Person1!$C$15, Person1!$B$15+ROW(B13)-1, "")</f>
        <v/>
      </c>
      <c r="N15" s="1" t="str">
        <f>IF(Person1!$B$16+ROW(B13)-1&lt;=Person1!$C$16, Person1!$B$16+ROW(B13)-1, "")</f>
        <v/>
      </c>
      <c r="O15" s="1" t="str">
        <f>IF(Person1!$B$17+ROW(B13)-1&lt;=Person1!$C$17, Person1!$B$17+ROW(B13)-1, "")</f>
        <v/>
      </c>
      <c r="V15" s="1" t="str">
        <f>IF(Person1!$D$3+ROW(A13)-1&lt;=Person1!$E$3, Person1!$D$3+ROW(A13)-1, "")</f>
        <v/>
      </c>
      <c r="W15" s="1" t="str">
        <f>IF(Person1!$D$4+ROW(A13)-1&lt;=Person1!$E$4, Person1!$D$4+ROW(A13)-1, "")</f>
        <v/>
      </c>
      <c r="X15" s="1" t="str">
        <f>IF(Person1!$D$5+ROW(A13)-1&lt;=Person1!$E$5, Person1!$D$5+ROW(A13)-1, "")</f>
        <v/>
      </c>
      <c r="Y15" s="1" t="str">
        <f>IF(Person1!$D$6+ROW(A13)-1&lt;=Person1!$E$6, Person1!$D$6+ROW(A13)-1, "")</f>
        <v/>
      </c>
      <c r="Z15" s="1" t="str">
        <f>IF(Person1!$D$7+ROW(A13)-1&lt;=Person1!$E$7, Person1!$D$7+ROW(A13)-1, "")</f>
        <v/>
      </c>
      <c r="AA15" s="1" t="str">
        <f>IF(Person1!$D$8+ROW(A13)-1&lt;=Person1!$E$8, Person1!$D$8+ROW(A13)-1, "")</f>
        <v/>
      </c>
      <c r="AE15" s="1" t="str">
        <f>IF(Person1!$F$3+ROW(A13)-1&lt;=Person1!$G$3, Person1!$F$3+ROW(A13)-1, "")</f>
        <v/>
      </c>
      <c r="AF15" s="1" t="str">
        <f>IF(Person1!$F$4+ROW(A13)-1&lt;=Person1!$G$4, Person1!$F$4+ROW(A13)-1, "")</f>
        <v/>
      </c>
      <c r="AG15" s="1" t="str">
        <f>IF(Person1!$F$5+ROW(A13)-1&lt;=Person1!$G$5, Person1!$F$5+ROW(A13)-1, "")</f>
        <v/>
      </c>
      <c r="AH15" s="1" t="str">
        <f>IF(Person1!$F$6+ROW(A13)-1&lt;=Person1!$G$6, Person1!$F$6+ROW(A13)-1, "")</f>
        <v/>
      </c>
      <c r="AI15" s="1" t="str">
        <f>IF(Person1!$F$7+ROW(A13)-1&lt;=Person1!$G$7, Person1!$F$7+ROW(A13)-1, "")</f>
        <v/>
      </c>
    </row>
    <row r="16" spans="1:35" x14ac:dyDescent="0.3">
      <c r="A16" s="1" t="str">
        <f>IF(Person1!$B$3+ROW(A14)-1&lt;=Person1!$C$3, Person1!$B$3+ROW(A14)-1, "")</f>
        <v/>
      </c>
      <c r="B16" s="1" t="str">
        <f>IF(Person1!$B$4+ROW(B14)-1&lt;=Person1!$C$4, Person1!$B$4+ROW(B14)-1, "")</f>
        <v/>
      </c>
      <c r="C16" s="1" t="str">
        <f>IF(Person1!$B$5+ROW(B14)-1&lt;=Person1!$C$5, Person1!$B$5+ROW(B14)-1, "")</f>
        <v/>
      </c>
      <c r="D16" s="1" t="str">
        <f>IF(Person1!$B$6+ROW(B14)-1&lt;=Person1!$C$6, Person1!$B$6+ROW(B14)-1, "")</f>
        <v/>
      </c>
      <c r="E16" s="1" t="str">
        <f>IF(Person1!$B$7+ROW(B14)-1&lt;=Person1!$C$7, Person1!$B$7+ROW(B14)-1, "")</f>
        <v/>
      </c>
      <c r="F16" s="1" t="str">
        <f>IF(Person1!$B$8+ROW(B14)-1&lt;=Person1!$C$8, Person1!$B$8+ROW(B14)-1, "")</f>
        <v/>
      </c>
      <c r="G16" s="1" t="str">
        <f>IF(Person1!$B$9+ROW(B14)-1&lt;=Person1!$C$9, Person1!$B$9+ROW(B14)-1, "")</f>
        <v/>
      </c>
      <c r="H16" s="1" t="str">
        <f>IF(Person1!$B$10+ROW(B14)-1&lt;=Person1!$C$10, Person1!$B$10+ROW(B14)-1, "")</f>
        <v/>
      </c>
      <c r="I16" s="1" t="str">
        <f>IF(Person1!$B$11+ROW(B14)-1&lt;=Person1!$C$11, Person1!$B$11+ROW(B14)-1, "")</f>
        <v/>
      </c>
      <c r="J16" s="1" t="str">
        <f>IF(Person1!$B$12+ROW(B14)-1&lt;=Person1!$C$12, Person1!$B$12+ROW(B14)-1, "")</f>
        <v/>
      </c>
      <c r="K16" s="1" t="str">
        <f>IF(Person1!$B$13+ROW(B14)-1&lt;=Person1!$C$13, Person1!$B$13+ROW(B14)-1, "")</f>
        <v/>
      </c>
      <c r="L16" s="1" t="str">
        <f>IF(Person1!$B$14+ROW(B14)-1&lt;=Person1!$C$14, Person1!$B$14+ROW(B14)-1, "")</f>
        <v/>
      </c>
      <c r="M16" s="1" t="str">
        <f>IF(Person1!$B$15+ROW(B14)-1&lt;=Person1!$C$15, Person1!$B$15+ROW(B14)-1, "")</f>
        <v/>
      </c>
      <c r="N16" s="1" t="str">
        <f>IF(Person1!$B$16+ROW(B14)-1&lt;=Person1!$C$16, Person1!$B$16+ROW(B14)-1, "")</f>
        <v/>
      </c>
      <c r="O16" s="1" t="str">
        <f>IF(Person1!$B$17+ROW(B14)-1&lt;=Person1!$C$17, Person1!$B$17+ROW(B14)-1, "")</f>
        <v/>
      </c>
      <c r="V16" s="1" t="str">
        <f>IF(Person1!$D$3+ROW(A14)-1&lt;=Person1!$E$3, Person1!$D$3+ROW(A14)-1, "")</f>
        <v/>
      </c>
      <c r="W16" s="1" t="str">
        <f>IF(Person1!$D$4+ROW(A14)-1&lt;=Person1!$E$4, Person1!$D$4+ROW(A14)-1, "")</f>
        <v/>
      </c>
      <c r="X16" s="1" t="str">
        <f>IF(Person1!$D$5+ROW(A14)-1&lt;=Person1!$E$5, Person1!$D$5+ROW(A14)-1, "")</f>
        <v/>
      </c>
      <c r="Y16" s="1" t="str">
        <f>IF(Person1!$D$6+ROW(A14)-1&lt;=Person1!$E$6, Person1!$D$6+ROW(A14)-1, "")</f>
        <v/>
      </c>
      <c r="Z16" s="1" t="str">
        <f>IF(Person1!$D$7+ROW(A14)-1&lt;=Person1!$E$7, Person1!$D$7+ROW(A14)-1, "")</f>
        <v/>
      </c>
      <c r="AA16" s="1" t="str">
        <f>IF(Person1!$D$8+ROW(A14)-1&lt;=Person1!$E$8, Person1!$D$8+ROW(A14)-1, "")</f>
        <v/>
      </c>
      <c r="AE16" s="1" t="str">
        <f>IF(Person1!$F$3+ROW(A14)-1&lt;=Person1!$G$3, Person1!$F$3+ROW(A14)-1, "")</f>
        <v/>
      </c>
      <c r="AF16" s="1" t="str">
        <f>IF(Person1!$F$4+ROW(A14)-1&lt;=Person1!$G$4, Person1!$F$4+ROW(A14)-1, "")</f>
        <v/>
      </c>
      <c r="AG16" s="1" t="str">
        <f>IF(Person1!$F$5+ROW(A14)-1&lt;=Person1!$G$5, Person1!$F$5+ROW(A14)-1, "")</f>
        <v/>
      </c>
      <c r="AH16" s="1" t="str">
        <f>IF(Person1!$F$6+ROW(A14)-1&lt;=Person1!$G$6, Person1!$F$6+ROW(A14)-1, "")</f>
        <v/>
      </c>
      <c r="AI16" s="1" t="str">
        <f>IF(Person1!$F$7+ROW(A14)-1&lt;=Person1!$G$7, Person1!$F$7+ROW(A14)-1, "")</f>
        <v/>
      </c>
    </row>
    <row r="17" spans="1:35" x14ac:dyDescent="0.3">
      <c r="A17" s="1" t="str">
        <f>IF(Person1!$B$3+ROW(A15)-1&lt;=Person1!$C$3, Person1!$B$3+ROW(A15)-1, "")</f>
        <v/>
      </c>
      <c r="B17" s="1" t="str">
        <f>IF(Person1!$B$4+ROW(B15)-1&lt;=Person1!$C$4, Person1!$B$4+ROW(B15)-1, "")</f>
        <v/>
      </c>
      <c r="C17" s="1" t="str">
        <f>IF(Person1!$B$5+ROW(B15)-1&lt;=Person1!$C$5, Person1!$B$5+ROW(B15)-1, "")</f>
        <v/>
      </c>
      <c r="D17" s="1" t="str">
        <f>IF(Person1!$B$6+ROW(B15)-1&lt;=Person1!$C$6, Person1!$B$6+ROW(B15)-1, "")</f>
        <v/>
      </c>
      <c r="E17" s="1" t="str">
        <f>IF(Person1!$B$7+ROW(B15)-1&lt;=Person1!$C$7, Person1!$B$7+ROW(B15)-1, "")</f>
        <v/>
      </c>
      <c r="F17" s="1" t="str">
        <f>IF(Person1!$B$8+ROW(B15)-1&lt;=Person1!$C$8, Person1!$B$8+ROW(B15)-1, "")</f>
        <v/>
      </c>
      <c r="G17" s="1" t="str">
        <f>IF(Person1!$B$9+ROW(B15)-1&lt;=Person1!$C$9, Person1!$B$9+ROW(B15)-1, "")</f>
        <v/>
      </c>
      <c r="H17" s="1" t="str">
        <f>IF(Person1!$B$10+ROW(B15)-1&lt;=Person1!$C$10, Person1!$B$10+ROW(B15)-1, "")</f>
        <v/>
      </c>
      <c r="I17" s="1" t="str">
        <f>IF(Person1!$B$11+ROW(B15)-1&lt;=Person1!$C$11, Person1!$B$11+ROW(B15)-1, "")</f>
        <v/>
      </c>
      <c r="J17" s="1" t="str">
        <f>IF(Person1!$B$12+ROW(B15)-1&lt;=Person1!$C$12, Person1!$B$12+ROW(B15)-1, "")</f>
        <v/>
      </c>
      <c r="K17" s="1" t="str">
        <f>IF(Person1!$B$13+ROW(B15)-1&lt;=Person1!$C$13, Person1!$B$13+ROW(B15)-1, "")</f>
        <v/>
      </c>
      <c r="L17" s="1" t="str">
        <f>IF(Person1!$B$14+ROW(B15)-1&lt;=Person1!$C$14, Person1!$B$14+ROW(B15)-1, "")</f>
        <v/>
      </c>
      <c r="M17" s="1" t="str">
        <f>IF(Person1!$B$15+ROW(B15)-1&lt;=Person1!$C$15, Person1!$B$15+ROW(B15)-1, "")</f>
        <v/>
      </c>
      <c r="N17" s="1" t="str">
        <f>IF(Person1!$B$16+ROW(B15)-1&lt;=Person1!$C$16, Person1!$B$16+ROW(B15)-1, "")</f>
        <v/>
      </c>
      <c r="O17" s="1" t="str">
        <f>IF(Person1!$B$17+ROW(B15)-1&lt;=Person1!$C$17, Person1!$B$17+ROW(B15)-1, "")</f>
        <v/>
      </c>
      <c r="V17" s="1" t="str">
        <f>IF(Person1!$D$3+ROW(A15)-1&lt;=Person1!$E$3, Person1!$D$3+ROW(A15)-1, "")</f>
        <v/>
      </c>
      <c r="W17" s="1" t="str">
        <f>IF(Person1!$D$4+ROW(A15)-1&lt;=Person1!$E$4, Person1!$D$4+ROW(A15)-1, "")</f>
        <v/>
      </c>
      <c r="X17" s="1" t="str">
        <f>IF(Person1!$D$5+ROW(A15)-1&lt;=Person1!$E$5, Person1!$D$5+ROW(A15)-1, "")</f>
        <v/>
      </c>
      <c r="Y17" s="1" t="str">
        <f>IF(Person1!$D$6+ROW(A15)-1&lt;=Person1!$E$6, Person1!$D$6+ROW(A15)-1, "")</f>
        <v/>
      </c>
      <c r="Z17" s="1" t="str">
        <f>IF(Person1!$D$7+ROW(A15)-1&lt;=Person1!$E$7, Person1!$D$7+ROW(A15)-1, "")</f>
        <v/>
      </c>
      <c r="AA17" s="1" t="str">
        <f>IF(Person1!$D$8+ROW(A15)-1&lt;=Person1!$E$8, Person1!$D$8+ROW(A15)-1, "")</f>
        <v/>
      </c>
      <c r="AE17" s="1" t="str">
        <f>IF(Person1!$F$3+ROW(A15)-1&lt;=Person1!$G$3, Person1!$F$3+ROW(A15)-1, "")</f>
        <v/>
      </c>
      <c r="AF17" s="1" t="str">
        <f>IF(Person1!$F$4+ROW(A15)-1&lt;=Person1!$G$4, Person1!$F$4+ROW(A15)-1, "")</f>
        <v/>
      </c>
      <c r="AG17" s="1" t="str">
        <f>IF(Person1!$F$5+ROW(A15)-1&lt;=Person1!$G$5, Person1!$F$5+ROW(A15)-1, "")</f>
        <v/>
      </c>
      <c r="AH17" s="1" t="str">
        <f>IF(Person1!$F$6+ROW(A15)-1&lt;=Person1!$G$6, Person1!$F$6+ROW(A15)-1, "")</f>
        <v/>
      </c>
      <c r="AI17" s="1" t="str">
        <f>IF(Person1!$F$7+ROW(A15)-1&lt;=Person1!$G$7, Person1!$F$7+ROW(A15)-1, "")</f>
        <v/>
      </c>
    </row>
    <row r="18" spans="1:35" x14ac:dyDescent="0.3">
      <c r="A18" s="1" t="str">
        <f>IF(Person1!$B$3+ROW(A16)-1&lt;=Person1!$C$3, Person1!$B$3+ROW(A16)-1, "")</f>
        <v/>
      </c>
      <c r="B18" s="1" t="str">
        <f>IF(Person1!$B$4+ROW(B16)-1&lt;=Person1!$C$4, Person1!$B$4+ROW(B16)-1, "")</f>
        <v/>
      </c>
      <c r="C18" s="1" t="str">
        <f>IF(Person1!$B$5+ROW(B16)-1&lt;=Person1!$C$5, Person1!$B$5+ROW(B16)-1, "")</f>
        <v/>
      </c>
      <c r="D18" s="1" t="str">
        <f>IF(Person1!$B$6+ROW(B16)-1&lt;=Person1!$C$6, Person1!$B$6+ROW(B16)-1, "")</f>
        <v/>
      </c>
      <c r="E18" s="1" t="str">
        <f>IF(Person1!$B$7+ROW(B16)-1&lt;=Person1!$C$7, Person1!$B$7+ROW(B16)-1, "")</f>
        <v/>
      </c>
      <c r="F18" s="1" t="str">
        <f>IF(Person1!$B$8+ROW(B16)-1&lt;=Person1!$C$8, Person1!$B$8+ROW(B16)-1, "")</f>
        <v/>
      </c>
      <c r="G18" s="1" t="str">
        <f>IF(Person1!$B$9+ROW(B16)-1&lt;=Person1!$C$9, Person1!$B$9+ROW(B16)-1, "")</f>
        <v/>
      </c>
      <c r="H18" s="1" t="str">
        <f>IF(Person1!$B$10+ROW(B16)-1&lt;=Person1!$C$10, Person1!$B$10+ROW(B16)-1, "")</f>
        <v/>
      </c>
      <c r="I18" s="1" t="str">
        <f>IF(Person1!$B$11+ROW(B16)-1&lt;=Person1!$C$11, Person1!$B$11+ROW(B16)-1, "")</f>
        <v/>
      </c>
      <c r="J18" s="1" t="str">
        <f>IF(Person1!$B$12+ROW(B16)-1&lt;=Person1!$C$12, Person1!$B$12+ROW(B16)-1, "")</f>
        <v/>
      </c>
      <c r="K18" s="1" t="str">
        <f>IF(Person1!$B$13+ROW(B16)-1&lt;=Person1!$C$13, Person1!$B$13+ROW(B16)-1, "")</f>
        <v/>
      </c>
      <c r="L18" s="1" t="str">
        <f>IF(Person1!$B$14+ROW(B16)-1&lt;=Person1!$C$14, Person1!$B$14+ROW(B16)-1, "")</f>
        <v/>
      </c>
      <c r="M18" s="1" t="str">
        <f>IF(Person1!$B$15+ROW(B16)-1&lt;=Person1!$C$15, Person1!$B$15+ROW(B16)-1, "")</f>
        <v/>
      </c>
      <c r="N18" s="1" t="str">
        <f>IF(Person1!$B$16+ROW(B16)-1&lt;=Person1!$C$16, Person1!$B$16+ROW(B16)-1, "")</f>
        <v/>
      </c>
      <c r="O18" s="1" t="str">
        <f>IF(Person1!$B$17+ROW(B16)-1&lt;=Person1!$C$17, Person1!$B$17+ROW(B16)-1, "")</f>
        <v/>
      </c>
      <c r="V18" s="1" t="str">
        <f>IF(Person1!$D$3+ROW(A16)-1&lt;=Person1!$E$3, Person1!$D$3+ROW(A16)-1, "")</f>
        <v/>
      </c>
      <c r="W18" s="1" t="str">
        <f>IF(Person1!$D$4+ROW(A16)-1&lt;=Person1!$E$4, Person1!$D$4+ROW(A16)-1, "")</f>
        <v/>
      </c>
      <c r="X18" s="1" t="str">
        <f>IF(Person1!$D$5+ROW(A16)-1&lt;=Person1!$E$5, Person1!$D$5+ROW(A16)-1, "")</f>
        <v/>
      </c>
      <c r="Y18" s="1" t="str">
        <f>IF(Person1!$D$6+ROW(A16)-1&lt;=Person1!$E$6, Person1!$D$6+ROW(A16)-1, "")</f>
        <v/>
      </c>
      <c r="Z18" s="1" t="str">
        <f>IF(Person1!$D$7+ROW(A16)-1&lt;=Person1!$E$7, Person1!$D$7+ROW(A16)-1, "")</f>
        <v/>
      </c>
      <c r="AA18" s="1" t="str">
        <f>IF(Person1!$D$8+ROW(A16)-1&lt;=Person1!$E$8, Person1!$D$8+ROW(A16)-1, "")</f>
        <v/>
      </c>
      <c r="AE18" s="1" t="str">
        <f>IF(Person1!$F$3+ROW(A16)-1&lt;=Person1!$G$3, Person1!$F$3+ROW(A16)-1, "")</f>
        <v/>
      </c>
      <c r="AF18" s="1" t="str">
        <f>IF(Person1!$F$4+ROW(A16)-1&lt;=Person1!$G$4, Person1!$F$4+ROW(A16)-1, "")</f>
        <v/>
      </c>
      <c r="AG18" s="1" t="str">
        <f>IF(Person1!$F$5+ROW(A16)-1&lt;=Person1!$G$5, Person1!$F$5+ROW(A16)-1, "")</f>
        <v/>
      </c>
      <c r="AH18" s="1" t="str">
        <f>IF(Person1!$F$6+ROW(A16)-1&lt;=Person1!$G$6, Person1!$F$6+ROW(A16)-1, "")</f>
        <v/>
      </c>
      <c r="AI18" s="1" t="str">
        <f>IF(Person1!$F$7+ROW(A16)-1&lt;=Person1!$G$7, Person1!$F$7+ROW(A16)-1, "")</f>
        <v/>
      </c>
    </row>
    <row r="19" spans="1:35" x14ac:dyDescent="0.3">
      <c r="A19" s="1" t="str">
        <f>IF(Person1!$B$3+ROW(A17)-1&lt;=Person1!$C$3, Person1!$B$3+ROW(A17)-1, "")</f>
        <v/>
      </c>
      <c r="B19" s="1" t="str">
        <f>IF(Person1!$B$4+ROW(B17)-1&lt;=Person1!$C$4, Person1!$B$4+ROW(B17)-1, "")</f>
        <v/>
      </c>
      <c r="C19" s="1" t="str">
        <f>IF(Person1!$B$5+ROW(B17)-1&lt;=Person1!$C$5, Person1!$B$5+ROW(B17)-1, "")</f>
        <v/>
      </c>
      <c r="D19" s="1" t="str">
        <f>IF(Person1!$B$6+ROW(B17)-1&lt;=Person1!$C$6, Person1!$B$6+ROW(B17)-1, "")</f>
        <v/>
      </c>
      <c r="E19" s="1" t="str">
        <f>IF(Person1!$B$7+ROW(B17)-1&lt;=Person1!$C$7, Person1!$B$7+ROW(B17)-1, "")</f>
        <v/>
      </c>
      <c r="F19" s="1" t="str">
        <f>IF(Person1!$B$8+ROW(B17)-1&lt;=Person1!$C$8, Person1!$B$8+ROW(B17)-1, "")</f>
        <v/>
      </c>
      <c r="G19" s="1" t="str">
        <f>IF(Person1!$B$9+ROW(B17)-1&lt;=Person1!$C$9, Person1!$B$9+ROW(B17)-1, "")</f>
        <v/>
      </c>
      <c r="H19" s="1" t="str">
        <f>IF(Person1!$B$10+ROW(B17)-1&lt;=Person1!$C$10, Person1!$B$10+ROW(B17)-1, "")</f>
        <v/>
      </c>
      <c r="I19" s="1" t="str">
        <f>IF(Person1!$B$11+ROW(B17)-1&lt;=Person1!$C$11, Person1!$B$11+ROW(B17)-1, "")</f>
        <v/>
      </c>
      <c r="J19" s="1" t="str">
        <f>IF(Person1!$B$12+ROW(B17)-1&lt;=Person1!$C$12, Person1!$B$12+ROW(B17)-1, "")</f>
        <v/>
      </c>
      <c r="K19" s="1" t="str">
        <f>IF(Person1!$B$13+ROW(B17)-1&lt;=Person1!$C$13, Person1!$B$13+ROW(B17)-1, "")</f>
        <v/>
      </c>
      <c r="L19" s="1" t="str">
        <f>IF(Person1!$B$14+ROW(B17)-1&lt;=Person1!$C$14, Person1!$B$14+ROW(B17)-1, "")</f>
        <v/>
      </c>
      <c r="M19" s="1" t="str">
        <f>IF(Person1!$B$15+ROW(B17)-1&lt;=Person1!$C$15, Person1!$B$15+ROW(B17)-1, "")</f>
        <v/>
      </c>
      <c r="N19" s="1" t="str">
        <f>IF(Person1!$B$16+ROW(B17)-1&lt;=Person1!$C$16, Person1!$B$16+ROW(B17)-1, "")</f>
        <v/>
      </c>
      <c r="O19" s="1" t="str">
        <f>IF(Person1!$B$17+ROW(B17)-1&lt;=Person1!$C$17, Person1!$B$17+ROW(B17)-1, "")</f>
        <v/>
      </c>
      <c r="V19" s="1" t="str">
        <f>IF(Person1!$D$3+ROW(A17)-1&lt;=Person1!$E$3, Person1!$D$3+ROW(A17)-1, "")</f>
        <v/>
      </c>
      <c r="W19" s="1" t="str">
        <f>IF(Person1!$D$4+ROW(A17)-1&lt;=Person1!$E$4, Person1!$D$4+ROW(A17)-1, "")</f>
        <v/>
      </c>
      <c r="X19" s="1" t="str">
        <f>IF(Person1!$D$5+ROW(A17)-1&lt;=Person1!$E$5, Person1!$D$5+ROW(A17)-1, "")</f>
        <v/>
      </c>
      <c r="Y19" s="1" t="str">
        <f>IF(Person1!$D$6+ROW(A17)-1&lt;=Person1!$E$6, Person1!$D$6+ROW(A17)-1, "")</f>
        <v/>
      </c>
      <c r="Z19" s="1" t="str">
        <f>IF(Person1!$D$7+ROW(A17)-1&lt;=Person1!$E$7, Person1!$D$7+ROW(A17)-1, "")</f>
        <v/>
      </c>
      <c r="AA19" s="1" t="str">
        <f>IF(Person1!$D$8+ROW(A17)-1&lt;=Person1!$E$8, Person1!$D$8+ROW(A17)-1, "")</f>
        <v/>
      </c>
      <c r="AE19" s="1" t="str">
        <f>IF(Person1!$F$3+ROW(A17)-1&lt;=Person1!$G$3, Person1!$F$3+ROW(A17)-1, "")</f>
        <v/>
      </c>
      <c r="AF19" s="1" t="str">
        <f>IF(Person1!$F$4+ROW(A17)-1&lt;=Person1!$G$4, Person1!$F$4+ROW(A17)-1, "")</f>
        <v/>
      </c>
      <c r="AG19" s="1" t="str">
        <f>IF(Person1!$F$5+ROW(A17)-1&lt;=Person1!$G$5, Person1!$F$5+ROW(A17)-1, "")</f>
        <v/>
      </c>
      <c r="AH19" s="1" t="str">
        <f>IF(Person1!$F$6+ROW(A17)-1&lt;=Person1!$G$6, Person1!$F$6+ROW(A17)-1, "")</f>
        <v/>
      </c>
      <c r="AI19" s="1" t="str">
        <f>IF(Person1!$F$7+ROW(A17)-1&lt;=Person1!$G$7, Person1!$F$7+ROW(A17)-1, "")</f>
        <v/>
      </c>
    </row>
    <row r="20" spans="1:35" x14ac:dyDescent="0.3">
      <c r="A20" s="1" t="str">
        <f>IF(Person1!$B$3+ROW(A18)-1&lt;=Person1!$C$3, Person1!$B$3+ROW(A18)-1, "")</f>
        <v/>
      </c>
      <c r="B20" s="1" t="str">
        <f>IF(Person1!$B$4+ROW(B18)-1&lt;=Person1!$C$4, Person1!$B$4+ROW(B18)-1, "")</f>
        <v/>
      </c>
      <c r="C20" s="1" t="str">
        <f>IF(Person1!$B$5+ROW(B18)-1&lt;=Person1!$C$5, Person1!$B$5+ROW(B18)-1, "")</f>
        <v/>
      </c>
      <c r="D20" s="1" t="str">
        <f>IF(Person1!$B$6+ROW(B18)-1&lt;=Person1!$C$6, Person1!$B$6+ROW(B18)-1, "")</f>
        <v/>
      </c>
      <c r="E20" s="1" t="str">
        <f>IF(Person1!$B$7+ROW(B18)-1&lt;=Person1!$C$7, Person1!$B$7+ROW(B18)-1, "")</f>
        <v/>
      </c>
      <c r="F20" s="1" t="str">
        <f>IF(Person1!$B$8+ROW(B18)-1&lt;=Person1!$C$8, Person1!$B$8+ROW(B18)-1, "")</f>
        <v/>
      </c>
      <c r="G20" s="1" t="str">
        <f>IF(Person1!$B$9+ROW(B18)-1&lt;=Person1!$C$9, Person1!$B$9+ROW(B18)-1, "")</f>
        <v/>
      </c>
      <c r="H20" s="1" t="str">
        <f>IF(Person1!$B$10+ROW(B18)-1&lt;=Person1!$C$10, Person1!$B$10+ROW(B18)-1, "")</f>
        <v/>
      </c>
      <c r="I20" s="1" t="str">
        <f>IF(Person1!$B$11+ROW(B18)-1&lt;=Person1!$C$11, Person1!$B$11+ROW(B18)-1, "")</f>
        <v/>
      </c>
      <c r="J20" s="1" t="str">
        <f>IF(Person1!$B$12+ROW(B18)-1&lt;=Person1!$C$12, Person1!$B$12+ROW(B18)-1, "")</f>
        <v/>
      </c>
      <c r="K20" s="1" t="str">
        <f>IF(Person1!$B$13+ROW(B18)-1&lt;=Person1!$C$13, Person1!$B$13+ROW(B18)-1, "")</f>
        <v/>
      </c>
      <c r="L20" s="1" t="str">
        <f>IF(Person1!$B$14+ROW(B18)-1&lt;=Person1!$C$14, Person1!$B$14+ROW(B18)-1, "")</f>
        <v/>
      </c>
      <c r="M20" s="1" t="str">
        <f>IF(Person1!$B$15+ROW(B18)-1&lt;=Person1!$C$15, Person1!$B$15+ROW(B18)-1, "")</f>
        <v/>
      </c>
      <c r="N20" s="1" t="str">
        <f>IF(Person1!$B$16+ROW(B18)-1&lt;=Person1!$C$16, Person1!$B$16+ROW(B18)-1, "")</f>
        <v/>
      </c>
      <c r="O20" s="1" t="str">
        <f>IF(Person1!$B$17+ROW(B18)-1&lt;=Person1!$C$17, Person1!$B$17+ROW(B18)-1, "")</f>
        <v/>
      </c>
      <c r="V20" s="1" t="str">
        <f>IF(Person1!$D$3+ROW(A18)-1&lt;=Person1!$E$3, Person1!$D$3+ROW(A18)-1, "")</f>
        <v/>
      </c>
      <c r="W20" s="1" t="str">
        <f>IF(Person1!$D$4+ROW(A18)-1&lt;=Person1!$E$4, Person1!$D$4+ROW(A18)-1, "")</f>
        <v/>
      </c>
      <c r="X20" s="1" t="str">
        <f>IF(Person1!$D$5+ROW(A18)-1&lt;=Person1!$E$5, Person1!$D$5+ROW(A18)-1, "")</f>
        <v/>
      </c>
      <c r="Y20" s="1" t="str">
        <f>IF(Person1!$D$6+ROW(A18)-1&lt;=Person1!$E$6, Person1!$D$6+ROW(A18)-1, "")</f>
        <v/>
      </c>
      <c r="Z20" s="1" t="str">
        <f>IF(Person1!$D$7+ROW(A18)-1&lt;=Person1!$E$7, Person1!$D$7+ROW(A18)-1, "")</f>
        <v/>
      </c>
      <c r="AA20" s="1" t="str">
        <f>IF(Person1!$D$8+ROW(A18)-1&lt;=Person1!$E$8, Person1!$D$8+ROW(A18)-1, "")</f>
        <v/>
      </c>
      <c r="AE20" s="1" t="str">
        <f>IF(Person1!$F$3+ROW(A18)-1&lt;=Person1!$G$3, Person1!$F$3+ROW(A18)-1, "")</f>
        <v/>
      </c>
      <c r="AF20" s="1" t="str">
        <f>IF(Person1!$F$4+ROW(A18)-1&lt;=Person1!$G$4, Person1!$F$4+ROW(A18)-1, "")</f>
        <v/>
      </c>
      <c r="AG20" s="1" t="str">
        <f>IF(Person1!$F$5+ROW(A18)-1&lt;=Person1!$G$5, Person1!$F$5+ROW(A18)-1, "")</f>
        <v/>
      </c>
      <c r="AH20" s="1" t="str">
        <f>IF(Person1!$F$6+ROW(A18)-1&lt;=Person1!$G$6, Person1!$F$6+ROW(A18)-1, "")</f>
        <v/>
      </c>
      <c r="AI20" s="1" t="str">
        <f>IF(Person1!$F$7+ROW(A18)-1&lt;=Person1!$G$7, Person1!$F$7+ROW(A18)-1, "")</f>
        <v/>
      </c>
    </row>
    <row r="21" spans="1:35" x14ac:dyDescent="0.3">
      <c r="A21" s="1" t="str">
        <f>IF(Person1!$B$3+ROW(A19)-1&lt;=Person1!$C$3, Person1!$B$3+ROW(A19)-1, "")</f>
        <v/>
      </c>
      <c r="B21" s="1" t="str">
        <f>IF(Person1!$B$4+ROW(B19)-1&lt;=Person1!$C$4, Person1!$B$4+ROW(B19)-1, "")</f>
        <v/>
      </c>
      <c r="C21" s="1" t="str">
        <f>IF(Person1!$B$5+ROW(B19)-1&lt;=Person1!$C$5, Person1!$B$5+ROW(B19)-1, "")</f>
        <v/>
      </c>
      <c r="D21" s="1" t="str">
        <f>IF(Person1!$B$6+ROW(B19)-1&lt;=Person1!$C$6, Person1!$B$6+ROW(B19)-1, "")</f>
        <v/>
      </c>
      <c r="E21" s="1" t="str">
        <f>IF(Person1!$B$7+ROW(B19)-1&lt;=Person1!$C$7, Person1!$B$7+ROW(B19)-1, "")</f>
        <v/>
      </c>
      <c r="F21" s="1" t="str">
        <f>IF(Person1!$B$8+ROW(B19)-1&lt;=Person1!$C$8, Person1!$B$8+ROW(B19)-1, "")</f>
        <v/>
      </c>
      <c r="G21" s="1" t="str">
        <f>IF(Person1!$B$9+ROW(B19)-1&lt;=Person1!$C$9, Person1!$B$9+ROW(B19)-1, "")</f>
        <v/>
      </c>
      <c r="H21" s="1" t="str">
        <f>IF(Person1!$B$10+ROW(B19)-1&lt;=Person1!$C$10, Person1!$B$10+ROW(B19)-1, "")</f>
        <v/>
      </c>
      <c r="I21" s="1" t="str">
        <f>IF(Person1!$B$11+ROW(B19)-1&lt;=Person1!$C$11, Person1!$B$11+ROW(B19)-1, "")</f>
        <v/>
      </c>
      <c r="J21" s="1" t="str">
        <f>IF(Person1!$B$12+ROW(B19)-1&lt;=Person1!$C$12, Person1!$B$12+ROW(B19)-1, "")</f>
        <v/>
      </c>
      <c r="K21" s="1" t="str">
        <f>IF(Person1!$B$13+ROW(B19)-1&lt;=Person1!$C$13, Person1!$B$13+ROW(B19)-1, "")</f>
        <v/>
      </c>
      <c r="L21" s="1" t="str">
        <f>IF(Person1!$B$14+ROW(B19)-1&lt;=Person1!$C$14, Person1!$B$14+ROW(B19)-1, "")</f>
        <v/>
      </c>
      <c r="M21" s="1" t="str">
        <f>IF(Person1!$B$15+ROW(B19)-1&lt;=Person1!$C$15, Person1!$B$15+ROW(B19)-1, "")</f>
        <v/>
      </c>
      <c r="N21" s="1" t="str">
        <f>IF(Person1!$B$16+ROW(B19)-1&lt;=Person1!$C$16, Person1!$B$16+ROW(B19)-1, "")</f>
        <v/>
      </c>
      <c r="O21" s="1" t="str">
        <f>IF(Person1!$B$17+ROW(B19)-1&lt;=Person1!$C$17, Person1!$B$17+ROW(B19)-1, "")</f>
        <v/>
      </c>
      <c r="V21" s="1" t="str">
        <f>IF(Person1!$D$3+ROW(A19)-1&lt;=Person1!$E$3, Person1!$D$3+ROW(A19)-1, "")</f>
        <v/>
      </c>
      <c r="W21" s="1" t="str">
        <f>IF(Person1!$D$4+ROW(A19)-1&lt;=Person1!$E$4, Person1!$D$4+ROW(A19)-1, "")</f>
        <v/>
      </c>
      <c r="X21" s="1" t="str">
        <f>IF(Person1!$D$5+ROW(A19)-1&lt;=Person1!$E$5, Person1!$D$5+ROW(A19)-1, "")</f>
        <v/>
      </c>
      <c r="Y21" s="1" t="str">
        <f>IF(Person1!$D$6+ROW(A19)-1&lt;=Person1!$E$6, Person1!$D$6+ROW(A19)-1, "")</f>
        <v/>
      </c>
      <c r="Z21" s="1" t="str">
        <f>IF(Person1!$D$7+ROW(A19)-1&lt;=Person1!$E$7, Person1!$D$7+ROW(A19)-1, "")</f>
        <v/>
      </c>
      <c r="AA21" s="1" t="str">
        <f>IF(Person1!$D$8+ROW(A19)-1&lt;=Person1!$E$8, Person1!$D$8+ROW(A19)-1, "")</f>
        <v/>
      </c>
      <c r="AE21" s="1" t="str">
        <f>IF(Person1!$F$3+ROW(A19)-1&lt;=Person1!$G$3, Person1!$F$3+ROW(A19)-1, "")</f>
        <v/>
      </c>
      <c r="AF21" s="1" t="str">
        <f>IF(Person1!$F$4+ROW(A19)-1&lt;=Person1!$G$4, Person1!$F$4+ROW(A19)-1, "")</f>
        <v/>
      </c>
      <c r="AG21" s="1" t="str">
        <f>IF(Person1!$F$5+ROW(A19)-1&lt;=Person1!$G$5, Person1!$F$5+ROW(A19)-1, "")</f>
        <v/>
      </c>
      <c r="AH21" s="1" t="str">
        <f>IF(Person1!$F$6+ROW(A19)-1&lt;=Person1!$G$6, Person1!$F$6+ROW(A19)-1, "")</f>
        <v/>
      </c>
      <c r="AI21" s="1" t="str">
        <f>IF(Person1!$F$7+ROW(A19)-1&lt;=Person1!$G$7, Person1!$F$7+ROW(A19)-1, "")</f>
        <v/>
      </c>
    </row>
    <row r="22" spans="1:35" x14ac:dyDescent="0.3">
      <c r="A22" s="1" t="str">
        <f>IF(Person1!$B$3+ROW(A20)-1&lt;=Person1!$C$3, Person1!$B$3+ROW(A20)-1, "")</f>
        <v/>
      </c>
      <c r="B22" s="1" t="str">
        <f>IF(Person1!$B$4+ROW(B20)-1&lt;=Person1!$C$4, Person1!$B$4+ROW(B20)-1, "")</f>
        <v/>
      </c>
      <c r="C22" s="1" t="str">
        <f>IF(Person1!$B$5+ROW(B20)-1&lt;=Person1!$C$5, Person1!$B$5+ROW(B20)-1, "")</f>
        <v/>
      </c>
      <c r="D22" s="1" t="str">
        <f>IF(Person1!$B$6+ROW(B20)-1&lt;=Person1!$C$6, Person1!$B$6+ROW(B20)-1, "")</f>
        <v/>
      </c>
      <c r="E22" s="1" t="str">
        <f>IF(Person1!$B$7+ROW(B20)-1&lt;=Person1!$C$7, Person1!$B$7+ROW(B20)-1, "")</f>
        <v/>
      </c>
      <c r="F22" s="1" t="str">
        <f>IF(Person1!$B$8+ROW(B20)-1&lt;=Person1!$C$8, Person1!$B$8+ROW(B20)-1, "")</f>
        <v/>
      </c>
      <c r="G22" s="1" t="str">
        <f>IF(Person1!$B$9+ROW(B20)-1&lt;=Person1!$C$9, Person1!$B$9+ROW(B20)-1, "")</f>
        <v/>
      </c>
      <c r="H22" s="1" t="str">
        <f>IF(Person1!$B$10+ROW(B20)-1&lt;=Person1!$C$10, Person1!$B$10+ROW(B20)-1, "")</f>
        <v/>
      </c>
      <c r="I22" s="1" t="str">
        <f>IF(Person1!$B$11+ROW(B20)-1&lt;=Person1!$C$11, Person1!$B$11+ROW(B20)-1, "")</f>
        <v/>
      </c>
      <c r="J22" s="1" t="str">
        <f>IF(Person1!$B$12+ROW(B20)-1&lt;=Person1!$C$12, Person1!$B$12+ROW(B20)-1, "")</f>
        <v/>
      </c>
      <c r="K22" s="1" t="str">
        <f>IF(Person1!$B$13+ROW(B20)-1&lt;=Person1!$C$13, Person1!$B$13+ROW(B20)-1, "")</f>
        <v/>
      </c>
      <c r="L22" s="1" t="str">
        <f>IF(Person1!$B$14+ROW(B20)-1&lt;=Person1!$C$14, Person1!$B$14+ROW(B20)-1, "")</f>
        <v/>
      </c>
      <c r="M22" s="1" t="str">
        <f>IF(Person1!$B$15+ROW(B20)-1&lt;=Person1!$C$15, Person1!$B$15+ROW(B20)-1, "")</f>
        <v/>
      </c>
      <c r="N22" s="1" t="str">
        <f>IF(Person1!$B$16+ROW(B20)-1&lt;=Person1!$C$16, Person1!$B$16+ROW(B20)-1, "")</f>
        <v/>
      </c>
      <c r="O22" s="1" t="str">
        <f>IF(Person1!$B$17+ROW(B20)-1&lt;=Person1!$C$17, Person1!$B$17+ROW(B20)-1, "")</f>
        <v/>
      </c>
      <c r="V22" s="1" t="str">
        <f>IF(Person1!$D$3+ROW(A20)-1&lt;=Person1!$E$3, Person1!$D$3+ROW(A20)-1, "")</f>
        <v/>
      </c>
      <c r="W22" s="1" t="str">
        <f>IF(Person1!$D$4+ROW(A20)-1&lt;=Person1!$E$4, Person1!$D$4+ROW(A20)-1, "")</f>
        <v/>
      </c>
      <c r="X22" s="1" t="str">
        <f>IF(Person1!$D$5+ROW(A20)-1&lt;=Person1!$E$5, Person1!$D$5+ROW(A20)-1, "")</f>
        <v/>
      </c>
      <c r="Y22" s="1" t="str">
        <f>IF(Person1!$D$6+ROW(A20)-1&lt;=Person1!$E$6, Person1!$D$6+ROW(A20)-1, "")</f>
        <v/>
      </c>
      <c r="Z22" s="1" t="str">
        <f>IF(Person1!$D$7+ROW(A20)-1&lt;=Person1!$E$7, Person1!$D$7+ROW(A20)-1, "")</f>
        <v/>
      </c>
      <c r="AA22" s="1" t="str">
        <f>IF(Person1!$D$8+ROW(A20)-1&lt;=Person1!$E$8, Person1!$D$8+ROW(A20)-1, "")</f>
        <v/>
      </c>
      <c r="AE22" s="1" t="str">
        <f>IF(Person1!$F$3+ROW(A20)-1&lt;=Person1!$G$3, Person1!$F$3+ROW(A20)-1, "")</f>
        <v/>
      </c>
      <c r="AF22" s="1" t="str">
        <f>IF(Person1!$F$4+ROW(A20)-1&lt;=Person1!$G$4, Person1!$F$4+ROW(A20)-1, "")</f>
        <v/>
      </c>
      <c r="AG22" s="1" t="str">
        <f>IF(Person1!$F$5+ROW(A20)-1&lt;=Person1!$G$5, Person1!$F$5+ROW(A20)-1, "")</f>
        <v/>
      </c>
      <c r="AH22" s="1" t="str">
        <f>IF(Person1!$F$6+ROW(A20)-1&lt;=Person1!$G$6, Person1!$F$6+ROW(A20)-1, "")</f>
        <v/>
      </c>
      <c r="AI22" s="1" t="str">
        <f>IF(Person1!$F$7+ROW(A20)-1&lt;=Person1!$G$7, Person1!$F$7+ROW(A20)-1, "")</f>
        <v/>
      </c>
    </row>
    <row r="23" spans="1:35" x14ac:dyDescent="0.3">
      <c r="A23" s="1" t="str">
        <f>IF(Person1!$B$3+ROW(A21)-1&lt;=Person1!$C$3, Person1!$B$3+ROW(A21)-1, "")</f>
        <v/>
      </c>
      <c r="B23" s="1" t="str">
        <f>IF(Person1!$B$4+ROW(B21)-1&lt;=Person1!$C$4, Person1!$B$4+ROW(B21)-1, "")</f>
        <v/>
      </c>
      <c r="C23" s="1" t="str">
        <f>IF(Person1!$B$5+ROW(B21)-1&lt;=Person1!$C$5, Person1!$B$5+ROW(B21)-1, "")</f>
        <v/>
      </c>
      <c r="D23" s="1" t="str">
        <f>IF(Person1!$B$6+ROW(B21)-1&lt;=Person1!$C$6, Person1!$B$6+ROW(B21)-1, "")</f>
        <v/>
      </c>
      <c r="E23" s="1" t="str">
        <f>IF(Person1!$B$7+ROW(B21)-1&lt;=Person1!$C$7, Person1!$B$7+ROW(B21)-1, "")</f>
        <v/>
      </c>
      <c r="F23" s="1" t="str">
        <f>IF(Person1!$B$8+ROW(B21)-1&lt;=Person1!$C$8, Person1!$B$8+ROW(B21)-1, "")</f>
        <v/>
      </c>
      <c r="G23" s="1" t="str">
        <f>IF(Person1!$B$9+ROW(B21)-1&lt;=Person1!$C$9, Person1!$B$9+ROW(B21)-1, "")</f>
        <v/>
      </c>
      <c r="H23" s="1" t="str">
        <f>IF(Person1!$B$10+ROW(B21)-1&lt;=Person1!$C$10, Person1!$B$10+ROW(B21)-1, "")</f>
        <v/>
      </c>
      <c r="I23" s="1" t="str">
        <f>IF(Person1!$B$11+ROW(B21)-1&lt;=Person1!$C$11, Person1!$B$11+ROW(B21)-1, "")</f>
        <v/>
      </c>
      <c r="J23" s="1" t="str">
        <f>IF(Person1!$B$12+ROW(B21)-1&lt;=Person1!$C$12, Person1!$B$12+ROW(B21)-1, "")</f>
        <v/>
      </c>
      <c r="K23" s="1" t="str">
        <f>IF(Person1!$B$13+ROW(B21)-1&lt;=Person1!$C$13, Person1!$B$13+ROW(B21)-1, "")</f>
        <v/>
      </c>
      <c r="L23" s="1" t="str">
        <f>IF(Person1!$B$14+ROW(B21)-1&lt;=Person1!$C$14, Person1!$B$14+ROW(B21)-1, "")</f>
        <v/>
      </c>
      <c r="M23" s="1" t="str">
        <f>IF(Person1!$B$15+ROW(B21)-1&lt;=Person1!$C$15, Person1!$B$15+ROW(B21)-1, "")</f>
        <v/>
      </c>
      <c r="N23" s="1" t="str">
        <f>IF(Person1!$B$16+ROW(B21)-1&lt;=Person1!$C$16, Person1!$B$16+ROW(B21)-1, "")</f>
        <v/>
      </c>
      <c r="O23" s="1" t="str">
        <f>IF(Person1!$B$17+ROW(B21)-1&lt;=Person1!$C$17, Person1!$B$17+ROW(B21)-1, "")</f>
        <v/>
      </c>
      <c r="V23" s="1" t="str">
        <f>IF(Person1!$D$3+ROW(A21)-1&lt;=Person1!$E$3, Person1!$D$3+ROW(A21)-1, "")</f>
        <v/>
      </c>
      <c r="W23" s="1" t="str">
        <f>IF(Person1!$D$4+ROW(A21)-1&lt;=Person1!$E$4, Person1!$D$4+ROW(A21)-1, "")</f>
        <v/>
      </c>
      <c r="X23" s="1" t="str">
        <f>IF(Person1!$D$5+ROW(A21)-1&lt;=Person1!$E$5, Person1!$D$5+ROW(A21)-1, "")</f>
        <v/>
      </c>
      <c r="Y23" s="1" t="str">
        <f>IF(Person1!$D$6+ROW(A21)-1&lt;=Person1!$E$6, Person1!$D$6+ROW(A21)-1, "")</f>
        <v/>
      </c>
      <c r="Z23" s="1" t="str">
        <f>IF(Person1!$D$7+ROW(A21)-1&lt;=Person1!$E$7, Person1!$D$7+ROW(A21)-1, "")</f>
        <v/>
      </c>
      <c r="AA23" s="1" t="str">
        <f>IF(Person1!$D$8+ROW(A21)-1&lt;=Person1!$E$8, Person1!$D$8+ROW(A21)-1, "")</f>
        <v/>
      </c>
      <c r="AE23" s="1" t="str">
        <f>IF(Person1!$F$3+ROW(A21)-1&lt;=Person1!$G$3, Person1!$F$3+ROW(A21)-1, "")</f>
        <v/>
      </c>
      <c r="AF23" s="1" t="str">
        <f>IF(Person1!$F$4+ROW(A21)-1&lt;=Person1!$G$4, Person1!$F$4+ROW(A21)-1, "")</f>
        <v/>
      </c>
      <c r="AG23" s="1" t="str">
        <f>IF(Person1!$F$5+ROW(A21)-1&lt;=Person1!$G$5, Person1!$F$5+ROW(A21)-1, "")</f>
        <v/>
      </c>
      <c r="AH23" s="1" t="str">
        <f>IF(Person1!$F$6+ROW(A21)-1&lt;=Person1!$G$6, Person1!$F$6+ROW(A21)-1, "")</f>
        <v/>
      </c>
      <c r="AI23" s="1" t="str">
        <f>IF(Person1!$F$7+ROW(A21)-1&lt;=Person1!$G$7, Person1!$F$7+ROW(A21)-1, "")</f>
        <v/>
      </c>
    </row>
    <row r="24" spans="1:35" x14ac:dyDescent="0.3">
      <c r="A24" s="1" t="str">
        <f>IF(Person1!$B$3+ROW(A22)-1&lt;=Person1!$C$3, Person1!$B$3+ROW(A22)-1, "")</f>
        <v/>
      </c>
      <c r="B24" s="1" t="str">
        <f>IF(Person1!$B$4+ROW(B22)-1&lt;=Person1!$C$4, Person1!$B$4+ROW(B22)-1, "")</f>
        <v/>
      </c>
      <c r="C24" s="1" t="str">
        <f>IF(Person1!$B$5+ROW(B22)-1&lt;=Person1!$C$5, Person1!$B$5+ROW(B22)-1, "")</f>
        <v/>
      </c>
      <c r="D24" s="1" t="str">
        <f>IF(Person1!$B$6+ROW(B22)-1&lt;=Person1!$C$6, Person1!$B$6+ROW(B22)-1, "")</f>
        <v/>
      </c>
      <c r="E24" s="1" t="str">
        <f>IF(Person1!$B$7+ROW(B22)-1&lt;=Person1!$C$7, Person1!$B$7+ROW(B22)-1, "")</f>
        <v/>
      </c>
      <c r="F24" s="1" t="str">
        <f>IF(Person1!$B$8+ROW(B22)-1&lt;=Person1!$C$8, Person1!$B$8+ROW(B22)-1, "")</f>
        <v/>
      </c>
      <c r="G24" s="1" t="str">
        <f>IF(Person1!$B$9+ROW(B22)-1&lt;=Person1!$C$9, Person1!$B$9+ROW(B22)-1, "")</f>
        <v/>
      </c>
      <c r="H24" s="1" t="str">
        <f>IF(Person1!$B$10+ROW(B22)-1&lt;=Person1!$C$10, Person1!$B$10+ROW(B22)-1, "")</f>
        <v/>
      </c>
      <c r="I24" s="1" t="str">
        <f>IF(Person1!$B$11+ROW(B22)-1&lt;=Person1!$C$11, Person1!$B$11+ROW(B22)-1, "")</f>
        <v/>
      </c>
      <c r="J24" s="1" t="str">
        <f>IF(Person1!$B$12+ROW(B22)-1&lt;=Person1!$C$12, Person1!$B$12+ROW(B22)-1, "")</f>
        <v/>
      </c>
      <c r="K24" s="1" t="str">
        <f>IF(Person1!$B$13+ROW(B22)-1&lt;=Person1!$C$13, Person1!$B$13+ROW(B22)-1, "")</f>
        <v/>
      </c>
      <c r="L24" s="1" t="str">
        <f>IF(Person1!$B$14+ROW(B22)-1&lt;=Person1!$C$14, Person1!$B$14+ROW(B22)-1, "")</f>
        <v/>
      </c>
      <c r="M24" s="1" t="str">
        <f>IF(Person1!$B$15+ROW(B22)-1&lt;=Person1!$C$15, Person1!$B$15+ROW(B22)-1, "")</f>
        <v/>
      </c>
      <c r="N24" s="1" t="str">
        <f>IF(Person1!$B$16+ROW(B22)-1&lt;=Person1!$C$16, Person1!$B$16+ROW(B22)-1, "")</f>
        <v/>
      </c>
      <c r="O24" s="1" t="str">
        <f>IF(Person1!$B$17+ROW(B22)-1&lt;=Person1!$C$17, Person1!$B$17+ROW(B22)-1, "")</f>
        <v/>
      </c>
      <c r="V24" s="1" t="str">
        <f>IF(Person1!$D$3+ROW(A22)-1&lt;=Person1!$E$3, Person1!$D$3+ROW(A22)-1, "")</f>
        <v/>
      </c>
      <c r="W24" s="1" t="str">
        <f>IF(Person1!$D$4+ROW(A22)-1&lt;=Person1!$E$4, Person1!$D$4+ROW(A22)-1, "")</f>
        <v/>
      </c>
      <c r="X24" s="1" t="str">
        <f>IF(Person1!$D$5+ROW(A22)-1&lt;=Person1!$E$5, Person1!$D$5+ROW(A22)-1, "")</f>
        <v/>
      </c>
      <c r="Y24" s="1" t="str">
        <f>IF(Person1!$D$6+ROW(A22)-1&lt;=Person1!$E$6, Person1!$D$6+ROW(A22)-1, "")</f>
        <v/>
      </c>
      <c r="Z24" s="1" t="str">
        <f>IF(Person1!$D$7+ROW(A22)-1&lt;=Person1!$E$7, Person1!$D$7+ROW(A22)-1, "")</f>
        <v/>
      </c>
      <c r="AA24" s="1" t="str">
        <f>IF(Person1!$D$8+ROW(A22)-1&lt;=Person1!$E$8, Person1!$D$8+ROW(A22)-1, "")</f>
        <v/>
      </c>
      <c r="AE24" s="1" t="str">
        <f>IF(Person1!$F$3+ROW(A22)-1&lt;=Person1!$G$3, Person1!$F$3+ROW(A22)-1, "")</f>
        <v/>
      </c>
      <c r="AF24" s="1" t="str">
        <f>IF(Person1!$F$4+ROW(A22)-1&lt;=Person1!$G$4, Person1!$F$4+ROW(A22)-1, "")</f>
        <v/>
      </c>
      <c r="AG24" s="1" t="str">
        <f>IF(Person1!$F$5+ROW(A22)-1&lt;=Person1!$G$5, Person1!$F$5+ROW(A22)-1, "")</f>
        <v/>
      </c>
      <c r="AH24" s="1" t="str">
        <f>IF(Person1!$F$6+ROW(A22)-1&lt;=Person1!$G$6, Person1!$F$6+ROW(A22)-1, "")</f>
        <v/>
      </c>
      <c r="AI24" s="1" t="str">
        <f>IF(Person1!$F$7+ROW(A22)-1&lt;=Person1!$G$7, Person1!$F$7+ROW(A22)-1, "")</f>
        <v/>
      </c>
    </row>
    <row r="25" spans="1:35" x14ac:dyDescent="0.3">
      <c r="A25" s="1" t="str">
        <f>IF(Person1!$B$3+ROW(A23)-1&lt;=Person1!$C$3, Person1!$B$3+ROW(A23)-1, "")</f>
        <v/>
      </c>
      <c r="B25" s="1" t="str">
        <f>IF(Person1!$B$4+ROW(B23)-1&lt;=Person1!$C$4, Person1!$B$4+ROW(B23)-1, "")</f>
        <v/>
      </c>
      <c r="C25" s="1" t="str">
        <f>IF(Person1!$B$5+ROW(B23)-1&lt;=Person1!$C$5, Person1!$B$5+ROW(B23)-1, "")</f>
        <v/>
      </c>
      <c r="D25" s="1" t="str">
        <f>IF(Person1!$B$6+ROW(B23)-1&lt;=Person1!$C$6, Person1!$B$6+ROW(B23)-1, "")</f>
        <v/>
      </c>
      <c r="E25" s="1" t="str">
        <f>IF(Person1!$B$7+ROW(B23)-1&lt;=Person1!$C$7, Person1!$B$7+ROW(B23)-1, "")</f>
        <v/>
      </c>
      <c r="F25" s="1" t="str">
        <f>IF(Person1!$B$8+ROW(B23)-1&lt;=Person1!$C$8, Person1!$B$8+ROW(B23)-1, "")</f>
        <v/>
      </c>
      <c r="G25" s="1" t="str">
        <f>IF(Person1!$B$9+ROW(B23)-1&lt;=Person1!$C$9, Person1!$B$9+ROW(B23)-1, "")</f>
        <v/>
      </c>
      <c r="H25" s="1" t="str">
        <f>IF(Person1!$B$10+ROW(B23)-1&lt;=Person1!$C$10, Person1!$B$10+ROW(B23)-1, "")</f>
        <v/>
      </c>
      <c r="I25" s="1" t="str">
        <f>IF(Person1!$B$11+ROW(B23)-1&lt;=Person1!$C$11, Person1!$B$11+ROW(B23)-1, "")</f>
        <v/>
      </c>
      <c r="J25" s="1" t="str">
        <f>IF(Person1!$B$12+ROW(B23)-1&lt;=Person1!$C$12, Person1!$B$12+ROW(B23)-1, "")</f>
        <v/>
      </c>
      <c r="K25" s="1" t="str">
        <f>IF(Person1!$B$13+ROW(B23)-1&lt;=Person1!$C$13, Person1!$B$13+ROW(B23)-1, "")</f>
        <v/>
      </c>
      <c r="L25" s="1" t="str">
        <f>IF(Person1!$B$14+ROW(B23)-1&lt;=Person1!$C$14, Person1!$B$14+ROW(B23)-1, "")</f>
        <v/>
      </c>
      <c r="M25" s="1" t="str">
        <f>IF(Person1!$B$15+ROW(B23)-1&lt;=Person1!$C$15, Person1!$B$15+ROW(B23)-1, "")</f>
        <v/>
      </c>
      <c r="N25" s="1" t="str">
        <f>IF(Person1!$B$16+ROW(B23)-1&lt;=Person1!$C$16, Person1!$B$16+ROW(B23)-1, "")</f>
        <v/>
      </c>
      <c r="O25" s="1" t="str">
        <f>IF(Person1!$B$17+ROW(B23)-1&lt;=Person1!$C$17, Person1!$B$17+ROW(B23)-1, "")</f>
        <v/>
      </c>
      <c r="V25" s="1" t="str">
        <f>IF(Person1!$D$3+ROW(A23)-1&lt;=Person1!$E$3, Person1!$D$3+ROW(A23)-1, "")</f>
        <v/>
      </c>
      <c r="W25" s="1" t="str">
        <f>IF(Person1!$D$4+ROW(A23)-1&lt;=Person1!$E$4, Person1!$D$4+ROW(A23)-1, "")</f>
        <v/>
      </c>
      <c r="X25" s="1" t="str">
        <f>IF(Person1!$D$5+ROW(A23)-1&lt;=Person1!$E$5, Person1!$D$5+ROW(A23)-1, "")</f>
        <v/>
      </c>
      <c r="Y25" s="1" t="str">
        <f>IF(Person1!$D$6+ROW(A23)-1&lt;=Person1!$E$6, Person1!$D$6+ROW(A23)-1, "")</f>
        <v/>
      </c>
      <c r="Z25" s="1" t="str">
        <f>IF(Person1!$D$7+ROW(A23)-1&lt;=Person1!$E$7, Person1!$D$7+ROW(A23)-1, "")</f>
        <v/>
      </c>
      <c r="AA25" s="1" t="str">
        <f>IF(Person1!$D$8+ROW(A23)-1&lt;=Person1!$E$8, Person1!$D$8+ROW(A23)-1, "")</f>
        <v/>
      </c>
      <c r="AE25" s="1" t="str">
        <f>IF(Person1!$F$3+ROW(A23)-1&lt;=Person1!$G$3, Person1!$F$3+ROW(A23)-1, "")</f>
        <v/>
      </c>
      <c r="AF25" s="1" t="str">
        <f>IF(Person1!$F$4+ROW(A23)-1&lt;=Person1!$G$4, Person1!$F$4+ROW(A23)-1, "")</f>
        <v/>
      </c>
      <c r="AG25" s="1" t="str">
        <f>IF(Person1!$F$5+ROW(A23)-1&lt;=Person1!$G$5, Person1!$F$5+ROW(A23)-1, "")</f>
        <v/>
      </c>
      <c r="AH25" s="1" t="str">
        <f>IF(Person1!$F$6+ROW(A23)-1&lt;=Person1!$G$6, Person1!$F$6+ROW(A23)-1, "")</f>
        <v/>
      </c>
      <c r="AI25" s="1" t="str">
        <f>IF(Person1!$F$7+ROW(A23)-1&lt;=Person1!$G$7, Person1!$F$7+ROW(A23)-1, "")</f>
        <v/>
      </c>
    </row>
    <row r="26" spans="1:35" x14ac:dyDescent="0.3">
      <c r="A26" s="1" t="str">
        <f>IF(Person1!$B$3+ROW(A24)-1&lt;=Person1!$C$3, Person1!$B$3+ROW(A24)-1, "")</f>
        <v/>
      </c>
      <c r="B26" s="1" t="str">
        <f>IF(Person1!$B$4+ROW(B24)-1&lt;=Person1!$C$4, Person1!$B$4+ROW(B24)-1, "")</f>
        <v/>
      </c>
      <c r="C26" s="1" t="str">
        <f>IF(Person1!$B$5+ROW(B24)-1&lt;=Person1!$C$5, Person1!$B$5+ROW(B24)-1, "")</f>
        <v/>
      </c>
      <c r="D26" s="1" t="str">
        <f>IF(Person1!$B$6+ROW(B24)-1&lt;=Person1!$C$6, Person1!$B$6+ROW(B24)-1, "")</f>
        <v/>
      </c>
      <c r="E26" s="1" t="str">
        <f>IF(Person1!$B$7+ROW(B24)-1&lt;=Person1!$C$7, Person1!$B$7+ROW(B24)-1, "")</f>
        <v/>
      </c>
      <c r="F26" s="1" t="str">
        <f>IF(Person1!$B$8+ROW(B24)-1&lt;=Person1!$C$8, Person1!$B$8+ROW(B24)-1, "")</f>
        <v/>
      </c>
      <c r="G26" s="1" t="str">
        <f>IF(Person1!$B$9+ROW(B24)-1&lt;=Person1!$C$9, Person1!$B$9+ROW(B24)-1, "")</f>
        <v/>
      </c>
      <c r="H26" s="1" t="str">
        <f>IF(Person1!$B$10+ROW(B24)-1&lt;=Person1!$C$10, Person1!$B$10+ROW(B24)-1, "")</f>
        <v/>
      </c>
      <c r="I26" s="1" t="str">
        <f>IF(Person1!$B$11+ROW(B24)-1&lt;=Person1!$C$11, Person1!$B$11+ROW(B24)-1, "")</f>
        <v/>
      </c>
      <c r="J26" s="1" t="str">
        <f>IF(Person1!$B$12+ROW(B24)-1&lt;=Person1!$C$12, Person1!$B$12+ROW(B24)-1, "")</f>
        <v/>
      </c>
      <c r="K26" s="1" t="str">
        <f>IF(Person1!$B$13+ROW(B24)-1&lt;=Person1!$C$13, Person1!$B$13+ROW(B24)-1, "")</f>
        <v/>
      </c>
      <c r="L26" s="1" t="str">
        <f>IF(Person1!$B$14+ROW(B24)-1&lt;=Person1!$C$14, Person1!$B$14+ROW(B24)-1, "")</f>
        <v/>
      </c>
      <c r="M26" s="1" t="str">
        <f>IF(Person1!$B$15+ROW(B24)-1&lt;=Person1!$C$15, Person1!$B$15+ROW(B24)-1, "")</f>
        <v/>
      </c>
      <c r="N26" s="1" t="str">
        <f>IF(Person1!$B$16+ROW(B24)-1&lt;=Person1!$C$16, Person1!$B$16+ROW(B24)-1, "")</f>
        <v/>
      </c>
      <c r="O26" s="1" t="str">
        <f>IF(Person1!$B$17+ROW(B24)-1&lt;=Person1!$C$17, Person1!$B$17+ROW(B24)-1, "")</f>
        <v/>
      </c>
      <c r="V26" s="1" t="str">
        <f>IF(Person1!$D$3+ROW(A24)-1&lt;=Person1!$E$3, Person1!$D$3+ROW(A24)-1, "")</f>
        <v/>
      </c>
      <c r="W26" s="1" t="str">
        <f>IF(Person1!$D$4+ROW(A24)-1&lt;=Person1!$E$4, Person1!$D$4+ROW(A24)-1, "")</f>
        <v/>
      </c>
      <c r="X26" s="1" t="str">
        <f>IF(Person1!$D$5+ROW(A24)-1&lt;=Person1!$E$5, Person1!$D$5+ROW(A24)-1, "")</f>
        <v/>
      </c>
      <c r="Y26" s="1" t="str">
        <f>IF(Person1!$D$6+ROW(A24)-1&lt;=Person1!$E$6, Person1!$D$6+ROW(A24)-1, "")</f>
        <v/>
      </c>
      <c r="Z26" s="1" t="str">
        <f>IF(Person1!$D$7+ROW(A24)-1&lt;=Person1!$E$7, Person1!$D$7+ROW(A24)-1, "")</f>
        <v/>
      </c>
      <c r="AA26" s="1" t="str">
        <f>IF(Person1!$D$8+ROW(A24)-1&lt;=Person1!$E$8, Person1!$D$8+ROW(A24)-1, "")</f>
        <v/>
      </c>
      <c r="AE26" s="1" t="str">
        <f>IF(Person1!$F$3+ROW(A24)-1&lt;=Person1!$G$3, Person1!$F$3+ROW(A24)-1, "")</f>
        <v/>
      </c>
      <c r="AF26" s="1" t="str">
        <f>IF(Person1!$F$4+ROW(A24)-1&lt;=Person1!$G$4, Person1!$F$4+ROW(A24)-1, "")</f>
        <v/>
      </c>
      <c r="AG26" s="1" t="str">
        <f>IF(Person1!$F$5+ROW(A24)-1&lt;=Person1!$G$5, Person1!$F$5+ROW(A24)-1, "")</f>
        <v/>
      </c>
      <c r="AH26" s="1" t="str">
        <f>IF(Person1!$F$6+ROW(A24)-1&lt;=Person1!$G$6, Person1!$F$6+ROW(A24)-1, "")</f>
        <v/>
      </c>
      <c r="AI26" s="1" t="str">
        <f>IF(Person1!$F$7+ROW(A24)-1&lt;=Person1!$G$7, Person1!$F$7+ROW(A24)-1, "")</f>
        <v/>
      </c>
    </row>
    <row r="27" spans="1:35" x14ac:dyDescent="0.3">
      <c r="A27" s="1" t="str">
        <f>IF(Person1!$B$3+ROW(A25)-1&lt;=Person1!$C$3, Person1!$B$3+ROW(A25)-1, "")</f>
        <v/>
      </c>
      <c r="B27" s="1" t="str">
        <f>IF(Person1!$B$4+ROW(B25)-1&lt;=Person1!$C$4, Person1!$B$4+ROW(B25)-1, "")</f>
        <v/>
      </c>
      <c r="C27" s="1" t="str">
        <f>IF(Person1!$B$5+ROW(B25)-1&lt;=Person1!$C$5, Person1!$B$5+ROW(B25)-1, "")</f>
        <v/>
      </c>
      <c r="D27" s="1" t="str">
        <f>IF(Person1!$B$6+ROW(B25)-1&lt;=Person1!$C$6, Person1!$B$6+ROW(B25)-1, "")</f>
        <v/>
      </c>
      <c r="E27" s="1" t="str">
        <f>IF(Person1!$B$7+ROW(B25)-1&lt;=Person1!$C$7, Person1!$B$7+ROW(B25)-1, "")</f>
        <v/>
      </c>
      <c r="F27" s="1" t="str">
        <f>IF(Person1!$B$8+ROW(B25)-1&lt;=Person1!$C$8, Person1!$B$8+ROW(B25)-1, "")</f>
        <v/>
      </c>
      <c r="G27" s="1" t="str">
        <f>IF(Person1!$B$9+ROW(B25)-1&lt;=Person1!$C$9, Person1!$B$9+ROW(B25)-1, "")</f>
        <v/>
      </c>
      <c r="H27" s="1" t="str">
        <f>IF(Person1!$B$10+ROW(B25)-1&lt;=Person1!$C$10, Person1!$B$10+ROW(B25)-1, "")</f>
        <v/>
      </c>
      <c r="I27" s="1" t="str">
        <f>IF(Person1!$B$11+ROW(B25)-1&lt;=Person1!$C$11, Person1!$B$11+ROW(B25)-1, "")</f>
        <v/>
      </c>
      <c r="J27" s="1" t="str">
        <f>IF(Person1!$B$12+ROW(B25)-1&lt;=Person1!$C$12, Person1!$B$12+ROW(B25)-1, "")</f>
        <v/>
      </c>
      <c r="K27" s="1" t="str">
        <f>IF(Person1!$B$13+ROW(B25)-1&lt;=Person1!$C$13, Person1!$B$13+ROW(B25)-1, "")</f>
        <v/>
      </c>
      <c r="L27" s="1" t="str">
        <f>IF(Person1!$B$14+ROW(B25)-1&lt;=Person1!$C$14, Person1!$B$14+ROW(B25)-1, "")</f>
        <v/>
      </c>
      <c r="M27" s="1" t="str">
        <f>IF(Person1!$B$15+ROW(B25)-1&lt;=Person1!$C$15, Person1!$B$15+ROW(B25)-1, "")</f>
        <v/>
      </c>
      <c r="N27" s="1" t="str">
        <f>IF(Person1!$B$16+ROW(B25)-1&lt;=Person1!$C$16, Person1!$B$16+ROW(B25)-1, "")</f>
        <v/>
      </c>
      <c r="O27" s="1" t="str">
        <f>IF(Person1!$B$17+ROW(B25)-1&lt;=Person1!$C$17, Person1!$B$17+ROW(B25)-1, "")</f>
        <v/>
      </c>
      <c r="V27" s="1" t="str">
        <f>IF(Person1!$D$3+ROW(A25)-1&lt;=Person1!$E$3, Person1!$D$3+ROW(A25)-1, "")</f>
        <v/>
      </c>
      <c r="W27" s="1" t="str">
        <f>IF(Person1!$D$4+ROW(A25)-1&lt;=Person1!$E$4, Person1!$D$4+ROW(A25)-1, "")</f>
        <v/>
      </c>
      <c r="X27" s="1" t="str">
        <f>IF(Person1!$D$5+ROW(A25)-1&lt;=Person1!$E$5, Person1!$D$5+ROW(A25)-1, "")</f>
        <v/>
      </c>
      <c r="Y27" s="1" t="str">
        <f>IF(Person1!$D$6+ROW(A25)-1&lt;=Person1!$E$6, Person1!$D$6+ROW(A25)-1, "")</f>
        <v/>
      </c>
      <c r="Z27" s="1" t="str">
        <f>IF(Person1!$D$7+ROW(A25)-1&lt;=Person1!$E$7, Person1!$D$7+ROW(A25)-1, "")</f>
        <v/>
      </c>
      <c r="AA27" s="1" t="str">
        <f>IF(Person1!$D$8+ROW(A25)-1&lt;=Person1!$E$8, Person1!$D$8+ROW(A25)-1, "")</f>
        <v/>
      </c>
      <c r="AE27" s="1" t="str">
        <f>IF(Person1!$F$3+ROW(A25)-1&lt;=Person1!$G$3, Person1!$F$3+ROW(A25)-1, "")</f>
        <v/>
      </c>
      <c r="AF27" s="1" t="str">
        <f>IF(Person1!$F$4+ROW(A25)-1&lt;=Person1!$G$4, Person1!$F$4+ROW(A25)-1, "")</f>
        <v/>
      </c>
      <c r="AG27" s="1" t="str">
        <f>IF(Person1!$F$5+ROW(A25)-1&lt;=Person1!$G$5, Person1!$F$5+ROW(A25)-1, "")</f>
        <v/>
      </c>
      <c r="AH27" s="1" t="str">
        <f>IF(Person1!$F$6+ROW(A25)-1&lt;=Person1!$G$6, Person1!$F$6+ROW(A25)-1, "")</f>
        <v/>
      </c>
      <c r="AI27" s="1" t="str">
        <f>IF(Person1!$F$7+ROW(A25)-1&lt;=Person1!$G$7, Person1!$F$7+ROW(A25)-1, "")</f>
        <v/>
      </c>
    </row>
    <row r="28" spans="1:35" x14ac:dyDescent="0.3">
      <c r="A28" s="1" t="str">
        <f>IF(Person1!$B$3+ROW(A26)-1&lt;=Person1!$C$3, Person1!$B$3+ROW(A26)-1, "")</f>
        <v/>
      </c>
      <c r="B28" s="1" t="str">
        <f>IF(Person1!$B$4+ROW(B26)-1&lt;=Person1!$C$4, Person1!$B$4+ROW(B26)-1, "")</f>
        <v/>
      </c>
      <c r="C28" s="1" t="str">
        <f>IF(Person1!$B$5+ROW(B26)-1&lt;=Person1!$C$5, Person1!$B$5+ROW(B26)-1, "")</f>
        <v/>
      </c>
      <c r="D28" s="1" t="str">
        <f>IF(Person1!$B$6+ROW(B26)-1&lt;=Person1!$C$6, Person1!$B$6+ROW(B26)-1, "")</f>
        <v/>
      </c>
      <c r="E28" s="1" t="str">
        <f>IF(Person1!$B$7+ROW(B26)-1&lt;=Person1!$C$7, Person1!$B$7+ROW(B26)-1, "")</f>
        <v/>
      </c>
      <c r="F28" s="1" t="str">
        <f>IF(Person1!$B$8+ROW(B26)-1&lt;=Person1!$C$8, Person1!$B$8+ROW(B26)-1, "")</f>
        <v/>
      </c>
      <c r="G28" s="1" t="str">
        <f>IF(Person1!$B$9+ROW(B26)-1&lt;=Person1!$C$9, Person1!$B$9+ROW(B26)-1, "")</f>
        <v/>
      </c>
      <c r="H28" s="1" t="str">
        <f>IF(Person1!$B$10+ROW(B26)-1&lt;=Person1!$C$10, Person1!$B$10+ROW(B26)-1, "")</f>
        <v/>
      </c>
      <c r="I28" s="1" t="str">
        <f>IF(Person1!$B$11+ROW(B26)-1&lt;=Person1!$C$11, Person1!$B$11+ROW(B26)-1, "")</f>
        <v/>
      </c>
      <c r="J28" s="1" t="str">
        <f>IF(Person1!$B$12+ROW(B26)-1&lt;=Person1!$C$12, Person1!$B$12+ROW(B26)-1, "")</f>
        <v/>
      </c>
      <c r="K28" s="1" t="str">
        <f>IF(Person1!$B$13+ROW(B26)-1&lt;=Person1!$C$13, Person1!$B$13+ROW(B26)-1, "")</f>
        <v/>
      </c>
      <c r="L28" s="1" t="str">
        <f>IF(Person1!$B$14+ROW(B26)-1&lt;=Person1!$C$14, Person1!$B$14+ROW(B26)-1, "")</f>
        <v/>
      </c>
      <c r="M28" s="1" t="str">
        <f>IF(Person1!$B$15+ROW(B26)-1&lt;=Person1!$C$15, Person1!$B$15+ROW(B26)-1, "")</f>
        <v/>
      </c>
      <c r="N28" s="1" t="str">
        <f>IF(Person1!$B$16+ROW(B26)-1&lt;=Person1!$C$16, Person1!$B$16+ROW(B26)-1, "")</f>
        <v/>
      </c>
      <c r="O28" s="1" t="str">
        <f>IF(Person1!$B$17+ROW(B26)-1&lt;=Person1!$C$17, Person1!$B$17+ROW(B26)-1, "")</f>
        <v/>
      </c>
      <c r="V28" s="1" t="str">
        <f>IF(Person1!$D$3+ROW(A26)-1&lt;=Person1!$E$3, Person1!$D$3+ROW(A26)-1, "")</f>
        <v/>
      </c>
      <c r="W28" s="1" t="str">
        <f>IF(Person1!$D$4+ROW(A26)-1&lt;=Person1!$E$4, Person1!$D$4+ROW(A26)-1, "")</f>
        <v/>
      </c>
      <c r="X28" s="1" t="str">
        <f>IF(Person1!$D$5+ROW(A26)-1&lt;=Person1!$E$5, Person1!$D$5+ROW(A26)-1, "")</f>
        <v/>
      </c>
      <c r="Y28" s="1" t="str">
        <f>IF(Person1!$D$6+ROW(A26)-1&lt;=Person1!$E$6, Person1!$D$6+ROW(A26)-1, "")</f>
        <v/>
      </c>
      <c r="Z28" s="1" t="str">
        <f>IF(Person1!$D$7+ROW(A26)-1&lt;=Person1!$E$7, Person1!$D$7+ROW(A26)-1, "")</f>
        <v/>
      </c>
      <c r="AA28" s="1" t="str">
        <f>IF(Person1!$D$8+ROW(A26)-1&lt;=Person1!$E$8, Person1!$D$8+ROW(A26)-1, "")</f>
        <v/>
      </c>
      <c r="AE28" s="1" t="str">
        <f>IF(Person1!$F$3+ROW(A26)-1&lt;=Person1!$G$3, Person1!$F$3+ROW(A26)-1, "")</f>
        <v/>
      </c>
      <c r="AF28" s="1" t="str">
        <f>IF(Person1!$F$4+ROW(A26)-1&lt;=Person1!$G$4, Person1!$F$4+ROW(A26)-1, "")</f>
        <v/>
      </c>
      <c r="AG28" s="1" t="str">
        <f>IF(Person1!$F$5+ROW(A26)-1&lt;=Person1!$G$5, Person1!$F$5+ROW(A26)-1, "")</f>
        <v/>
      </c>
      <c r="AH28" s="1" t="str">
        <f>IF(Person1!$F$6+ROW(A26)-1&lt;=Person1!$G$6, Person1!$F$6+ROW(A26)-1, "")</f>
        <v/>
      </c>
      <c r="AI28" s="1" t="str">
        <f>IF(Person1!$F$7+ROW(A26)-1&lt;=Person1!$G$7, Person1!$F$7+ROW(A26)-1, "")</f>
        <v/>
      </c>
    </row>
    <row r="29" spans="1:35" x14ac:dyDescent="0.3">
      <c r="A29" s="1" t="str">
        <f>IF(Person1!$B$3+ROW(A27)-1&lt;=Person1!$C$3, Person1!$B$3+ROW(A27)-1, "")</f>
        <v/>
      </c>
      <c r="B29" s="1" t="str">
        <f>IF(Person1!$B$4+ROW(B27)-1&lt;=Person1!$C$4, Person1!$B$4+ROW(B27)-1, "")</f>
        <v/>
      </c>
      <c r="C29" s="1" t="str">
        <f>IF(Person1!$B$5+ROW(B27)-1&lt;=Person1!$C$5, Person1!$B$5+ROW(B27)-1, "")</f>
        <v/>
      </c>
      <c r="D29" s="1" t="str">
        <f>IF(Person1!$B$6+ROW(B27)-1&lt;=Person1!$C$6, Person1!$B$6+ROW(B27)-1, "")</f>
        <v/>
      </c>
      <c r="E29" s="1" t="str">
        <f>IF(Person1!$B$7+ROW(B27)-1&lt;=Person1!$C$7, Person1!$B$7+ROW(B27)-1, "")</f>
        <v/>
      </c>
      <c r="F29" s="1" t="str">
        <f>IF(Person1!$B$8+ROW(B27)-1&lt;=Person1!$C$8, Person1!$B$8+ROW(B27)-1, "")</f>
        <v/>
      </c>
      <c r="G29" s="1" t="str">
        <f>IF(Person1!$B$9+ROW(B27)-1&lt;=Person1!$C$9, Person1!$B$9+ROW(B27)-1, "")</f>
        <v/>
      </c>
      <c r="H29" s="1" t="str">
        <f>IF(Person1!$B$10+ROW(B27)-1&lt;=Person1!$C$10, Person1!$B$10+ROW(B27)-1, "")</f>
        <v/>
      </c>
      <c r="I29" s="1" t="str">
        <f>IF(Person1!$B$11+ROW(B27)-1&lt;=Person1!$C$11, Person1!$B$11+ROW(B27)-1, "")</f>
        <v/>
      </c>
      <c r="J29" s="1" t="str">
        <f>IF(Person1!$B$12+ROW(B27)-1&lt;=Person1!$C$12, Person1!$B$12+ROW(B27)-1, "")</f>
        <v/>
      </c>
      <c r="K29" s="1" t="str">
        <f>IF(Person1!$B$13+ROW(B27)-1&lt;=Person1!$C$13, Person1!$B$13+ROW(B27)-1, "")</f>
        <v/>
      </c>
      <c r="L29" s="1" t="str">
        <f>IF(Person1!$B$14+ROW(B27)-1&lt;=Person1!$C$14, Person1!$B$14+ROW(B27)-1, "")</f>
        <v/>
      </c>
      <c r="M29" s="1" t="str">
        <f>IF(Person1!$B$15+ROW(B27)-1&lt;=Person1!$C$15, Person1!$B$15+ROW(B27)-1, "")</f>
        <v/>
      </c>
      <c r="N29" s="1" t="str">
        <f>IF(Person1!$B$16+ROW(B27)-1&lt;=Person1!$C$16, Person1!$B$16+ROW(B27)-1, "")</f>
        <v/>
      </c>
      <c r="O29" s="1" t="str">
        <f>IF(Person1!$B$17+ROW(B27)-1&lt;=Person1!$C$17, Person1!$B$17+ROW(B27)-1, "")</f>
        <v/>
      </c>
      <c r="V29" s="1" t="str">
        <f>IF(Person1!$D$3+ROW(A27)-1&lt;=Person1!$E$3, Person1!$D$3+ROW(A27)-1, "")</f>
        <v/>
      </c>
      <c r="W29" s="1" t="str">
        <f>IF(Person1!$D$4+ROW(A27)-1&lt;=Person1!$E$4, Person1!$D$4+ROW(A27)-1, "")</f>
        <v/>
      </c>
      <c r="X29" s="1" t="str">
        <f>IF(Person1!$D$5+ROW(A27)-1&lt;=Person1!$E$5, Person1!$D$5+ROW(A27)-1, "")</f>
        <v/>
      </c>
      <c r="Y29" s="1" t="str">
        <f>IF(Person1!$D$6+ROW(A27)-1&lt;=Person1!$E$6, Person1!$D$6+ROW(A27)-1, "")</f>
        <v/>
      </c>
      <c r="Z29" s="1" t="str">
        <f>IF(Person1!$D$7+ROW(A27)-1&lt;=Person1!$E$7, Person1!$D$7+ROW(A27)-1, "")</f>
        <v/>
      </c>
      <c r="AA29" s="1" t="str">
        <f>IF(Person1!$D$8+ROW(A27)-1&lt;=Person1!$E$8, Person1!$D$8+ROW(A27)-1, "")</f>
        <v/>
      </c>
      <c r="AE29" s="1" t="str">
        <f>IF(Person1!$F$3+ROW(A27)-1&lt;=Person1!$G$3, Person1!$F$3+ROW(A27)-1, "")</f>
        <v/>
      </c>
      <c r="AF29" s="1" t="str">
        <f>IF(Person1!$F$4+ROW(A27)-1&lt;=Person1!$G$4, Person1!$F$4+ROW(A27)-1, "")</f>
        <v/>
      </c>
      <c r="AG29" s="1" t="str">
        <f>IF(Person1!$F$5+ROW(A27)-1&lt;=Person1!$G$5, Person1!$F$5+ROW(A27)-1, "")</f>
        <v/>
      </c>
      <c r="AH29" s="1" t="str">
        <f>IF(Person1!$F$6+ROW(A27)-1&lt;=Person1!$G$6, Person1!$F$6+ROW(A27)-1, "")</f>
        <v/>
      </c>
      <c r="AI29" s="1" t="str">
        <f>IF(Person1!$F$7+ROW(A27)-1&lt;=Person1!$G$7, Person1!$F$7+ROW(A27)-1, "")</f>
        <v/>
      </c>
    </row>
    <row r="30" spans="1:35" x14ac:dyDescent="0.3">
      <c r="A30" s="1" t="str">
        <f>IF(Person1!$B$3+ROW(A28)-1&lt;=Person1!$C$3, Person1!$B$3+ROW(A28)-1, "")</f>
        <v/>
      </c>
      <c r="B30" s="1" t="str">
        <f>IF(Person1!$B$4+ROW(B28)-1&lt;=Person1!$C$4, Person1!$B$4+ROW(B28)-1, "")</f>
        <v/>
      </c>
      <c r="C30" s="1" t="str">
        <f>IF(Person1!$B$5+ROW(B28)-1&lt;=Person1!$C$5, Person1!$B$5+ROW(B28)-1, "")</f>
        <v/>
      </c>
      <c r="D30" s="1" t="str">
        <f>IF(Person1!$B$6+ROW(B28)-1&lt;=Person1!$C$6, Person1!$B$6+ROW(B28)-1, "")</f>
        <v/>
      </c>
      <c r="E30" s="1" t="str">
        <f>IF(Person1!$B$7+ROW(B28)-1&lt;=Person1!$C$7, Person1!$B$7+ROW(B28)-1, "")</f>
        <v/>
      </c>
      <c r="F30" s="1" t="str">
        <f>IF(Person1!$B$8+ROW(B28)-1&lt;=Person1!$C$8, Person1!$B$8+ROW(B28)-1, "")</f>
        <v/>
      </c>
      <c r="G30" s="1" t="str">
        <f>IF(Person1!$B$9+ROW(B28)-1&lt;=Person1!$C$9, Person1!$B$9+ROW(B28)-1, "")</f>
        <v/>
      </c>
      <c r="H30" s="1" t="str">
        <f>IF(Person1!$B$10+ROW(B28)-1&lt;=Person1!$C$10, Person1!$B$10+ROW(B28)-1, "")</f>
        <v/>
      </c>
      <c r="I30" s="1" t="str">
        <f>IF(Person1!$B$11+ROW(B28)-1&lt;=Person1!$C$11, Person1!$B$11+ROW(B28)-1, "")</f>
        <v/>
      </c>
      <c r="J30" s="1" t="str">
        <f>IF(Person1!$B$12+ROW(B28)-1&lt;=Person1!$C$12, Person1!$B$12+ROW(B28)-1, "")</f>
        <v/>
      </c>
      <c r="K30" s="1" t="str">
        <f>IF(Person1!$B$13+ROW(B28)-1&lt;=Person1!$C$13, Person1!$B$13+ROW(B28)-1, "")</f>
        <v/>
      </c>
      <c r="L30" s="1" t="str">
        <f>IF(Person1!$B$14+ROW(B28)-1&lt;=Person1!$C$14, Person1!$B$14+ROW(B28)-1, "")</f>
        <v/>
      </c>
      <c r="M30" s="1" t="str">
        <f>IF(Person1!$B$15+ROW(B28)-1&lt;=Person1!$C$15, Person1!$B$15+ROW(B28)-1, "")</f>
        <v/>
      </c>
      <c r="N30" s="1" t="str">
        <f>IF(Person1!$B$16+ROW(B28)-1&lt;=Person1!$C$16, Person1!$B$16+ROW(B28)-1, "")</f>
        <v/>
      </c>
      <c r="O30" s="1" t="str">
        <f>IF(Person1!$B$17+ROW(B28)-1&lt;=Person1!$C$17, Person1!$B$17+ROW(B28)-1, "")</f>
        <v/>
      </c>
      <c r="V30" s="1" t="str">
        <f>IF(Person1!$D$3+ROW(A28)-1&lt;=Person1!$E$3, Person1!$D$3+ROW(A28)-1, "")</f>
        <v/>
      </c>
      <c r="W30" s="1" t="str">
        <f>IF(Person1!$D$4+ROW(A28)-1&lt;=Person1!$E$4, Person1!$D$4+ROW(A28)-1, "")</f>
        <v/>
      </c>
      <c r="X30" s="1" t="str">
        <f>IF(Person1!$D$5+ROW(A28)-1&lt;=Person1!$E$5, Person1!$D$5+ROW(A28)-1, "")</f>
        <v/>
      </c>
      <c r="Y30" s="1" t="str">
        <f>IF(Person1!$D$6+ROW(A28)-1&lt;=Person1!$E$6, Person1!$D$6+ROW(A28)-1, "")</f>
        <v/>
      </c>
      <c r="Z30" s="1" t="str">
        <f>IF(Person1!$D$7+ROW(A28)-1&lt;=Person1!$E$7, Person1!$D$7+ROW(A28)-1, "")</f>
        <v/>
      </c>
      <c r="AA30" s="1" t="str">
        <f>IF(Person1!$D$8+ROW(A28)-1&lt;=Person1!$E$8, Person1!$D$8+ROW(A28)-1, "")</f>
        <v/>
      </c>
      <c r="AE30" s="1" t="str">
        <f>IF(Person1!$F$3+ROW(A28)-1&lt;=Person1!$G$3, Person1!$F$3+ROW(A28)-1, "")</f>
        <v/>
      </c>
      <c r="AF30" s="1" t="str">
        <f>IF(Person1!$F$4+ROW(A28)-1&lt;=Person1!$G$4, Person1!$F$4+ROW(A28)-1, "")</f>
        <v/>
      </c>
      <c r="AG30" s="1" t="str">
        <f>IF(Person1!$F$5+ROW(A28)-1&lt;=Person1!$G$5, Person1!$F$5+ROW(A28)-1, "")</f>
        <v/>
      </c>
      <c r="AH30" s="1" t="str">
        <f>IF(Person1!$F$6+ROW(A28)-1&lt;=Person1!$G$6, Person1!$F$6+ROW(A28)-1, "")</f>
        <v/>
      </c>
      <c r="AI30" s="1" t="str">
        <f>IF(Person1!$F$7+ROW(A28)-1&lt;=Person1!$G$7, Person1!$F$7+ROW(A28)-1, "")</f>
        <v/>
      </c>
    </row>
    <row r="31" spans="1:35" x14ac:dyDescent="0.3">
      <c r="A31" s="1" t="str">
        <f>IF(Person1!$B$3+ROW(A29)-1&lt;=Person1!$C$3, Person1!$B$3+ROW(A29)-1, "")</f>
        <v/>
      </c>
      <c r="B31" s="1" t="str">
        <f>IF(Person1!$B$4+ROW(B29)-1&lt;=Person1!$C$4, Person1!$B$4+ROW(B29)-1, "")</f>
        <v/>
      </c>
      <c r="C31" s="1" t="str">
        <f>IF(Person1!$B$5+ROW(B29)-1&lt;=Person1!$C$5, Person1!$B$5+ROW(B29)-1, "")</f>
        <v/>
      </c>
      <c r="D31" s="1" t="str">
        <f>IF(Person1!$B$6+ROW(B29)-1&lt;=Person1!$C$6, Person1!$B$6+ROW(B29)-1, "")</f>
        <v/>
      </c>
      <c r="E31" s="1" t="str">
        <f>IF(Person1!$B$7+ROW(B29)-1&lt;=Person1!$C$7, Person1!$B$7+ROW(B29)-1, "")</f>
        <v/>
      </c>
      <c r="F31" s="1" t="str">
        <f>IF(Person1!$B$8+ROW(B29)-1&lt;=Person1!$C$8, Person1!$B$8+ROW(B29)-1, "")</f>
        <v/>
      </c>
      <c r="G31" s="1" t="str">
        <f>IF(Person1!$B$9+ROW(B29)-1&lt;=Person1!$C$9, Person1!$B$9+ROW(B29)-1, "")</f>
        <v/>
      </c>
      <c r="H31" s="1" t="str">
        <f>IF(Person1!$B$10+ROW(B29)-1&lt;=Person1!$C$10, Person1!$B$10+ROW(B29)-1, "")</f>
        <v/>
      </c>
      <c r="I31" s="1" t="str">
        <f>IF(Person1!$B$11+ROW(B29)-1&lt;=Person1!$C$11, Person1!$B$11+ROW(B29)-1, "")</f>
        <v/>
      </c>
      <c r="J31" s="1" t="str">
        <f>IF(Person1!$B$12+ROW(B29)-1&lt;=Person1!$C$12, Person1!$B$12+ROW(B29)-1, "")</f>
        <v/>
      </c>
      <c r="K31" s="1" t="str">
        <f>IF(Person1!$B$13+ROW(B29)-1&lt;=Person1!$C$13, Person1!$B$13+ROW(B29)-1, "")</f>
        <v/>
      </c>
      <c r="L31" s="1" t="str">
        <f>IF(Person1!$B$14+ROW(B29)-1&lt;=Person1!$C$14, Person1!$B$14+ROW(B29)-1, "")</f>
        <v/>
      </c>
      <c r="M31" s="1" t="str">
        <f>IF(Person1!$B$15+ROW(B29)-1&lt;=Person1!$C$15, Person1!$B$15+ROW(B29)-1, "")</f>
        <v/>
      </c>
      <c r="N31" s="1" t="str">
        <f>IF(Person1!$B$16+ROW(B29)-1&lt;=Person1!$C$16, Person1!$B$16+ROW(B29)-1, "")</f>
        <v/>
      </c>
      <c r="O31" s="1" t="str">
        <f>IF(Person1!$B$17+ROW(B29)-1&lt;=Person1!$C$17, Person1!$B$17+ROW(B29)-1, "")</f>
        <v/>
      </c>
      <c r="V31" s="1" t="str">
        <f>IF(Person1!$D$3+ROW(A29)-1&lt;=Person1!$E$3, Person1!$D$3+ROW(A29)-1, "")</f>
        <v/>
      </c>
      <c r="W31" s="1" t="str">
        <f>IF(Person1!$D$4+ROW(A29)-1&lt;=Person1!$E$4, Person1!$D$4+ROW(A29)-1, "")</f>
        <v/>
      </c>
      <c r="X31" s="1" t="str">
        <f>IF(Person1!$D$5+ROW(A29)-1&lt;=Person1!$E$5, Person1!$D$5+ROW(A29)-1, "")</f>
        <v/>
      </c>
      <c r="Y31" s="1" t="str">
        <f>IF(Person1!$D$6+ROW(A29)-1&lt;=Person1!$E$6, Person1!$D$6+ROW(A29)-1, "")</f>
        <v/>
      </c>
      <c r="Z31" s="1" t="str">
        <f>IF(Person1!$D$7+ROW(A29)-1&lt;=Person1!$E$7, Person1!$D$7+ROW(A29)-1, "")</f>
        <v/>
      </c>
      <c r="AA31" s="1" t="str">
        <f>IF(Person1!$D$8+ROW(A29)-1&lt;=Person1!$E$8, Person1!$D$8+ROW(A29)-1, "")</f>
        <v/>
      </c>
      <c r="AE31" s="1" t="str">
        <f>IF(Person1!$F$3+ROW(A29)-1&lt;=Person1!$G$3, Person1!$F$3+ROW(A29)-1, "")</f>
        <v/>
      </c>
      <c r="AF31" s="1" t="str">
        <f>IF(Person1!$F$4+ROW(A29)-1&lt;=Person1!$G$4, Person1!$F$4+ROW(A29)-1, "")</f>
        <v/>
      </c>
      <c r="AG31" s="1" t="str">
        <f>IF(Person1!$F$5+ROW(A29)-1&lt;=Person1!$G$5, Person1!$F$5+ROW(A29)-1, "")</f>
        <v/>
      </c>
      <c r="AH31" s="1" t="str">
        <f>IF(Person1!$F$6+ROW(A29)-1&lt;=Person1!$G$6, Person1!$F$6+ROW(A29)-1, "")</f>
        <v/>
      </c>
      <c r="AI31" s="1" t="str">
        <f>IF(Person1!$F$7+ROW(A29)-1&lt;=Person1!$G$7, Person1!$F$7+ROW(A29)-1, "")</f>
        <v/>
      </c>
    </row>
    <row r="32" spans="1:35" x14ac:dyDescent="0.3">
      <c r="A32" s="1" t="str">
        <f>IF(Person1!$B$3+ROW(A30)-1&lt;=Person1!$C$3, Person1!$B$3+ROW(A30)-1, "")</f>
        <v/>
      </c>
      <c r="B32" s="1" t="str">
        <f>IF(Person1!$B$4+ROW(B30)-1&lt;=Person1!$C$4, Person1!$B$4+ROW(B30)-1, "")</f>
        <v/>
      </c>
      <c r="C32" s="1" t="str">
        <f>IF(Person1!$B$5+ROW(B30)-1&lt;=Person1!$C$5, Person1!$B$5+ROW(B30)-1, "")</f>
        <v/>
      </c>
      <c r="D32" s="1" t="str">
        <f>IF(Person1!$B$6+ROW(B30)-1&lt;=Person1!$C$6, Person1!$B$6+ROW(B30)-1, "")</f>
        <v/>
      </c>
      <c r="E32" s="1" t="str">
        <f>IF(Person1!$B$7+ROW(B30)-1&lt;=Person1!$C$7, Person1!$B$7+ROW(B30)-1, "")</f>
        <v/>
      </c>
      <c r="F32" s="1" t="str">
        <f>IF(Person1!$B$8+ROW(B30)-1&lt;=Person1!$C$8, Person1!$B$8+ROW(B30)-1, "")</f>
        <v/>
      </c>
      <c r="G32" s="1" t="str">
        <f>IF(Person1!$B$9+ROW(B30)-1&lt;=Person1!$C$9, Person1!$B$9+ROW(B30)-1, "")</f>
        <v/>
      </c>
      <c r="H32" s="1" t="str">
        <f>IF(Person1!$B$10+ROW(B30)-1&lt;=Person1!$C$10, Person1!$B$10+ROW(B30)-1, "")</f>
        <v/>
      </c>
      <c r="I32" s="1" t="str">
        <f>IF(Person1!$B$11+ROW(B30)-1&lt;=Person1!$C$11, Person1!$B$11+ROW(B30)-1, "")</f>
        <v/>
      </c>
      <c r="J32" s="1" t="str">
        <f>IF(Person1!$B$12+ROW(B30)-1&lt;=Person1!$C$12, Person1!$B$12+ROW(B30)-1, "")</f>
        <v/>
      </c>
      <c r="K32" s="1" t="str">
        <f>IF(Person1!$B$13+ROW(B30)-1&lt;=Person1!$C$13, Person1!$B$13+ROW(B30)-1, "")</f>
        <v/>
      </c>
      <c r="L32" s="1" t="str">
        <f>IF(Person1!$B$14+ROW(B30)-1&lt;=Person1!$C$14, Person1!$B$14+ROW(B30)-1, "")</f>
        <v/>
      </c>
      <c r="M32" s="1" t="str">
        <f>IF(Person1!$B$15+ROW(B30)-1&lt;=Person1!$C$15, Person1!$B$15+ROW(B30)-1, "")</f>
        <v/>
      </c>
      <c r="N32" s="1" t="str">
        <f>IF(Person1!$B$16+ROW(B30)-1&lt;=Person1!$C$16, Person1!$B$16+ROW(B30)-1, "")</f>
        <v/>
      </c>
      <c r="O32" s="1" t="str">
        <f>IF(Person1!$B$17+ROW(B30)-1&lt;=Person1!$C$17, Person1!$B$17+ROW(B30)-1, "")</f>
        <v/>
      </c>
      <c r="V32" s="1" t="str">
        <f>IF(Person1!$D$3+ROW(A30)-1&lt;=Person1!$E$3, Person1!$D$3+ROW(A30)-1, "")</f>
        <v/>
      </c>
      <c r="W32" s="1" t="str">
        <f>IF(Person1!$D$4+ROW(A30)-1&lt;=Person1!$E$4, Person1!$D$4+ROW(A30)-1, "")</f>
        <v/>
      </c>
      <c r="X32" s="1" t="str">
        <f>IF(Person1!$D$5+ROW(A30)-1&lt;=Person1!$E$5, Person1!$D$5+ROW(A30)-1, "")</f>
        <v/>
      </c>
      <c r="Y32" s="1" t="str">
        <f>IF(Person1!$D$6+ROW(A30)-1&lt;=Person1!$E$6, Person1!$D$6+ROW(A30)-1, "")</f>
        <v/>
      </c>
      <c r="Z32" s="1" t="str">
        <f>IF(Person1!$D$7+ROW(A30)-1&lt;=Person1!$E$7, Person1!$D$7+ROW(A30)-1, "")</f>
        <v/>
      </c>
      <c r="AA32" s="1" t="str">
        <f>IF(Person1!$D$8+ROW(A30)-1&lt;=Person1!$E$8, Person1!$D$8+ROW(A30)-1, "")</f>
        <v/>
      </c>
      <c r="AE32" s="1" t="str">
        <f>IF(Person1!$F$3+ROW(A30)-1&lt;=Person1!$G$3, Person1!$F$3+ROW(A30)-1, "")</f>
        <v/>
      </c>
      <c r="AF32" s="1" t="str">
        <f>IF(Person1!$F$4+ROW(A30)-1&lt;=Person1!$G$4, Person1!$F$4+ROW(A30)-1, "")</f>
        <v/>
      </c>
      <c r="AG32" s="1" t="str">
        <f>IF(Person1!$F$5+ROW(A30)-1&lt;=Person1!$G$5, Person1!$F$5+ROW(A30)-1, "")</f>
        <v/>
      </c>
      <c r="AH32" s="1" t="str">
        <f>IF(Person1!$F$6+ROW(A30)-1&lt;=Person1!$G$6, Person1!$F$6+ROW(A30)-1, "")</f>
        <v/>
      </c>
      <c r="AI32" s="1" t="str">
        <f>IF(Person1!$F$7+ROW(A30)-1&lt;=Person1!$G$7, Person1!$F$7+ROW(A30)-1, "")</f>
        <v/>
      </c>
    </row>
    <row r="33" spans="1:35" x14ac:dyDescent="0.3">
      <c r="A33" s="1" t="str">
        <f>IF(Person1!$B$3+ROW(A31)-1&lt;=Person1!$C$3, Person1!$B$3+ROW(A31)-1, "")</f>
        <v/>
      </c>
      <c r="B33" s="1" t="str">
        <f>IF(Person1!$B$4+ROW(B31)-1&lt;=Person1!$C$4, Person1!$B$4+ROW(B31)-1, "")</f>
        <v/>
      </c>
      <c r="C33" s="1" t="str">
        <f>IF(Person1!$B$5+ROW(B31)-1&lt;=Person1!$C$5, Person1!$B$5+ROW(B31)-1, "")</f>
        <v/>
      </c>
      <c r="D33" s="1" t="str">
        <f>IF(Person1!$B$6+ROW(B31)-1&lt;=Person1!$C$6, Person1!$B$6+ROW(B31)-1, "")</f>
        <v/>
      </c>
      <c r="E33" s="1" t="str">
        <f>IF(Person1!$B$7+ROW(B31)-1&lt;=Person1!$C$7, Person1!$B$7+ROW(B31)-1, "")</f>
        <v/>
      </c>
      <c r="F33" s="1" t="str">
        <f>IF(Person1!$B$8+ROW(B31)-1&lt;=Person1!$C$8, Person1!$B$8+ROW(B31)-1, "")</f>
        <v/>
      </c>
      <c r="G33" s="1" t="str">
        <f>IF(Person1!$B$9+ROW(B31)-1&lt;=Person1!$C$9, Person1!$B$9+ROW(B31)-1, "")</f>
        <v/>
      </c>
      <c r="H33" s="1" t="str">
        <f>IF(Person1!$B$10+ROW(B31)-1&lt;=Person1!$C$10, Person1!$B$10+ROW(B31)-1, "")</f>
        <v/>
      </c>
      <c r="I33" s="1" t="str">
        <f>IF(Person1!$B$11+ROW(B31)-1&lt;=Person1!$C$11, Person1!$B$11+ROW(B31)-1, "")</f>
        <v/>
      </c>
      <c r="J33" s="1" t="str">
        <f>IF(Person1!$B$12+ROW(B31)-1&lt;=Person1!$C$12, Person1!$B$12+ROW(B31)-1, "")</f>
        <v/>
      </c>
      <c r="K33" s="1" t="str">
        <f>IF(Person1!$B$13+ROW(B31)-1&lt;=Person1!$C$13, Person1!$B$13+ROW(B31)-1, "")</f>
        <v/>
      </c>
      <c r="L33" s="1" t="str">
        <f>IF(Person1!$B$14+ROW(B31)-1&lt;=Person1!$C$14, Person1!$B$14+ROW(B31)-1, "")</f>
        <v/>
      </c>
      <c r="M33" s="1" t="str">
        <f>IF(Person1!$B$15+ROW(B31)-1&lt;=Person1!$C$15, Person1!$B$15+ROW(B31)-1, "")</f>
        <v/>
      </c>
      <c r="N33" s="1" t="str">
        <f>IF(Person1!$B$16+ROW(B31)-1&lt;=Person1!$C$16, Person1!$B$16+ROW(B31)-1, "")</f>
        <v/>
      </c>
      <c r="O33" s="1" t="str">
        <f>IF(Person1!$B$17+ROW(B31)-1&lt;=Person1!$C$17, Person1!$B$17+ROW(B31)-1, "")</f>
        <v/>
      </c>
      <c r="V33" s="1" t="str">
        <f>IF(Person1!$D$3+ROW(A31)-1&lt;=Person1!$E$3, Person1!$D$3+ROW(A31)-1, "")</f>
        <v/>
      </c>
      <c r="W33" s="1" t="str">
        <f>IF(Person1!$D$4+ROW(A31)-1&lt;=Person1!$E$4, Person1!$D$4+ROW(A31)-1, "")</f>
        <v/>
      </c>
      <c r="X33" s="1" t="str">
        <f>IF(Person1!$D$5+ROW(A31)-1&lt;=Person1!$E$5, Person1!$D$5+ROW(A31)-1, "")</f>
        <v/>
      </c>
      <c r="Y33" s="1" t="str">
        <f>IF(Person1!$D$6+ROW(A31)-1&lt;=Person1!$E$6, Person1!$D$6+ROW(A31)-1, "")</f>
        <v/>
      </c>
      <c r="Z33" s="1" t="str">
        <f>IF(Person1!$D$7+ROW(A31)-1&lt;=Person1!$E$7, Person1!$D$7+ROW(A31)-1, "")</f>
        <v/>
      </c>
      <c r="AA33" s="1" t="str">
        <f>IF(Person1!$D$8+ROW(A31)-1&lt;=Person1!$E$8, Person1!$D$8+ROW(A31)-1, "")</f>
        <v/>
      </c>
      <c r="AE33" s="1" t="str">
        <f>IF(Person1!$F$3+ROW(A31)-1&lt;=Person1!$G$3, Person1!$F$3+ROW(A31)-1, "")</f>
        <v/>
      </c>
      <c r="AF33" s="1" t="str">
        <f>IF(Person1!$F$4+ROW(A31)-1&lt;=Person1!$G$4, Person1!$F$4+ROW(A31)-1, "")</f>
        <v/>
      </c>
      <c r="AG33" s="1" t="str">
        <f>IF(Person1!$F$5+ROW(A31)-1&lt;=Person1!$G$5, Person1!$F$5+ROW(A31)-1, "")</f>
        <v/>
      </c>
      <c r="AH33" s="1" t="str">
        <f>IF(Person1!$F$6+ROW(A31)-1&lt;=Person1!$G$6, Person1!$F$6+ROW(A31)-1, "")</f>
        <v/>
      </c>
      <c r="AI33" s="1" t="str">
        <f>IF(Person1!$F$7+ROW(A31)-1&lt;=Person1!$G$7, Person1!$F$7+ROW(A31)-1, "")</f>
        <v/>
      </c>
    </row>
    <row r="34" spans="1:35" x14ac:dyDescent="0.3">
      <c r="A34" s="1" t="str">
        <f>IF(Person1!$B$3+ROW(A32)-1&lt;=Person1!$C$3, Person1!$B$3+ROW(A32)-1, "")</f>
        <v/>
      </c>
      <c r="B34" s="1" t="str">
        <f>IF(Person1!$B$4+ROW(B32)-1&lt;=Person1!$C$4, Person1!$B$4+ROW(B32)-1, "")</f>
        <v/>
      </c>
      <c r="C34" s="1" t="str">
        <f>IF(Person1!$B$5+ROW(B32)-1&lt;=Person1!$C$5, Person1!$B$5+ROW(B32)-1, "")</f>
        <v/>
      </c>
      <c r="D34" s="1" t="str">
        <f>IF(Person1!$B$6+ROW(B32)-1&lt;=Person1!$C$6, Person1!$B$6+ROW(B32)-1, "")</f>
        <v/>
      </c>
      <c r="E34" s="1" t="str">
        <f>IF(Person1!$B$7+ROW(B32)-1&lt;=Person1!$C$7, Person1!$B$7+ROW(B32)-1, "")</f>
        <v/>
      </c>
      <c r="F34" s="1" t="str">
        <f>IF(Person1!$B$8+ROW(B32)-1&lt;=Person1!$C$8, Person1!$B$8+ROW(B32)-1, "")</f>
        <v/>
      </c>
      <c r="G34" s="1" t="str">
        <f>IF(Person1!$B$9+ROW(B32)-1&lt;=Person1!$C$9, Person1!$B$9+ROW(B32)-1, "")</f>
        <v/>
      </c>
      <c r="H34" s="1" t="str">
        <f>IF(Person1!$B$10+ROW(B32)-1&lt;=Person1!$C$10, Person1!$B$10+ROW(B32)-1, "")</f>
        <v/>
      </c>
      <c r="I34" s="1" t="str">
        <f>IF(Person1!$B$11+ROW(B32)-1&lt;=Person1!$C$11, Person1!$B$11+ROW(B32)-1, "")</f>
        <v/>
      </c>
      <c r="J34" s="1" t="str">
        <f>IF(Person1!$B$12+ROW(B32)-1&lt;=Person1!$C$12, Person1!$B$12+ROW(B32)-1, "")</f>
        <v/>
      </c>
      <c r="K34" s="1" t="str">
        <f>IF(Person1!$B$13+ROW(B32)-1&lt;=Person1!$C$13, Person1!$B$13+ROW(B32)-1, "")</f>
        <v/>
      </c>
      <c r="L34" s="1" t="str">
        <f>IF(Person1!$B$14+ROW(B32)-1&lt;=Person1!$C$14, Person1!$B$14+ROW(B32)-1, "")</f>
        <v/>
      </c>
      <c r="M34" s="1" t="str">
        <f>IF(Person1!$B$15+ROW(B32)-1&lt;=Person1!$C$15, Person1!$B$15+ROW(B32)-1, "")</f>
        <v/>
      </c>
      <c r="N34" s="1" t="str">
        <f>IF(Person1!$B$16+ROW(B32)-1&lt;=Person1!$C$16, Person1!$B$16+ROW(B32)-1, "")</f>
        <v/>
      </c>
      <c r="O34" s="1" t="str">
        <f>IF(Person1!$B$17+ROW(B32)-1&lt;=Person1!$C$17, Person1!$B$17+ROW(B32)-1, "")</f>
        <v/>
      </c>
      <c r="V34" s="1" t="str">
        <f>IF(Person1!$D$3+ROW(A32)-1&lt;=Person1!$E$3, Person1!$D$3+ROW(A32)-1, "")</f>
        <v/>
      </c>
      <c r="W34" s="1" t="str">
        <f>IF(Person1!$D$4+ROW(A32)-1&lt;=Person1!$E$4, Person1!$D$4+ROW(A32)-1, "")</f>
        <v/>
      </c>
      <c r="X34" s="1" t="str">
        <f>IF(Person1!$D$5+ROW(A32)-1&lt;=Person1!$E$5, Person1!$D$5+ROW(A32)-1, "")</f>
        <v/>
      </c>
      <c r="Y34" s="1" t="str">
        <f>IF(Person1!$D$6+ROW(A32)-1&lt;=Person1!$E$6, Person1!$D$6+ROW(A32)-1, "")</f>
        <v/>
      </c>
      <c r="Z34" s="1" t="str">
        <f>IF(Person1!$D$7+ROW(A32)-1&lt;=Person1!$E$7, Person1!$D$7+ROW(A32)-1, "")</f>
        <v/>
      </c>
      <c r="AA34" s="1" t="str">
        <f>IF(Person1!$D$8+ROW(A32)-1&lt;=Person1!$E$8, Person1!$D$8+ROW(A32)-1, "")</f>
        <v/>
      </c>
      <c r="AE34" s="1" t="str">
        <f>IF(Person1!$F$3+ROW(A32)-1&lt;=Person1!$G$3, Person1!$F$3+ROW(A32)-1, "")</f>
        <v/>
      </c>
      <c r="AF34" s="1" t="str">
        <f>IF(Person1!$F$4+ROW(A32)-1&lt;=Person1!$G$4, Person1!$F$4+ROW(A32)-1, "")</f>
        <v/>
      </c>
      <c r="AG34" s="1" t="str">
        <f>IF(Person1!$F$5+ROW(A32)-1&lt;=Person1!$G$5, Person1!$F$5+ROW(A32)-1, "")</f>
        <v/>
      </c>
      <c r="AH34" s="1" t="str">
        <f>IF(Person1!$F$6+ROW(A32)-1&lt;=Person1!$G$6, Person1!$F$6+ROW(A32)-1, "")</f>
        <v/>
      </c>
      <c r="AI34" s="1" t="str">
        <f>IF(Person1!$F$7+ROW(A32)-1&lt;=Person1!$G$7, Person1!$F$7+ROW(A32)-1, "")</f>
        <v/>
      </c>
    </row>
    <row r="35" spans="1:35" x14ac:dyDescent="0.3">
      <c r="A35" s="1" t="str">
        <f>IF(Person1!$B$3+ROW(A33)-1&lt;=Person1!$C$3, Person1!$B$3+ROW(A33)-1, "")</f>
        <v/>
      </c>
      <c r="B35" s="1" t="str">
        <f>IF(Person1!$B$4+ROW(B33)-1&lt;=Person1!$C$4, Person1!$B$4+ROW(B33)-1, "")</f>
        <v/>
      </c>
      <c r="C35" s="1" t="str">
        <f>IF(Person1!$B$5+ROW(B33)-1&lt;=Person1!$C$5, Person1!$B$5+ROW(B33)-1, "")</f>
        <v/>
      </c>
      <c r="D35" s="1" t="str">
        <f>IF(Person1!$B$6+ROW(B33)-1&lt;=Person1!$C$6, Person1!$B$6+ROW(B33)-1, "")</f>
        <v/>
      </c>
      <c r="E35" s="1" t="str">
        <f>IF(Person1!$B$7+ROW(B33)-1&lt;=Person1!$C$7, Person1!$B$7+ROW(B33)-1, "")</f>
        <v/>
      </c>
      <c r="F35" s="1" t="str">
        <f>IF(Person1!$B$8+ROW(B33)-1&lt;=Person1!$C$8, Person1!$B$8+ROW(B33)-1, "")</f>
        <v/>
      </c>
      <c r="G35" s="1" t="str">
        <f>IF(Person1!$B$9+ROW(B33)-1&lt;=Person1!$C$9, Person1!$B$9+ROW(B33)-1, "")</f>
        <v/>
      </c>
      <c r="H35" s="1" t="str">
        <f>IF(Person1!$B$10+ROW(B33)-1&lt;=Person1!$C$10, Person1!$B$10+ROW(B33)-1, "")</f>
        <v/>
      </c>
      <c r="I35" s="1" t="str">
        <f>IF(Person1!$B$11+ROW(B33)-1&lt;=Person1!$C$11, Person1!$B$11+ROW(B33)-1, "")</f>
        <v/>
      </c>
      <c r="J35" s="1" t="str">
        <f>IF(Person1!$B$12+ROW(B33)-1&lt;=Person1!$C$12, Person1!$B$12+ROW(B33)-1, "")</f>
        <v/>
      </c>
      <c r="K35" s="1" t="str">
        <f>IF(Person1!$B$13+ROW(B33)-1&lt;=Person1!$C$13, Person1!$B$13+ROW(B33)-1, "")</f>
        <v/>
      </c>
      <c r="L35" s="1" t="str">
        <f>IF(Person1!$B$14+ROW(B33)-1&lt;=Person1!$C$14, Person1!$B$14+ROW(B33)-1, "")</f>
        <v/>
      </c>
      <c r="M35" s="1" t="str">
        <f>IF(Person1!$B$15+ROW(B33)-1&lt;=Person1!$C$15, Person1!$B$15+ROW(B33)-1, "")</f>
        <v/>
      </c>
      <c r="N35" s="1" t="str">
        <f>IF(Person1!$B$16+ROW(B33)-1&lt;=Person1!$C$16, Person1!$B$16+ROW(B33)-1, "")</f>
        <v/>
      </c>
      <c r="O35" s="1" t="str">
        <f>IF(Person1!$B$17+ROW(B33)-1&lt;=Person1!$C$17, Person1!$B$17+ROW(B33)-1, "")</f>
        <v/>
      </c>
      <c r="V35" s="1" t="str">
        <f>IF(Person1!$D$3+ROW(A33)-1&lt;=Person1!$E$3, Person1!$D$3+ROW(A33)-1, "")</f>
        <v/>
      </c>
      <c r="W35" s="1" t="str">
        <f>IF(Person1!$D$4+ROW(A33)-1&lt;=Person1!$E$4, Person1!$D$4+ROW(A33)-1, "")</f>
        <v/>
      </c>
      <c r="X35" s="1" t="str">
        <f>IF(Person1!$D$5+ROW(A33)-1&lt;=Person1!$E$5, Person1!$D$5+ROW(A33)-1, "")</f>
        <v/>
      </c>
      <c r="Y35" s="1" t="str">
        <f>IF(Person1!$D$6+ROW(A33)-1&lt;=Person1!$E$6, Person1!$D$6+ROW(A33)-1, "")</f>
        <v/>
      </c>
      <c r="Z35" s="1" t="str">
        <f>IF(Person1!$D$7+ROW(A33)-1&lt;=Person1!$E$7, Person1!$D$7+ROW(A33)-1, "")</f>
        <v/>
      </c>
      <c r="AA35" s="1" t="str">
        <f>IF(Person1!$D$8+ROW(A33)-1&lt;=Person1!$E$8, Person1!$D$8+ROW(A33)-1, "")</f>
        <v/>
      </c>
      <c r="AE35" s="1" t="str">
        <f>IF(Person1!$F$3+ROW(A33)-1&lt;=Person1!$G$3, Person1!$F$3+ROW(A33)-1, "")</f>
        <v/>
      </c>
      <c r="AF35" s="1" t="str">
        <f>IF(Person1!$F$4+ROW(A33)-1&lt;=Person1!$G$4, Person1!$F$4+ROW(A33)-1, "")</f>
        <v/>
      </c>
      <c r="AG35" s="1" t="str">
        <f>IF(Person1!$F$5+ROW(A33)-1&lt;=Person1!$G$5, Person1!$F$5+ROW(A33)-1, "")</f>
        <v/>
      </c>
      <c r="AH35" s="1" t="str">
        <f>IF(Person1!$F$6+ROW(A33)-1&lt;=Person1!$G$6, Person1!$F$6+ROW(A33)-1, "")</f>
        <v/>
      </c>
      <c r="AI35" s="1" t="str">
        <f>IF(Person1!$F$7+ROW(A33)-1&lt;=Person1!$G$7, Person1!$F$7+ROW(A33)-1, "")</f>
        <v/>
      </c>
    </row>
    <row r="36" spans="1:35" x14ac:dyDescent="0.3">
      <c r="A36" s="1" t="str">
        <f>IF(Person1!$B$3+ROW(A34)-1&lt;=Person1!$C$3, Person1!$B$3+ROW(A34)-1, "")</f>
        <v/>
      </c>
      <c r="B36" s="1" t="str">
        <f>IF(Person1!$B$4+ROW(B34)-1&lt;=Person1!$C$4, Person1!$B$4+ROW(B34)-1, "")</f>
        <v/>
      </c>
      <c r="C36" s="1" t="str">
        <f>IF(Person1!$B$5+ROW(B34)-1&lt;=Person1!$C$5, Person1!$B$5+ROW(B34)-1, "")</f>
        <v/>
      </c>
      <c r="D36" s="1" t="str">
        <f>IF(Person1!$B$6+ROW(B34)-1&lt;=Person1!$C$6, Person1!$B$6+ROW(B34)-1, "")</f>
        <v/>
      </c>
      <c r="E36" s="1" t="str">
        <f>IF(Person1!$B$7+ROW(B34)-1&lt;=Person1!$C$7, Person1!$B$7+ROW(B34)-1, "")</f>
        <v/>
      </c>
      <c r="F36" s="1" t="str">
        <f>IF(Person1!$B$8+ROW(B34)-1&lt;=Person1!$C$8, Person1!$B$8+ROW(B34)-1, "")</f>
        <v/>
      </c>
      <c r="G36" s="1" t="str">
        <f>IF(Person1!$B$9+ROW(B34)-1&lt;=Person1!$C$9, Person1!$B$9+ROW(B34)-1, "")</f>
        <v/>
      </c>
      <c r="H36" s="1" t="str">
        <f>IF(Person1!$B$10+ROW(B34)-1&lt;=Person1!$C$10, Person1!$B$10+ROW(B34)-1, "")</f>
        <v/>
      </c>
      <c r="I36" s="1" t="str">
        <f>IF(Person1!$B$11+ROW(B34)-1&lt;=Person1!$C$11, Person1!$B$11+ROW(B34)-1, "")</f>
        <v/>
      </c>
      <c r="J36" s="1" t="str">
        <f>IF(Person1!$B$12+ROW(B34)-1&lt;=Person1!$C$12, Person1!$B$12+ROW(B34)-1, "")</f>
        <v/>
      </c>
      <c r="K36" s="1" t="str">
        <f>IF(Person1!$B$13+ROW(B34)-1&lt;=Person1!$C$13, Person1!$B$13+ROW(B34)-1, "")</f>
        <v/>
      </c>
      <c r="L36" s="1" t="str">
        <f>IF(Person1!$B$14+ROW(B34)-1&lt;=Person1!$C$14, Person1!$B$14+ROW(B34)-1, "")</f>
        <v/>
      </c>
      <c r="M36" s="1" t="str">
        <f>IF(Person1!$B$15+ROW(B34)-1&lt;=Person1!$C$15, Person1!$B$15+ROW(B34)-1, "")</f>
        <v/>
      </c>
      <c r="N36" s="1" t="str">
        <f>IF(Person1!$B$16+ROW(B34)-1&lt;=Person1!$C$16, Person1!$B$16+ROW(B34)-1, "")</f>
        <v/>
      </c>
      <c r="O36" s="1" t="str">
        <f>IF(Person1!$B$17+ROW(B34)-1&lt;=Person1!$C$17, Person1!$B$17+ROW(B34)-1, "")</f>
        <v/>
      </c>
      <c r="V36" s="1" t="str">
        <f>IF(Person1!$D$3+ROW(A34)-1&lt;=Person1!$E$3, Person1!$D$3+ROW(A34)-1, "")</f>
        <v/>
      </c>
      <c r="W36" s="1" t="str">
        <f>IF(Person1!$D$4+ROW(A34)-1&lt;=Person1!$E$4, Person1!$D$4+ROW(A34)-1, "")</f>
        <v/>
      </c>
      <c r="X36" s="1" t="str">
        <f>IF(Person1!$D$5+ROW(A34)-1&lt;=Person1!$E$5, Person1!$D$5+ROW(A34)-1, "")</f>
        <v/>
      </c>
      <c r="Y36" s="1" t="str">
        <f>IF(Person1!$D$6+ROW(A34)-1&lt;=Person1!$E$6, Person1!$D$6+ROW(A34)-1, "")</f>
        <v/>
      </c>
      <c r="Z36" s="1" t="str">
        <f>IF(Person1!$D$7+ROW(A34)-1&lt;=Person1!$E$7, Person1!$D$7+ROW(A34)-1, "")</f>
        <v/>
      </c>
      <c r="AA36" s="1" t="str">
        <f>IF(Person1!$D$8+ROW(A34)-1&lt;=Person1!$E$8, Person1!$D$8+ROW(A34)-1, "")</f>
        <v/>
      </c>
      <c r="AE36" s="1" t="str">
        <f>IF(Person1!$F$3+ROW(A34)-1&lt;=Person1!$G$3, Person1!$F$3+ROW(A34)-1, "")</f>
        <v/>
      </c>
      <c r="AF36" s="1" t="str">
        <f>IF(Person1!$F$4+ROW(A34)-1&lt;=Person1!$G$4, Person1!$F$4+ROW(A34)-1, "")</f>
        <v/>
      </c>
      <c r="AG36" s="1" t="str">
        <f>IF(Person1!$F$5+ROW(A34)-1&lt;=Person1!$G$5, Person1!$F$5+ROW(A34)-1, "")</f>
        <v/>
      </c>
      <c r="AH36" s="1" t="str">
        <f>IF(Person1!$F$6+ROW(A34)-1&lt;=Person1!$G$6, Person1!$F$6+ROW(A34)-1, "")</f>
        <v/>
      </c>
      <c r="AI36" s="1" t="str">
        <f>IF(Person1!$F$7+ROW(A34)-1&lt;=Person1!$G$7, Person1!$F$7+ROW(A34)-1, "")</f>
        <v/>
      </c>
    </row>
    <row r="37" spans="1:35" x14ac:dyDescent="0.3">
      <c r="A37" s="1" t="str">
        <f>IF(Person1!$B$3+ROW(A35)-1&lt;=Person1!$C$3, Person1!$B$3+ROW(A35)-1, "")</f>
        <v/>
      </c>
      <c r="B37" s="1" t="str">
        <f>IF(Person1!$B$4+ROW(B35)-1&lt;=Person1!$C$4, Person1!$B$4+ROW(B35)-1, "")</f>
        <v/>
      </c>
      <c r="C37" s="1" t="str">
        <f>IF(Person1!$B$5+ROW(B35)-1&lt;=Person1!$C$5, Person1!$B$5+ROW(B35)-1, "")</f>
        <v/>
      </c>
      <c r="D37" s="1" t="str">
        <f>IF(Person1!$B$6+ROW(B35)-1&lt;=Person1!$C$6, Person1!$B$6+ROW(B35)-1, "")</f>
        <v/>
      </c>
      <c r="E37" s="1" t="str">
        <f>IF(Person1!$B$7+ROW(B35)-1&lt;=Person1!$C$7, Person1!$B$7+ROW(B35)-1, "")</f>
        <v/>
      </c>
      <c r="F37" s="1" t="str">
        <f>IF(Person1!$B$8+ROW(B35)-1&lt;=Person1!$C$8, Person1!$B$8+ROW(B35)-1, "")</f>
        <v/>
      </c>
      <c r="G37" s="1" t="str">
        <f>IF(Person1!$B$9+ROW(B35)-1&lt;=Person1!$C$9, Person1!$B$9+ROW(B35)-1, "")</f>
        <v/>
      </c>
      <c r="H37" s="1" t="str">
        <f>IF(Person1!$B$10+ROW(B35)-1&lt;=Person1!$C$10, Person1!$B$10+ROW(B35)-1, "")</f>
        <v/>
      </c>
      <c r="I37" s="1" t="str">
        <f>IF(Person1!$B$11+ROW(B35)-1&lt;=Person1!$C$11, Person1!$B$11+ROW(B35)-1, "")</f>
        <v/>
      </c>
      <c r="J37" s="1" t="str">
        <f>IF(Person1!$B$12+ROW(B35)-1&lt;=Person1!$C$12, Person1!$B$12+ROW(B35)-1, "")</f>
        <v/>
      </c>
      <c r="K37" s="1" t="str">
        <f>IF(Person1!$B$13+ROW(B35)-1&lt;=Person1!$C$13, Person1!$B$13+ROW(B35)-1, "")</f>
        <v/>
      </c>
      <c r="L37" s="1" t="str">
        <f>IF(Person1!$B$14+ROW(B35)-1&lt;=Person1!$C$14, Person1!$B$14+ROW(B35)-1, "")</f>
        <v/>
      </c>
      <c r="M37" s="1" t="str">
        <f>IF(Person1!$B$15+ROW(B35)-1&lt;=Person1!$C$15, Person1!$B$15+ROW(B35)-1, "")</f>
        <v/>
      </c>
      <c r="N37" s="1" t="str">
        <f>IF(Person1!$B$16+ROW(B35)-1&lt;=Person1!$C$16, Person1!$B$16+ROW(B35)-1, "")</f>
        <v/>
      </c>
      <c r="O37" s="1" t="str">
        <f>IF(Person1!$B$17+ROW(B35)-1&lt;=Person1!$C$17, Person1!$B$17+ROW(B35)-1, "")</f>
        <v/>
      </c>
      <c r="V37" s="1" t="str">
        <f>IF(Person1!$D$3+ROW(A35)-1&lt;=Person1!$E$3, Person1!$D$3+ROW(A35)-1, "")</f>
        <v/>
      </c>
      <c r="W37" s="1" t="str">
        <f>IF(Person1!$D$4+ROW(A35)-1&lt;=Person1!$E$4, Person1!$D$4+ROW(A35)-1, "")</f>
        <v/>
      </c>
      <c r="X37" s="1" t="str">
        <f>IF(Person1!$D$5+ROW(A35)-1&lt;=Person1!$E$5, Person1!$D$5+ROW(A35)-1, "")</f>
        <v/>
      </c>
      <c r="Y37" s="1" t="str">
        <f>IF(Person1!$D$6+ROW(A35)-1&lt;=Person1!$E$6, Person1!$D$6+ROW(A35)-1, "")</f>
        <v/>
      </c>
      <c r="Z37" s="1" t="str">
        <f>IF(Person1!$D$7+ROW(A35)-1&lt;=Person1!$E$7, Person1!$D$7+ROW(A35)-1, "")</f>
        <v/>
      </c>
      <c r="AA37" s="1" t="str">
        <f>IF(Person1!$D$8+ROW(A35)-1&lt;=Person1!$E$8, Person1!$D$8+ROW(A35)-1, "")</f>
        <v/>
      </c>
      <c r="AE37" s="1" t="str">
        <f>IF(Person1!$F$3+ROW(A35)-1&lt;=Person1!$G$3, Person1!$F$3+ROW(A35)-1, "")</f>
        <v/>
      </c>
      <c r="AF37" s="1" t="str">
        <f>IF(Person1!$F$4+ROW(A35)-1&lt;=Person1!$G$4, Person1!$F$4+ROW(A35)-1, "")</f>
        <v/>
      </c>
      <c r="AG37" s="1" t="str">
        <f>IF(Person1!$F$5+ROW(A35)-1&lt;=Person1!$G$5, Person1!$F$5+ROW(A35)-1, "")</f>
        <v/>
      </c>
      <c r="AH37" s="1" t="str">
        <f>IF(Person1!$F$6+ROW(A35)-1&lt;=Person1!$G$6, Person1!$F$6+ROW(A35)-1, "")</f>
        <v/>
      </c>
      <c r="AI37" s="1" t="str">
        <f>IF(Person1!$F$7+ROW(A35)-1&lt;=Person1!$G$7, Person1!$F$7+ROW(A35)-1, "")</f>
        <v/>
      </c>
    </row>
    <row r="38" spans="1:35" x14ac:dyDescent="0.3">
      <c r="A38" s="1" t="str">
        <f>IF(Person1!$B$3+ROW(A36)-1&lt;=Person1!$C$3, Person1!$B$3+ROW(A36)-1, "")</f>
        <v/>
      </c>
      <c r="B38" s="1" t="str">
        <f>IF(Person1!$B$4+ROW(B36)-1&lt;=Person1!$C$4, Person1!$B$4+ROW(B36)-1, "")</f>
        <v/>
      </c>
      <c r="C38" s="1" t="str">
        <f>IF(Person1!$B$5+ROW(B36)-1&lt;=Person1!$C$5, Person1!$B$5+ROW(B36)-1, "")</f>
        <v/>
      </c>
      <c r="D38" s="1" t="str">
        <f>IF(Person1!$B$6+ROW(B36)-1&lt;=Person1!$C$6, Person1!$B$6+ROW(B36)-1, "")</f>
        <v/>
      </c>
      <c r="E38" s="1" t="str">
        <f>IF(Person1!$B$7+ROW(B36)-1&lt;=Person1!$C$7, Person1!$B$7+ROW(B36)-1, "")</f>
        <v/>
      </c>
      <c r="F38" s="1" t="str">
        <f>IF(Person1!$B$8+ROW(B36)-1&lt;=Person1!$C$8, Person1!$B$8+ROW(B36)-1, "")</f>
        <v/>
      </c>
      <c r="G38" s="1" t="str">
        <f>IF(Person1!$B$9+ROW(B36)-1&lt;=Person1!$C$9, Person1!$B$9+ROW(B36)-1, "")</f>
        <v/>
      </c>
      <c r="H38" s="1" t="str">
        <f>IF(Person1!$B$10+ROW(B36)-1&lt;=Person1!$C$10, Person1!$B$10+ROW(B36)-1, "")</f>
        <v/>
      </c>
      <c r="I38" s="1" t="str">
        <f>IF(Person1!$B$11+ROW(B36)-1&lt;=Person1!$C$11, Person1!$B$11+ROW(B36)-1, "")</f>
        <v/>
      </c>
      <c r="J38" s="1" t="str">
        <f>IF(Person1!$B$12+ROW(B36)-1&lt;=Person1!$C$12, Person1!$B$12+ROW(B36)-1, "")</f>
        <v/>
      </c>
      <c r="K38" s="1" t="str">
        <f>IF(Person1!$B$13+ROW(B36)-1&lt;=Person1!$C$13, Person1!$B$13+ROW(B36)-1, "")</f>
        <v/>
      </c>
      <c r="L38" s="1" t="str">
        <f>IF(Person1!$B$14+ROW(B36)-1&lt;=Person1!$C$14, Person1!$B$14+ROW(B36)-1, "")</f>
        <v/>
      </c>
      <c r="M38" s="1" t="str">
        <f>IF(Person1!$B$15+ROW(B36)-1&lt;=Person1!$C$15, Person1!$B$15+ROW(B36)-1, "")</f>
        <v/>
      </c>
      <c r="N38" s="1" t="str">
        <f>IF(Person1!$B$16+ROW(B36)-1&lt;=Person1!$C$16, Person1!$B$16+ROW(B36)-1, "")</f>
        <v/>
      </c>
      <c r="O38" s="1" t="str">
        <f>IF(Person1!$B$17+ROW(B36)-1&lt;=Person1!$C$17, Person1!$B$17+ROW(B36)-1, "")</f>
        <v/>
      </c>
      <c r="V38" s="1" t="str">
        <f>IF(Person1!$D$3+ROW(A36)-1&lt;=Person1!$E$3, Person1!$D$3+ROW(A36)-1, "")</f>
        <v/>
      </c>
      <c r="W38" s="1" t="str">
        <f>IF(Person1!$D$4+ROW(A36)-1&lt;=Person1!$E$4, Person1!$D$4+ROW(A36)-1, "")</f>
        <v/>
      </c>
      <c r="X38" s="1" t="str">
        <f>IF(Person1!$D$5+ROW(A36)-1&lt;=Person1!$E$5, Person1!$D$5+ROW(A36)-1, "")</f>
        <v/>
      </c>
      <c r="Y38" s="1" t="str">
        <f>IF(Person1!$D$6+ROW(A36)-1&lt;=Person1!$E$6, Person1!$D$6+ROW(A36)-1, "")</f>
        <v/>
      </c>
      <c r="Z38" s="1" t="str">
        <f>IF(Person1!$D$7+ROW(A36)-1&lt;=Person1!$E$7, Person1!$D$7+ROW(A36)-1, "")</f>
        <v/>
      </c>
      <c r="AA38" s="1" t="str">
        <f>IF(Person1!$D$8+ROW(A36)-1&lt;=Person1!$E$8, Person1!$D$8+ROW(A36)-1, "")</f>
        <v/>
      </c>
      <c r="AE38" s="1" t="str">
        <f>IF(Person1!$F$3+ROW(A36)-1&lt;=Person1!$G$3, Person1!$F$3+ROW(A36)-1, "")</f>
        <v/>
      </c>
      <c r="AF38" s="1" t="str">
        <f>IF(Person1!$F$4+ROW(A36)-1&lt;=Person1!$G$4, Person1!$F$4+ROW(A36)-1, "")</f>
        <v/>
      </c>
      <c r="AG38" s="1" t="str">
        <f>IF(Person1!$F$5+ROW(A36)-1&lt;=Person1!$G$5, Person1!$F$5+ROW(A36)-1, "")</f>
        <v/>
      </c>
      <c r="AH38" s="1" t="str">
        <f>IF(Person1!$F$6+ROW(A36)-1&lt;=Person1!$G$6, Person1!$F$6+ROW(A36)-1, "")</f>
        <v/>
      </c>
      <c r="AI38" s="1" t="str">
        <f>IF(Person1!$F$7+ROW(A36)-1&lt;=Person1!$G$7, Person1!$F$7+ROW(A36)-1, "")</f>
        <v/>
      </c>
    </row>
    <row r="39" spans="1:35" x14ac:dyDescent="0.3">
      <c r="A39" s="1" t="str">
        <f>IF(Person1!$B$3+ROW(A37)-1&lt;=Person1!$C$3, Person1!$B$3+ROW(A37)-1, "")</f>
        <v/>
      </c>
      <c r="B39" s="1" t="str">
        <f>IF(Person1!$B$4+ROW(B37)-1&lt;=Person1!$C$4, Person1!$B$4+ROW(B37)-1, "")</f>
        <v/>
      </c>
      <c r="C39" s="1" t="str">
        <f>IF(Person1!$B$5+ROW(B37)-1&lt;=Person1!$C$5, Person1!$B$5+ROW(B37)-1, "")</f>
        <v/>
      </c>
      <c r="D39" s="1" t="str">
        <f>IF(Person1!$B$6+ROW(B37)-1&lt;=Person1!$C$6, Person1!$B$6+ROW(B37)-1, "")</f>
        <v/>
      </c>
      <c r="E39" s="1" t="str">
        <f>IF(Person1!$B$7+ROW(B37)-1&lt;=Person1!$C$7, Person1!$B$7+ROW(B37)-1, "")</f>
        <v/>
      </c>
      <c r="F39" s="1" t="str">
        <f>IF(Person1!$B$8+ROW(B37)-1&lt;=Person1!$C$8, Person1!$B$8+ROW(B37)-1, "")</f>
        <v/>
      </c>
      <c r="G39" s="1" t="str">
        <f>IF(Person1!$B$9+ROW(B37)-1&lt;=Person1!$C$9, Person1!$B$9+ROW(B37)-1, "")</f>
        <v/>
      </c>
      <c r="H39" s="1" t="str">
        <f>IF(Person1!$B$10+ROW(B37)-1&lt;=Person1!$C$10, Person1!$B$10+ROW(B37)-1, "")</f>
        <v/>
      </c>
      <c r="I39" s="1" t="str">
        <f>IF(Person1!$B$11+ROW(B37)-1&lt;=Person1!$C$11, Person1!$B$11+ROW(B37)-1, "")</f>
        <v/>
      </c>
      <c r="J39" s="1" t="str">
        <f>IF(Person1!$B$12+ROW(B37)-1&lt;=Person1!$C$12, Person1!$B$12+ROW(B37)-1, "")</f>
        <v/>
      </c>
      <c r="K39" s="1" t="str">
        <f>IF(Person1!$B$13+ROW(B37)-1&lt;=Person1!$C$13, Person1!$B$13+ROW(B37)-1, "")</f>
        <v/>
      </c>
      <c r="L39" s="1" t="str">
        <f>IF(Person1!$B$14+ROW(B37)-1&lt;=Person1!$C$14, Person1!$B$14+ROW(B37)-1, "")</f>
        <v/>
      </c>
      <c r="M39" s="1" t="str">
        <f>IF(Person1!$B$15+ROW(B37)-1&lt;=Person1!$C$15, Person1!$B$15+ROW(B37)-1, "")</f>
        <v/>
      </c>
      <c r="N39" s="1" t="str">
        <f>IF(Person1!$B$16+ROW(B37)-1&lt;=Person1!$C$16, Person1!$B$16+ROW(B37)-1, "")</f>
        <v/>
      </c>
      <c r="O39" s="1" t="str">
        <f>IF(Person1!$B$17+ROW(B37)-1&lt;=Person1!$C$17, Person1!$B$17+ROW(B37)-1, "")</f>
        <v/>
      </c>
      <c r="V39" s="1" t="str">
        <f>IF(Person1!$D$3+ROW(A37)-1&lt;=Person1!$E$3, Person1!$D$3+ROW(A37)-1, "")</f>
        <v/>
      </c>
      <c r="W39" s="1" t="str">
        <f>IF(Person1!$D$4+ROW(A37)-1&lt;=Person1!$E$4, Person1!$D$4+ROW(A37)-1, "")</f>
        <v/>
      </c>
      <c r="X39" s="1" t="str">
        <f>IF(Person1!$D$5+ROW(A37)-1&lt;=Person1!$E$5, Person1!$D$5+ROW(A37)-1, "")</f>
        <v/>
      </c>
      <c r="Y39" s="1" t="str">
        <f>IF(Person1!$D$6+ROW(A37)-1&lt;=Person1!$E$6, Person1!$D$6+ROW(A37)-1, "")</f>
        <v/>
      </c>
      <c r="Z39" s="1" t="str">
        <f>IF(Person1!$D$7+ROW(A37)-1&lt;=Person1!$E$7, Person1!$D$7+ROW(A37)-1, "")</f>
        <v/>
      </c>
      <c r="AA39" s="1" t="str">
        <f>IF(Person1!$D$8+ROW(A37)-1&lt;=Person1!$E$8, Person1!$D$8+ROW(A37)-1, "")</f>
        <v/>
      </c>
      <c r="AE39" s="1" t="str">
        <f>IF(Person1!$F$3+ROW(A37)-1&lt;=Person1!$G$3, Person1!$F$3+ROW(A37)-1, "")</f>
        <v/>
      </c>
      <c r="AF39" s="1" t="str">
        <f>IF(Person1!$F$4+ROW(A37)-1&lt;=Person1!$G$4, Person1!$F$4+ROW(A37)-1, "")</f>
        <v/>
      </c>
      <c r="AG39" s="1" t="str">
        <f>IF(Person1!$F$5+ROW(A37)-1&lt;=Person1!$G$5, Person1!$F$5+ROW(A37)-1, "")</f>
        <v/>
      </c>
      <c r="AH39" s="1" t="str">
        <f>IF(Person1!$F$6+ROW(A37)-1&lt;=Person1!$G$6, Person1!$F$6+ROW(A37)-1, "")</f>
        <v/>
      </c>
      <c r="AI39" s="1" t="str">
        <f>IF(Person1!$F$7+ROW(A37)-1&lt;=Person1!$G$7, Person1!$F$7+ROW(A37)-1, "")</f>
        <v/>
      </c>
    </row>
    <row r="40" spans="1:35" x14ac:dyDescent="0.3">
      <c r="A40" s="1" t="str">
        <f>IF(Person1!$B$3+ROW(A38)-1&lt;=Person1!$C$3, Person1!$B$3+ROW(A38)-1, "")</f>
        <v/>
      </c>
      <c r="B40" s="1" t="str">
        <f>IF(Person1!$B$4+ROW(B38)-1&lt;=Person1!$C$4, Person1!$B$4+ROW(B38)-1, "")</f>
        <v/>
      </c>
      <c r="C40" s="1" t="str">
        <f>IF(Person1!$B$5+ROW(B38)-1&lt;=Person1!$C$5, Person1!$B$5+ROW(B38)-1, "")</f>
        <v/>
      </c>
      <c r="D40" s="1" t="str">
        <f>IF(Person1!$B$6+ROW(B38)-1&lt;=Person1!$C$6, Person1!$B$6+ROW(B38)-1, "")</f>
        <v/>
      </c>
      <c r="E40" s="1" t="str">
        <f>IF(Person1!$B$7+ROW(B38)-1&lt;=Person1!$C$7, Person1!$B$7+ROW(B38)-1, "")</f>
        <v/>
      </c>
      <c r="F40" s="1" t="str">
        <f>IF(Person1!$B$8+ROW(B38)-1&lt;=Person1!$C$8, Person1!$B$8+ROW(B38)-1, "")</f>
        <v/>
      </c>
      <c r="G40" s="1" t="str">
        <f>IF(Person1!$B$9+ROW(B38)-1&lt;=Person1!$C$9, Person1!$B$9+ROW(B38)-1, "")</f>
        <v/>
      </c>
      <c r="H40" s="1" t="str">
        <f>IF(Person1!$B$10+ROW(B38)-1&lt;=Person1!$C$10, Person1!$B$10+ROW(B38)-1, "")</f>
        <v/>
      </c>
      <c r="I40" s="1" t="str">
        <f>IF(Person1!$B$11+ROW(B38)-1&lt;=Person1!$C$11, Person1!$B$11+ROW(B38)-1, "")</f>
        <v/>
      </c>
      <c r="J40" s="1" t="str">
        <f>IF(Person1!$B$12+ROW(B38)-1&lt;=Person1!$C$12, Person1!$B$12+ROW(B38)-1, "")</f>
        <v/>
      </c>
      <c r="K40" s="1" t="str">
        <f>IF(Person1!$B$13+ROW(B38)-1&lt;=Person1!$C$13, Person1!$B$13+ROW(B38)-1, "")</f>
        <v/>
      </c>
      <c r="L40" s="1" t="str">
        <f>IF(Person1!$B$14+ROW(B38)-1&lt;=Person1!$C$14, Person1!$B$14+ROW(B38)-1, "")</f>
        <v/>
      </c>
      <c r="M40" s="1" t="str">
        <f>IF(Person1!$B$15+ROW(B38)-1&lt;=Person1!$C$15, Person1!$B$15+ROW(B38)-1, "")</f>
        <v/>
      </c>
      <c r="N40" s="1" t="str">
        <f>IF(Person1!$B$16+ROW(B38)-1&lt;=Person1!$C$16, Person1!$B$16+ROW(B38)-1, "")</f>
        <v/>
      </c>
      <c r="O40" s="1" t="str">
        <f>IF(Person1!$B$17+ROW(B38)-1&lt;=Person1!$C$17, Person1!$B$17+ROW(B38)-1, "")</f>
        <v/>
      </c>
      <c r="V40" s="1" t="str">
        <f>IF(Person1!$D$3+ROW(A38)-1&lt;=Person1!$E$3, Person1!$D$3+ROW(A38)-1, "")</f>
        <v/>
      </c>
      <c r="W40" s="1" t="str">
        <f>IF(Person1!$D$4+ROW(A38)-1&lt;=Person1!$E$4, Person1!$D$4+ROW(A38)-1, "")</f>
        <v/>
      </c>
      <c r="X40" s="1" t="str">
        <f>IF(Person1!$D$5+ROW(A38)-1&lt;=Person1!$E$5, Person1!$D$5+ROW(A38)-1, "")</f>
        <v/>
      </c>
      <c r="Y40" s="1" t="str">
        <f>IF(Person1!$D$6+ROW(A38)-1&lt;=Person1!$E$6, Person1!$D$6+ROW(A38)-1, "")</f>
        <v/>
      </c>
      <c r="Z40" s="1" t="str">
        <f>IF(Person1!$D$7+ROW(A38)-1&lt;=Person1!$E$7, Person1!$D$7+ROW(A38)-1, "")</f>
        <v/>
      </c>
      <c r="AA40" s="1" t="str">
        <f>IF(Person1!$D$8+ROW(A38)-1&lt;=Person1!$E$8, Person1!$D$8+ROW(A38)-1, "")</f>
        <v/>
      </c>
      <c r="AE40" s="1" t="str">
        <f>IF(Person1!$F$3+ROW(A38)-1&lt;=Person1!$G$3, Person1!$F$3+ROW(A38)-1, "")</f>
        <v/>
      </c>
      <c r="AF40" s="1" t="str">
        <f>IF(Person1!$F$4+ROW(A38)-1&lt;=Person1!$G$4, Person1!$F$4+ROW(A38)-1, "")</f>
        <v/>
      </c>
      <c r="AG40" s="1" t="str">
        <f>IF(Person1!$F$5+ROW(A38)-1&lt;=Person1!$G$5, Person1!$F$5+ROW(A38)-1, "")</f>
        <v/>
      </c>
      <c r="AH40" s="1" t="str">
        <f>IF(Person1!$F$6+ROW(A38)-1&lt;=Person1!$G$6, Person1!$F$6+ROW(A38)-1, "")</f>
        <v/>
      </c>
      <c r="AI40" s="1" t="str">
        <f>IF(Person1!$F$7+ROW(A38)-1&lt;=Person1!$G$7, Person1!$F$7+ROW(A38)-1, "")</f>
        <v/>
      </c>
    </row>
    <row r="41" spans="1:35" x14ac:dyDescent="0.3">
      <c r="A41" s="1" t="str">
        <f>IF(Person1!$B$3+ROW(A39)-1&lt;=Person1!$C$3, Person1!$B$3+ROW(A39)-1, "")</f>
        <v/>
      </c>
      <c r="B41" s="1" t="str">
        <f>IF(Person1!$B$4+ROW(B39)-1&lt;=Person1!$C$4, Person1!$B$4+ROW(B39)-1, "")</f>
        <v/>
      </c>
      <c r="C41" s="1" t="str">
        <f>IF(Person1!$B$5+ROW(B39)-1&lt;=Person1!$C$5, Person1!$B$5+ROW(B39)-1, "")</f>
        <v/>
      </c>
      <c r="D41" s="1" t="str">
        <f>IF(Person1!$B$6+ROW(B39)-1&lt;=Person1!$C$6, Person1!$B$6+ROW(B39)-1, "")</f>
        <v/>
      </c>
      <c r="E41" s="1" t="str">
        <f>IF(Person1!$B$7+ROW(B39)-1&lt;=Person1!$C$7, Person1!$B$7+ROW(B39)-1, "")</f>
        <v/>
      </c>
      <c r="F41" s="1" t="str">
        <f>IF(Person1!$B$8+ROW(B39)-1&lt;=Person1!$C$8, Person1!$B$8+ROW(B39)-1, "")</f>
        <v/>
      </c>
      <c r="G41" s="1" t="str">
        <f>IF(Person1!$B$9+ROW(B39)-1&lt;=Person1!$C$9, Person1!$B$9+ROW(B39)-1, "")</f>
        <v/>
      </c>
      <c r="H41" s="1" t="str">
        <f>IF(Person1!$B$10+ROW(B39)-1&lt;=Person1!$C$10, Person1!$B$10+ROW(B39)-1, "")</f>
        <v/>
      </c>
      <c r="I41" s="1" t="str">
        <f>IF(Person1!$B$11+ROW(B39)-1&lt;=Person1!$C$11, Person1!$B$11+ROW(B39)-1, "")</f>
        <v/>
      </c>
      <c r="J41" s="1" t="str">
        <f>IF(Person1!$B$12+ROW(B39)-1&lt;=Person1!$C$12, Person1!$B$12+ROW(B39)-1, "")</f>
        <v/>
      </c>
      <c r="K41" s="1" t="str">
        <f>IF(Person1!$B$13+ROW(B39)-1&lt;=Person1!$C$13, Person1!$B$13+ROW(B39)-1, "")</f>
        <v/>
      </c>
      <c r="L41" s="1" t="str">
        <f>IF(Person1!$B$14+ROW(B39)-1&lt;=Person1!$C$14, Person1!$B$14+ROW(B39)-1, "")</f>
        <v/>
      </c>
      <c r="M41" s="1" t="str">
        <f>IF(Person1!$B$15+ROW(B39)-1&lt;=Person1!$C$15, Person1!$B$15+ROW(B39)-1, "")</f>
        <v/>
      </c>
      <c r="N41" s="1" t="str">
        <f>IF(Person1!$B$16+ROW(B39)-1&lt;=Person1!$C$16, Person1!$B$16+ROW(B39)-1, "")</f>
        <v/>
      </c>
      <c r="O41" s="1" t="str">
        <f>IF(Person1!$B$17+ROW(B39)-1&lt;=Person1!$C$17, Person1!$B$17+ROW(B39)-1, "")</f>
        <v/>
      </c>
      <c r="V41" s="1" t="str">
        <f>IF(Person1!$D$3+ROW(A39)-1&lt;=Person1!$E$3, Person1!$D$3+ROW(A39)-1, "")</f>
        <v/>
      </c>
      <c r="W41" s="1" t="str">
        <f>IF(Person1!$D$4+ROW(A39)-1&lt;=Person1!$E$4, Person1!$D$4+ROW(A39)-1, "")</f>
        <v/>
      </c>
      <c r="X41" s="1" t="str">
        <f>IF(Person1!$D$5+ROW(A39)-1&lt;=Person1!$E$5, Person1!$D$5+ROW(A39)-1, "")</f>
        <v/>
      </c>
      <c r="Y41" s="1" t="str">
        <f>IF(Person1!$D$6+ROW(A39)-1&lt;=Person1!$E$6, Person1!$D$6+ROW(A39)-1, "")</f>
        <v/>
      </c>
      <c r="Z41" s="1" t="str">
        <f>IF(Person1!$D$7+ROW(A39)-1&lt;=Person1!$E$7, Person1!$D$7+ROW(A39)-1, "")</f>
        <v/>
      </c>
      <c r="AA41" s="1" t="str">
        <f>IF(Person1!$D$8+ROW(A39)-1&lt;=Person1!$E$8, Person1!$D$8+ROW(A39)-1, "")</f>
        <v/>
      </c>
      <c r="AE41" s="1" t="str">
        <f>IF(Person1!$F$3+ROW(A39)-1&lt;=Person1!$G$3, Person1!$F$3+ROW(A39)-1, "")</f>
        <v/>
      </c>
      <c r="AF41" s="1" t="str">
        <f>IF(Person1!$F$4+ROW(A39)-1&lt;=Person1!$G$4, Person1!$F$4+ROW(A39)-1, "")</f>
        <v/>
      </c>
      <c r="AG41" s="1" t="str">
        <f>IF(Person1!$F$5+ROW(A39)-1&lt;=Person1!$G$5, Person1!$F$5+ROW(A39)-1, "")</f>
        <v/>
      </c>
      <c r="AH41" s="1" t="str">
        <f>IF(Person1!$F$6+ROW(A39)-1&lt;=Person1!$G$6, Person1!$F$6+ROW(A39)-1, "")</f>
        <v/>
      </c>
      <c r="AI41" s="1" t="str">
        <f>IF(Person1!$F$7+ROW(A39)-1&lt;=Person1!$G$7, Person1!$F$7+ROW(A39)-1, "")</f>
        <v/>
      </c>
    </row>
    <row r="42" spans="1:35" x14ac:dyDescent="0.3">
      <c r="A42" s="1" t="str">
        <f>IF(Person1!$B$3+ROW(A40)-1&lt;=Person1!$C$3, Person1!$B$3+ROW(A40)-1, "")</f>
        <v/>
      </c>
      <c r="B42" s="1" t="str">
        <f>IF(Person1!$B$4+ROW(B40)-1&lt;=Person1!$C$4, Person1!$B$4+ROW(B40)-1, "")</f>
        <v/>
      </c>
      <c r="C42" s="1" t="str">
        <f>IF(Person1!$B$5+ROW(B40)-1&lt;=Person1!$C$5, Person1!$B$5+ROW(B40)-1, "")</f>
        <v/>
      </c>
      <c r="D42" s="1" t="str">
        <f>IF(Person1!$B$6+ROW(B40)-1&lt;=Person1!$C$6, Person1!$B$6+ROW(B40)-1, "")</f>
        <v/>
      </c>
      <c r="E42" s="1" t="str">
        <f>IF(Person1!$B$7+ROW(B40)-1&lt;=Person1!$C$7, Person1!$B$7+ROW(B40)-1, "")</f>
        <v/>
      </c>
      <c r="F42" s="1" t="str">
        <f>IF(Person1!$B$8+ROW(B40)-1&lt;=Person1!$C$8, Person1!$B$8+ROW(B40)-1, "")</f>
        <v/>
      </c>
      <c r="G42" s="1" t="str">
        <f>IF(Person1!$B$9+ROW(B40)-1&lt;=Person1!$C$9, Person1!$B$9+ROW(B40)-1, "")</f>
        <v/>
      </c>
      <c r="H42" s="1" t="str">
        <f>IF(Person1!$B$10+ROW(B40)-1&lt;=Person1!$C$10, Person1!$B$10+ROW(B40)-1, "")</f>
        <v/>
      </c>
      <c r="I42" s="1" t="str">
        <f>IF(Person1!$B$11+ROW(B40)-1&lt;=Person1!$C$11, Person1!$B$11+ROW(B40)-1, "")</f>
        <v/>
      </c>
      <c r="J42" s="1" t="str">
        <f>IF(Person1!$B$12+ROW(B40)-1&lt;=Person1!$C$12, Person1!$B$12+ROW(B40)-1, "")</f>
        <v/>
      </c>
      <c r="K42" s="1" t="str">
        <f>IF(Person1!$B$13+ROW(B40)-1&lt;=Person1!$C$13, Person1!$B$13+ROW(B40)-1, "")</f>
        <v/>
      </c>
      <c r="L42" s="1" t="str">
        <f>IF(Person1!$B$14+ROW(B40)-1&lt;=Person1!$C$14, Person1!$B$14+ROW(B40)-1, "")</f>
        <v/>
      </c>
      <c r="M42" s="1" t="str">
        <f>IF(Person1!$B$15+ROW(B40)-1&lt;=Person1!$C$15, Person1!$B$15+ROW(B40)-1, "")</f>
        <v/>
      </c>
      <c r="N42" s="1" t="str">
        <f>IF(Person1!$B$16+ROW(B40)-1&lt;=Person1!$C$16, Person1!$B$16+ROW(B40)-1, "")</f>
        <v/>
      </c>
      <c r="O42" s="1" t="str">
        <f>IF(Person1!$B$17+ROW(B40)-1&lt;=Person1!$C$17, Person1!$B$17+ROW(B40)-1, "")</f>
        <v/>
      </c>
      <c r="V42" s="1" t="str">
        <f>IF(Person1!$D$3+ROW(A40)-1&lt;=Person1!$E$3, Person1!$D$3+ROW(A40)-1, "")</f>
        <v/>
      </c>
      <c r="W42" s="1" t="str">
        <f>IF(Person1!$D$4+ROW(A40)-1&lt;=Person1!$E$4, Person1!$D$4+ROW(A40)-1, "")</f>
        <v/>
      </c>
      <c r="X42" s="1" t="str">
        <f>IF(Person1!$D$5+ROW(A40)-1&lt;=Person1!$E$5, Person1!$D$5+ROW(A40)-1, "")</f>
        <v/>
      </c>
      <c r="Y42" s="1" t="str">
        <f>IF(Person1!$D$6+ROW(A40)-1&lt;=Person1!$E$6, Person1!$D$6+ROW(A40)-1, "")</f>
        <v/>
      </c>
      <c r="Z42" s="1" t="str">
        <f>IF(Person1!$D$7+ROW(A40)-1&lt;=Person1!$E$7, Person1!$D$7+ROW(A40)-1, "")</f>
        <v/>
      </c>
      <c r="AA42" s="1" t="str">
        <f>IF(Person1!$D$8+ROW(A40)-1&lt;=Person1!$E$8, Person1!$D$8+ROW(A40)-1, "")</f>
        <v/>
      </c>
      <c r="AE42" s="1" t="str">
        <f>IF(Person1!$F$3+ROW(A40)-1&lt;=Person1!$G$3, Person1!$F$3+ROW(A40)-1, "")</f>
        <v/>
      </c>
      <c r="AF42" s="1" t="str">
        <f>IF(Person1!$F$4+ROW(A40)-1&lt;=Person1!$G$4, Person1!$F$4+ROW(A40)-1, "")</f>
        <v/>
      </c>
      <c r="AG42" s="1" t="str">
        <f>IF(Person1!$F$5+ROW(A40)-1&lt;=Person1!$G$5, Person1!$F$5+ROW(A40)-1, "")</f>
        <v/>
      </c>
      <c r="AH42" s="1" t="str">
        <f>IF(Person1!$F$6+ROW(A40)-1&lt;=Person1!$G$6, Person1!$F$6+ROW(A40)-1, "")</f>
        <v/>
      </c>
      <c r="AI42" s="1" t="str">
        <f>IF(Person1!$F$7+ROW(A40)-1&lt;=Person1!$G$7, Person1!$F$7+ROW(A40)-1, "")</f>
        <v/>
      </c>
    </row>
    <row r="43" spans="1:35" x14ac:dyDescent="0.3">
      <c r="A43" s="1" t="str">
        <f>IF(Person1!$B$3+ROW(A41)-1&lt;=Person1!$C$3, Person1!$B$3+ROW(A41)-1, "")</f>
        <v/>
      </c>
      <c r="B43" s="1" t="str">
        <f>IF(Person1!$B$4+ROW(B41)-1&lt;=Person1!$C$4, Person1!$B$4+ROW(B41)-1, "")</f>
        <v/>
      </c>
      <c r="C43" s="1" t="str">
        <f>IF(Person1!$B$5+ROW(B41)-1&lt;=Person1!$C$5, Person1!$B$5+ROW(B41)-1, "")</f>
        <v/>
      </c>
      <c r="D43" s="1" t="str">
        <f>IF(Person1!$B$6+ROW(B41)-1&lt;=Person1!$C$6, Person1!$B$6+ROW(B41)-1, "")</f>
        <v/>
      </c>
      <c r="E43" s="1" t="str">
        <f>IF(Person1!$B$7+ROW(B41)-1&lt;=Person1!$C$7, Person1!$B$7+ROW(B41)-1, "")</f>
        <v/>
      </c>
      <c r="F43" s="1" t="str">
        <f>IF(Person1!$B$8+ROW(B41)-1&lt;=Person1!$C$8, Person1!$B$8+ROW(B41)-1, "")</f>
        <v/>
      </c>
      <c r="G43" s="1" t="str">
        <f>IF(Person1!$B$9+ROW(B41)-1&lt;=Person1!$C$9, Person1!$B$9+ROW(B41)-1, "")</f>
        <v/>
      </c>
      <c r="H43" s="1" t="str">
        <f>IF(Person1!$B$10+ROW(B41)-1&lt;=Person1!$C$10, Person1!$B$10+ROW(B41)-1, "")</f>
        <v/>
      </c>
      <c r="I43" s="1" t="str">
        <f>IF(Person1!$B$11+ROW(B41)-1&lt;=Person1!$C$11, Person1!$B$11+ROW(B41)-1, "")</f>
        <v/>
      </c>
      <c r="J43" s="1" t="str">
        <f>IF(Person1!$B$12+ROW(B41)-1&lt;=Person1!$C$12, Person1!$B$12+ROW(B41)-1, "")</f>
        <v/>
      </c>
      <c r="K43" s="1" t="str">
        <f>IF(Person1!$B$13+ROW(B41)-1&lt;=Person1!$C$13, Person1!$B$13+ROW(B41)-1, "")</f>
        <v/>
      </c>
      <c r="L43" s="1" t="str">
        <f>IF(Person1!$B$14+ROW(B41)-1&lt;=Person1!$C$14, Person1!$B$14+ROW(B41)-1, "")</f>
        <v/>
      </c>
      <c r="M43" s="1" t="str">
        <f>IF(Person1!$B$15+ROW(B41)-1&lt;=Person1!$C$15, Person1!$B$15+ROW(B41)-1, "")</f>
        <v/>
      </c>
      <c r="N43" s="1" t="str">
        <f>IF(Person1!$B$16+ROW(B41)-1&lt;=Person1!$C$16, Person1!$B$16+ROW(B41)-1, "")</f>
        <v/>
      </c>
      <c r="O43" s="1" t="str">
        <f>IF(Person1!$B$17+ROW(B41)-1&lt;=Person1!$C$17, Person1!$B$17+ROW(B41)-1, "")</f>
        <v/>
      </c>
      <c r="V43" s="1" t="str">
        <f>IF(Person1!$D$3+ROW(A41)-1&lt;=Person1!$E$3, Person1!$D$3+ROW(A41)-1, "")</f>
        <v/>
      </c>
      <c r="W43" s="1" t="str">
        <f>IF(Person1!$D$4+ROW(A41)-1&lt;=Person1!$E$4, Person1!$D$4+ROW(A41)-1, "")</f>
        <v/>
      </c>
      <c r="X43" s="1" t="str">
        <f>IF(Person1!$D$5+ROW(A41)-1&lt;=Person1!$E$5, Person1!$D$5+ROW(A41)-1, "")</f>
        <v/>
      </c>
      <c r="Y43" s="1" t="str">
        <f>IF(Person1!$D$6+ROW(A41)-1&lt;=Person1!$E$6, Person1!$D$6+ROW(A41)-1, "")</f>
        <v/>
      </c>
      <c r="Z43" s="1" t="str">
        <f>IF(Person1!$D$7+ROW(A41)-1&lt;=Person1!$E$7, Person1!$D$7+ROW(A41)-1, "")</f>
        <v/>
      </c>
      <c r="AA43" s="1" t="str">
        <f>IF(Person1!$D$8+ROW(A41)-1&lt;=Person1!$E$8, Person1!$D$8+ROW(A41)-1, "")</f>
        <v/>
      </c>
      <c r="AE43" s="1" t="str">
        <f>IF(Person1!$F$3+ROW(A41)-1&lt;=Person1!$G$3, Person1!$F$3+ROW(A41)-1, "")</f>
        <v/>
      </c>
      <c r="AF43" s="1" t="str">
        <f>IF(Person1!$F$4+ROW(A41)-1&lt;=Person1!$G$4, Person1!$F$4+ROW(A41)-1, "")</f>
        <v/>
      </c>
      <c r="AG43" s="1" t="str">
        <f>IF(Person1!$F$5+ROW(A41)-1&lt;=Person1!$G$5, Person1!$F$5+ROW(A41)-1, "")</f>
        <v/>
      </c>
      <c r="AH43" s="1" t="str">
        <f>IF(Person1!$F$6+ROW(A41)-1&lt;=Person1!$G$6, Person1!$F$6+ROW(A41)-1, "")</f>
        <v/>
      </c>
      <c r="AI43" s="1" t="str">
        <f>IF(Person1!$F$7+ROW(A41)-1&lt;=Person1!$G$7, Person1!$F$7+ROW(A41)-1, "")</f>
        <v/>
      </c>
    </row>
    <row r="44" spans="1:35" x14ac:dyDescent="0.3">
      <c r="A44" s="1" t="str">
        <f>IF(Person1!$B$3+ROW(A42)-1&lt;=Person1!$C$3, Person1!$B$3+ROW(A42)-1, "")</f>
        <v/>
      </c>
      <c r="B44" s="1" t="str">
        <f>IF(Person1!$B$4+ROW(B42)-1&lt;=Person1!$C$4, Person1!$B$4+ROW(B42)-1, "")</f>
        <v/>
      </c>
      <c r="C44" s="1" t="str">
        <f>IF(Person1!$B$5+ROW(B42)-1&lt;=Person1!$C$5, Person1!$B$5+ROW(B42)-1, "")</f>
        <v/>
      </c>
      <c r="D44" s="1" t="str">
        <f>IF(Person1!$B$6+ROW(B42)-1&lt;=Person1!$C$6, Person1!$B$6+ROW(B42)-1, "")</f>
        <v/>
      </c>
      <c r="E44" s="1" t="str">
        <f>IF(Person1!$B$7+ROW(B42)-1&lt;=Person1!$C$7, Person1!$B$7+ROW(B42)-1, "")</f>
        <v/>
      </c>
      <c r="F44" s="1" t="str">
        <f>IF(Person1!$B$8+ROW(B42)-1&lt;=Person1!$C$8, Person1!$B$8+ROW(B42)-1, "")</f>
        <v/>
      </c>
      <c r="G44" s="1" t="str">
        <f>IF(Person1!$B$9+ROW(B42)-1&lt;=Person1!$C$9, Person1!$B$9+ROW(B42)-1, "")</f>
        <v/>
      </c>
      <c r="H44" s="1" t="str">
        <f>IF(Person1!$B$10+ROW(B42)-1&lt;=Person1!$C$10, Person1!$B$10+ROW(B42)-1, "")</f>
        <v/>
      </c>
      <c r="I44" s="1" t="str">
        <f>IF(Person1!$B$11+ROW(B42)-1&lt;=Person1!$C$11, Person1!$B$11+ROW(B42)-1, "")</f>
        <v/>
      </c>
      <c r="J44" s="1" t="str">
        <f>IF(Person1!$B$12+ROW(B42)-1&lt;=Person1!$C$12, Person1!$B$12+ROW(B42)-1, "")</f>
        <v/>
      </c>
      <c r="K44" s="1" t="str">
        <f>IF(Person1!$B$13+ROW(B42)-1&lt;=Person1!$C$13, Person1!$B$13+ROW(B42)-1, "")</f>
        <v/>
      </c>
      <c r="L44" s="1" t="str">
        <f>IF(Person1!$B$14+ROW(B42)-1&lt;=Person1!$C$14, Person1!$B$14+ROW(B42)-1, "")</f>
        <v/>
      </c>
      <c r="M44" s="1" t="str">
        <f>IF(Person1!$B$15+ROW(B42)-1&lt;=Person1!$C$15, Person1!$B$15+ROW(B42)-1, "")</f>
        <v/>
      </c>
      <c r="N44" s="1" t="str">
        <f>IF(Person1!$B$16+ROW(B42)-1&lt;=Person1!$C$16, Person1!$B$16+ROW(B42)-1, "")</f>
        <v/>
      </c>
      <c r="O44" s="1" t="str">
        <f>IF(Person1!$B$17+ROW(B42)-1&lt;=Person1!$C$17, Person1!$B$17+ROW(B42)-1, "")</f>
        <v/>
      </c>
      <c r="V44" s="1" t="str">
        <f>IF(Person1!$D$3+ROW(A42)-1&lt;=Person1!$E$3, Person1!$D$3+ROW(A42)-1, "")</f>
        <v/>
      </c>
      <c r="W44" s="1" t="str">
        <f>IF(Person1!$D$4+ROW(A42)-1&lt;=Person1!$E$4, Person1!$D$4+ROW(A42)-1, "")</f>
        <v/>
      </c>
      <c r="X44" s="1" t="str">
        <f>IF(Person1!$D$5+ROW(A42)-1&lt;=Person1!$E$5, Person1!$D$5+ROW(A42)-1, "")</f>
        <v/>
      </c>
      <c r="Y44" s="1" t="str">
        <f>IF(Person1!$D$6+ROW(A42)-1&lt;=Person1!$E$6, Person1!$D$6+ROW(A42)-1, "")</f>
        <v/>
      </c>
      <c r="Z44" s="1" t="str">
        <f>IF(Person1!$D$7+ROW(A42)-1&lt;=Person1!$E$7, Person1!$D$7+ROW(A42)-1, "")</f>
        <v/>
      </c>
      <c r="AA44" s="1" t="str">
        <f>IF(Person1!$D$8+ROW(A42)-1&lt;=Person1!$E$8, Person1!$D$8+ROW(A42)-1, "")</f>
        <v/>
      </c>
      <c r="AE44" s="1" t="str">
        <f>IF(Person1!$F$3+ROW(A42)-1&lt;=Person1!$G$3, Person1!$F$3+ROW(A42)-1, "")</f>
        <v/>
      </c>
      <c r="AF44" s="1" t="str">
        <f>IF(Person1!$F$4+ROW(A42)-1&lt;=Person1!$G$4, Person1!$F$4+ROW(A42)-1, "")</f>
        <v/>
      </c>
      <c r="AG44" s="1" t="str">
        <f>IF(Person1!$F$5+ROW(A42)-1&lt;=Person1!$G$5, Person1!$F$5+ROW(A42)-1, "")</f>
        <v/>
      </c>
      <c r="AH44" s="1" t="str">
        <f>IF(Person1!$F$6+ROW(A42)-1&lt;=Person1!$G$6, Person1!$F$6+ROW(A42)-1, "")</f>
        <v/>
      </c>
      <c r="AI44" s="1" t="str">
        <f>IF(Person1!$F$7+ROW(A42)-1&lt;=Person1!$G$7, Person1!$F$7+ROW(A42)-1, "")</f>
        <v/>
      </c>
    </row>
    <row r="45" spans="1:35" x14ac:dyDescent="0.3">
      <c r="A45" s="1" t="str">
        <f>IF(Person1!$B$3+ROW(A43)-1&lt;=Person1!$C$3, Person1!$B$3+ROW(A43)-1, "")</f>
        <v/>
      </c>
      <c r="B45" s="1" t="str">
        <f>IF(Person1!$B$4+ROW(B43)-1&lt;=Person1!$C$4, Person1!$B$4+ROW(B43)-1, "")</f>
        <v/>
      </c>
      <c r="C45" s="1" t="str">
        <f>IF(Person1!$B$5+ROW(B43)-1&lt;=Person1!$C$5, Person1!$B$5+ROW(B43)-1, "")</f>
        <v/>
      </c>
      <c r="D45" s="1" t="str">
        <f>IF(Person1!$B$6+ROW(B43)-1&lt;=Person1!$C$6, Person1!$B$6+ROW(B43)-1, "")</f>
        <v/>
      </c>
      <c r="E45" s="1" t="str">
        <f>IF(Person1!$B$7+ROW(B43)-1&lt;=Person1!$C$7, Person1!$B$7+ROW(B43)-1, "")</f>
        <v/>
      </c>
      <c r="F45" s="1" t="str">
        <f>IF(Person1!$B$8+ROW(B43)-1&lt;=Person1!$C$8, Person1!$B$8+ROW(B43)-1, "")</f>
        <v/>
      </c>
      <c r="G45" s="1" t="str">
        <f>IF(Person1!$B$9+ROW(B43)-1&lt;=Person1!$C$9, Person1!$B$9+ROW(B43)-1, "")</f>
        <v/>
      </c>
      <c r="H45" s="1" t="str">
        <f>IF(Person1!$B$10+ROW(B43)-1&lt;=Person1!$C$10, Person1!$B$10+ROW(B43)-1, "")</f>
        <v/>
      </c>
      <c r="I45" s="1" t="str">
        <f>IF(Person1!$B$11+ROW(B43)-1&lt;=Person1!$C$11, Person1!$B$11+ROW(B43)-1, "")</f>
        <v/>
      </c>
      <c r="J45" s="1" t="str">
        <f>IF(Person1!$B$12+ROW(B43)-1&lt;=Person1!$C$12, Person1!$B$12+ROW(B43)-1, "")</f>
        <v/>
      </c>
      <c r="K45" s="1" t="str">
        <f>IF(Person1!$B$13+ROW(B43)-1&lt;=Person1!$C$13, Person1!$B$13+ROW(B43)-1, "")</f>
        <v/>
      </c>
      <c r="L45" s="1" t="str">
        <f>IF(Person1!$B$14+ROW(B43)-1&lt;=Person1!$C$14, Person1!$B$14+ROW(B43)-1, "")</f>
        <v/>
      </c>
      <c r="M45" s="1" t="str">
        <f>IF(Person1!$B$15+ROW(B43)-1&lt;=Person1!$C$15, Person1!$B$15+ROW(B43)-1, "")</f>
        <v/>
      </c>
      <c r="N45" s="1" t="str">
        <f>IF(Person1!$B$16+ROW(B43)-1&lt;=Person1!$C$16, Person1!$B$16+ROW(B43)-1, "")</f>
        <v/>
      </c>
      <c r="O45" s="1" t="str">
        <f>IF(Person1!$B$17+ROW(B43)-1&lt;=Person1!$C$17, Person1!$B$17+ROW(B43)-1, "")</f>
        <v/>
      </c>
      <c r="V45" s="1" t="str">
        <f>IF(Person1!$D$3+ROW(A43)-1&lt;=Person1!$E$3, Person1!$D$3+ROW(A43)-1, "")</f>
        <v/>
      </c>
      <c r="W45" s="1" t="str">
        <f>IF(Person1!$D$4+ROW(A43)-1&lt;=Person1!$E$4, Person1!$D$4+ROW(A43)-1, "")</f>
        <v/>
      </c>
      <c r="X45" s="1" t="str">
        <f>IF(Person1!$D$5+ROW(A43)-1&lt;=Person1!$E$5, Person1!$D$5+ROW(A43)-1, "")</f>
        <v/>
      </c>
      <c r="Y45" s="1" t="str">
        <f>IF(Person1!$D$6+ROW(A43)-1&lt;=Person1!$E$6, Person1!$D$6+ROW(A43)-1, "")</f>
        <v/>
      </c>
      <c r="Z45" s="1" t="str">
        <f>IF(Person1!$D$7+ROW(A43)-1&lt;=Person1!$E$7, Person1!$D$7+ROW(A43)-1, "")</f>
        <v/>
      </c>
      <c r="AA45" s="1" t="str">
        <f>IF(Person1!$D$8+ROW(A43)-1&lt;=Person1!$E$8, Person1!$D$8+ROW(A43)-1, "")</f>
        <v/>
      </c>
      <c r="AE45" s="1" t="str">
        <f>IF(Person1!$F$3+ROW(A43)-1&lt;=Person1!$G$3, Person1!$F$3+ROW(A43)-1, "")</f>
        <v/>
      </c>
      <c r="AF45" s="1" t="str">
        <f>IF(Person1!$F$4+ROW(A43)-1&lt;=Person1!$G$4, Person1!$F$4+ROW(A43)-1, "")</f>
        <v/>
      </c>
      <c r="AG45" s="1" t="str">
        <f>IF(Person1!$F$5+ROW(A43)-1&lt;=Person1!$G$5, Person1!$F$5+ROW(A43)-1, "")</f>
        <v/>
      </c>
      <c r="AH45" s="1" t="str">
        <f>IF(Person1!$F$6+ROW(A43)-1&lt;=Person1!$G$6, Person1!$F$6+ROW(A43)-1, "")</f>
        <v/>
      </c>
      <c r="AI45" s="1" t="str">
        <f>IF(Person1!$F$7+ROW(A43)-1&lt;=Person1!$G$7, Person1!$F$7+ROW(A43)-1, "")</f>
        <v/>
      </c>
    </row>
    <row r="46" spans="1:35" x14ac:dyDescent="0.3">
      <c r="A46" s="1" t="str">
        <f>IF(Person1!$B$3+ROW(A44)-1&lt;=Person1!$C$3, Person1!$B$3+ROW(A44)-1, "")</f>
        <v/>
      </c>
      <c r="B46" s="1" t="str">
        <f>IF(Person1!$B$4+ROW(B44)-1&lt;=Person1!$C$4, Person1!$B$4+ROW(B44)-1, "")</f>
        <v/>
      </c>
      <c r="C46" s="1" t="str">
        <f>IF(Person1!$B$5+ROW(B44)-1&lt;=Person1!$C$5, Person1!$B$5+ROW(B44)-1, "")</f>
        <v/>
      </c>
      <c r="D46" s="1" t="str">
        <f>IF(Person1!$B$6+ROW(B44)-1&lt;=Person1!$C$6, Person1!$B$6+ROW(B44)-1, "")</f>
        <v/>
      </c>
      <c r="E46" s="1" t="str">
        <f>IF(Person1!$B$7+ROW(B44)-1&lt;=Person1!$C$7, Person1!$B$7+ROW(B44)-1, "")</f>
        <v/>
      </c>
      <c r="F46" s="1" t="str">
        <f>IF(Person1!$B$8+ROW(B44)-1&lt;=Person1!$C$8, Person1!$B$8+ROW(B44)-1, "")</f>
        <v/>
      </c>
      <c r="G46" s="1" t="str">
        <f>IF(Person1!$B$9+ROW(B44)-1&lt;=Person1!$C$9, Person1!$B$9+ROW(B44)-1, "")</f>
        <v/>
      </c>
      <c r="H46" s="1" t="str">
        <f>IF(Person1!$B$10+ROW(B44)-1&lt;=Person1!$C$10, Person1!$B$10+ROW(B44)-1, "")</f>
        <v/>
      </c>
      <c r="I46" s="1" t="str">
        <f>IF(Person1!$B$11+ROW(B44)-1&lt;=Person1!$C$11, Person1!$B$11+ROW(B44)-1, "")</f>
        <v/>
      </c>
      <c r="J46" s="1" t="str">
        <f>IF(Person1!$B$12+ROW(B44)-1&lt;=Person1!$C$12, Person1!$B$12+ROW(B44)-1, "")</f>
        <v/>
      </c>
      <c r="K46" s="1" t="str">
        <f>IF(Person1!$B$13+ROW(B44)-1&lt;=Person1!$C$13, Person1!$B$13+ROW(B44)-1, "")</f>
        <v/>
      </c>
      <c r="L46" s="1" t="str">
        <f>IF(Person1!$B$14+ROW(B44)-1&lt;=Person1!$C$14, Person1!$B$14+ROW(B44)-1, "")</f>
        <v/>
      </c>
      <c r="M46" s="1" t="str">
        <f>IF(Person1!$B$15+ROW(B44)-1&lt;=Person1!$C$15, Person1!$B$15+ROW(B44)-1, "")</f>
        <v/>
      </c>
      <c r="N46" s="1" t="str">
        <f>IF(Person1!$B$16+ROW(B44)-1&lt;=Person1!$C$16, Person1!$B$16+ROW(B44)-1, "")</f>
        <v/>
      </c>
      <c r="O46" s="1" t="str">
        <f>IF(Person1!$B$17+ROW(B44)-1&lt;=Person1!$C$17, Person1!$B$17+ROW(B44)-1, "")</f>
        <v/>
      </c>
      <c r="V46" s="1" t="str">
        <f>IF(Person1!$D$3+ROW(A44)-1&lt;=Person1!$E$3, Person1!$D$3+ROW(A44)-1, "")</f>
        <v/>
      </c>
      <c r="W46" s="1" t="str">
        <f>IF(Person1!$D$4+ROW(A44)-1&lt;=Person1!$E$4, Person1!$D$4+ROW(A44)-1, "")</f>
        <v/>
      </c>
      <c r="X46" s="1" t="str">
        <f>IF(Person1!$D$5+ROW(A44)-1&lt;=Person1!$E$5, Person1!$D$5+ROW(A44)-1, "")</f>
        <v/>
      </c>
      <c r="Y46" s="1" t="str">
        <f>IF(Person1!$D$6+ROW(A44)-1&lt;=Person1!$E$6, Person1!$D$6+ROW(A44)-1, "")</f>
        <v/>
      </c>
      <c r="Z46" s="1" t="str">
        <f>IF(Person1!$D$7+ROW(A44)-1&lt;=Person1!$E$7, Person1!$D$7+ROW(A44)-1, "")</f>
        <v/>
      </c>
      <c r="AA46" s="1" t="str">
        <f>IF(Person1!$D$8+ROW(A44)-1&lt;=Person1!$E$8, Person1!$D$8+ROW(A44)-1, "")</f>
        <v/>
      </c>
      <c r="AE46" s="1" t="str">
        <f>IF(Person1!$F$3+ROW(A44)-1&lt;=Person1!$G$3, Person1!$F$3+ROW(A44)-1, "")</f>
        <v/>
      </c>
      <c r="AF46" s="1" t="str">
        <f>IF(Person1!$F$4+ROW(A44)-1&lt;=Person1!$G$4, Person1!$F$4+ROW(A44)-1, "")</f>
        <v/>
      </c>
      <c r="AG46" s="1" t="str">
        <f>IF(Person1!$F$5+ROW(A44)-1&lt;=Person1!$G$5, Person1!$F$5+ROW(A44)-1, "")</f>
        <v/>
      </c>
      <c r="AH46" s="1" t="str">
        <f>IF(Person1!$F$6+ROW(A44)-1&lt;=Person1!$G$6, Person1!$F$6+ROW(A44)-1, "")</f>
        <v/>
      </c>
      <c r="AI46" s="1" t="str">
        <f>IF(Person1!$F$7+ROW(A44)-1&lt;=Person1!$G$7, Person1!$F$7+ROW(A44)-1, "")</f>
        <v/>
      </c>
    </row>
    <row r="47" spans="1:35" x14ac:dyDescent="0.3">
      <c r="A47" s="1" t="str">
        <f>IF(Person1!$B$3+ROW(A45)-1&lt;=Person1!$C$3, Person1!$B$3+ROW(A45)-1, "")</f>
        <v/>
      </c>
      <c r="B47" s="1" t="str">
        <f>IF(Person1!$B$4+ROW(B45)-1&lt;=Person1!$C$4, Person1!$B$4+ROW(B45)-1, "")</f>
        <v/>
      </c>
      <c r="C47" s="1" t="str">
        <f>IF(Person1!$B$5+ROW(B45)-1&lt;=Person1!$C$5, Person1!$B$5+ROW(B45)-1, "")</f>
        <v/>
      </c>
      <c r="D47" s="1" t="str">
        <f>IF(Person1!$B$6+ROW(B45)-1&lt;=Person1!$C$6, Person1!$B$6+ROW(B45)-1, "")</f>
        <v/>
      </c>
      <c r="E47" s="1" t="str">
        <f>IF(Person1!$B$7+ROW(B45)-1&lt;=Person1!$C$7, Person1!$B$7+ROW(B45)-1, "")</f>
        <v/>
      </c>
      <c r="F47" s="1" t="str">
        <f>IF(Person1!$B$8+ROW(B45)-1&lt;=Person1!$C$8, Person1!$B$8+ROW(B45)-1, "")</f>
        <v/>
      </c>
      <c r="G47" s="1" t="str">
        <f>IF(Person1!$B$9+ROW(B45)-1&lt;=Person1!$C$9, Person1!$B$9+ROW(B45)-1, "")</f>
        <v/>
      </c>
      <c r="H47" s="1" t="str">
        <f>IF(Person1!$B$10+ROW(B45)-1&lt;=Person1!$C$10, Person1!$B$10+ROW(B45)-1, "")</f>
        <v/>
      </c>
      <c r="I47" s="1" t="str">
        <f>IF(Person1!$B$11+ROW(B45)-1&lt;=Person1!$C$11, Person1!$B$11+ROW(B45)-1, "")</f>
        <v/>
      </c>
      <c r="J47" s="1" t="str">
        <f>IF(Person1!$B$12+ROW(B45)-1&lt;=Person1!$C$12, Person1!$B$12+ROW(B45)-1, "")</f>
        <v/>
      </c>
      <c r="K47" s="1" t="str">
        <f>IF(Person1!$B$13+ROW(B45)-1&lt;=Person1!$C$13, Person1!$B$13+ROW(B45)-1, "")</f>
        <v/>
      </c>
      <c r="L47" s="1" t="str">
        <f>IF(Person1!$B$14+ROW(B45)-1&lt;=Person1!$C$14, Person1!$B$14+ROW(B45)-1, "")</f>
        <v/>
      </c>
      <c r="M47" s="1" t="str">
        <f>IF(Person1!$B$15+ROW(B45)-1&lt;=Person1!$C$15, Person1!$B$15+ROW(B45)-1, "")</f>
        <v/>
      </c>
      <c r="N47" s="1" t="str">
        <f>IF(Person1!$B$16+ROW(B45)-1&lt;=Person1!$C$16, Person1!$B$16+ROW(B45)-1, "")</f>
        <v/>
      </c>
      <c r="O47" s="1" t="str">
        <f>IF(Person1!$B$17+ROW(B45)-1&lt;=Person1!$C$17, Person1!$B$17+ROW(B45)-1, "")</f>
        <v/>
      </c>
      <c r="V47" s="1" t="str">
        <f>IF(Person1!$D$3+ROW(A45)-1&lt;=Person1!$E$3, Person1!$D$3+ROW(A45)-1, "")</f>
        <v/>
      </c>
      <c r="W47" s="1" t="str">
        <f>IF(Person1!$D$4+ROW(A45)-1&lt;=Person1!$E$4, Person1!$D$4+ROW(A45)-1, "")</f>
        <v/>
      </c>
      <c r="X47" s="1" t="str">
        <f>IF(Person1!$D$5+ROW(A45)-1&lt;=Person1!$E$5, Person1!$D$5+ROW(A45)-1, "")</f>
        <v/>
      </c>
      <c r="Y47" s="1" t="str">
        <f>IF(Person1!$D$6+ROW(A45)-1&lt;=Person1!$E$6, Person1!$D$6+ROW(A45)-1, "")</f>
        <v/>
      </c>
      <c r="Z47" s="1" t="str">
        <f>IF(Person1!$D$7+ROW(A45)-1&lt;=Person1!$E$7, Person1!$D$7+ROW(A45)-1, "")</f>
        <v/>
      </c>
      <c r="AA47" s="1" t="str">
        <f>IF(Person1!$D$8+ROW(A45)-1&lt;=Person1!$E$8, Person1!$D$8+ROW(A45)-1, "")</f>
        <v/>
      </c>
      <c r="AE47" s="1" t="str">
        <f>IF(Person1!$F$3+ROW(A45)-1&lt;=Person1!$G$3, Person1!$F$3+ROW(A45)-1, "")</f>
        <v/>
      </c>
      <c r="AF47" s="1" t="str">
        <f>IF(Person1!$F$4+ROW(A45)-1&lt;=Person1!$G$4, Person1!$F$4+ROW(A45)-1, "")</f>
        <v/>
      </c>
      <c r="AG47" s="1" t="str">
        <f>IF(Person1!$F$5+ROW(A45)-1&lt;=Person1!$G$5, Person1!$F$5+ROW(A45)-1, "")</f>
        <v/>
      </c>
      <c r="AH47" s="1" t="str">
        <f>IF(Person1!$F$6+ROW(A45)-1&lt;=Person1!$G$6, Person1!$F$6+ROW(A45)-1, "")</f>
        <v/>
      </c>
      <c r="AI47" s="1" t="str">
        <f>IF(Person1!$F$7+ROW(A45)-1&lt;=Person1!$G$7, Person1!$F$7+ROW(A45)-1, "")</f>
        <v/>
      </c>
    </row>
    <row r="48" spans="1:35" x14ac:dyDescent="0.3">
      <c r="A48" s="1" t="str">
        <f>IF(Person1!$B$3+ROW(A46)-1&lt;=Person1!$C$3, Person1!$B$3+ROW(A46)-1, "")</f>
        <v/>
      </c>
      <c r="B48" s="1" t="str">
        <f>IF(Person1!$B$4+ROW(B46)-1&lt;=Person1!$C$4, Person1!$B$4+ROW(B46)-1, "")</f>
        <v/>
      </c>
      <c r="C48" s="1" t="str">
        <f>IF(Person1!$B$5+ROW(B46)-1&lt;=Person1!$C$5, Person1!$B$5+ROW(B46)-1, "")</f>
        <v/>
      </c>
      <c r="D48" s="1" t="str">
        <f>IF(Person1!$B$6+ROW(B46)-1&lt;=Person1!$C$6, Person1!$B$6+ROW(B46)-1, "")</f>
        <v/>
      </c>
      <c r="E48" s="1" t="str">
        <f>IF(Person1!$B$7+ROW(B46)-1&lt;=Person1!$C$7, Person1!$B$7+ROW(B46)-1, "")</f>
        <v/>
      </c>
      <c r="F48" s="1" t="str">
        <f>IF(Person1!$B$8+ROW(B46)-1&lt;=Person1!$C$8, Person1!$B$8+ROW(B46)-1, "")</f>
        <v/>
      </c>
      <c r="G48" s="1" t="str">
        <f>IF(Person1!$B$9+ROW(B46)-1&lt;=Person1!$C$9, Person1!$B$9+ROW(B46)-1, "")</f>
        <v/>
      </c>
      <c r="H48" s="1" t="str">
        <f>IF(Person1!$B$10+ROW(B46)-1&lt;=Person1!$C$10, Person1!$B$10+ROW(B46)-1, "")</f>
        <v/>
      </c>
      <c r="I48" s="1" t="str">
        <f>IF(Person1!$B$11+ROW(B46)-1&lt;=Person1!$C$11, Person1!$B$11+ROW(B46)-1, "")</f>
        <v/>
      </c>
      <c r="J48" s="1" t="str">
        <f>IF(Person1!$B$12+ROW(B46)-1&lt;=Person1!$C$12, Person1!$B$12+ROW(B46)-1, "")</f>
        <v/>
      </c>
      <c r="K48" s="1" t="str">
        <f>IF(Person1!$B$13+ROW(B46)-1&lt;=Person1!$C$13, Person1!$B$13+ROW(B46)-1, "")</f>
        <v/>
      </c>
      <c r="L48" s="1" t="str">
        <f>IF(Person1!$B$14+ROW(B46)-1&lt;=Person1!$C$14, Person1!$B$14+ROW(B46)-1, "")</f>
        <v/>
      </c>
      <c r="M48" s="1" t="str">
        <f>IF(Person1!$B$15+ROW(B46)-1&lt;=Person1!$C$15, Person1!$B$15+ROW(B46)-1, "")</f>
        <v/>
      </c>
      <c r="N48" s="1" t="str">
        <f>IF(Person1!$B$16+ROW(B46)-1&lt;=Person1!$C$16, Person1!$B$16+ROW(B46)-1, "")</f>
        <v/>
      </c>
      <c r="O48" s="1" t="str">
        <f>IF(Person1!$B$17+ROW(B46)-1&lt;=Person1!$C$17, Person1!$B$17+ROW(B46)-1, "")</f>
        <v/>
      </c>
      <c r="V48" s="1" t="str">
        <f>IF(Person1!$D$3+ROW(A46)-1&lt;=Person1!$E$3, Person1!$D$3+ROW(A46)-1, "")</f>
        <v/>
      </c>
      <c r="W48" s="1" t="str">
        <f>IF(Person1!$D$4+ROW(A46)-1&lt;=Person1!$E$4, Person1!$D$4+ROW(A46)-1, "")</f>
        <v/>
      </c>
      <c r="X48" s="1" t="str">
        <f>IF(Person1!$D$5+ROW(A46)-1&lt;=Person1!$E$5, Person1!$D$5+ROW(A46)-1, "")</f>
        <v/>
      </c>
      <c r="Y48" s="1" t="str">
        <f>IF(Person1!$D$6+ROW(A46)-1&lt;=Person1!$E$6, Person1!$D$6+ROW(A46)-1, "")</f>
        <v/>
      </c>
      <c r="Z48" s="1" t="str">
        <f>IF(Person1!$D$7+ROW(A46)-1&lt;=Person1!$E$7, Person1!$D$7+ROW(A46)-1, "")</f>
        <v/>
      </c>
      <c r="AA48" s="1" t="str">
        <f>IF(Person1!$D$8+ROW(A46)-1&lt;=Person1!$E$8, Person1!$D$8+ROW(A46)-1, "")</f>
        <v/>
      </c>
      <c r="AE48" s="1" t="str">
        <f>IF(Person1!$F$3+ROW(A46)-1&lt;=Person1!$G$3, Person1!$F$3+ROW(A46)-1, "")</f>
        <v/>
      </c>
      <c r="AF48" s="1" t="str">
        <f>IF(Person1!$F$4+ROW(A46)-1&lt;=Person1!$G$4, Person1!$F$4+ROW(A46)-1, "")</f>
        <v/>
      </c>
      <c r="AG48" s="1" t="str">
        <f>IF(Person1!$F$5+ROW(A46)-1&lt;=Person1!$G$5, Person1!$F$5+ROW(A46)-1, "")</f>
        <v/>
      </c>
      <c r="AH48" s="1" t="str">
        <f>IF(Person1!$F$6+ROW(A46)-1&lt;=Person1!$G$6, Person1!$F$6+ROW(A46)-1, "")</f>
        <v/>
      </c>
      <c r="AI48" s="1" t="str">
        <f>IF(Person1!$F$7+ROW(A46)-1&lt;=Person1!$G$7, Person1!$F$7+ROW(A46)-1, "")</f>
        <v/>
      </c>
    </row>
    <row r="49" spans="1:35" x14ac:dyDescent="0.3">
      <c r="A49" s="1" t="str">
        <f>IF(Person1!$B$3+ROW(A47)-1&lt;=Person1!$C$3, Person1!$B$3+ROW(A47)-1, "")</f>
        <v/>
      </c>
      <c r="B49" s="1" t="str">
        <f>IF(Person1!$B$4+ROW(B47)-1&lt;=Person1!$C$4, Person1!$B$4+ROW(B47)-1, "")</f>
        <v/>
      </c>
      <c r="C49" s="1" t="str">
        <f>IF(Person1!$B$5+ROW(B47)-1&lt;=Person1!$C$5, Person1!$B$5+ROW(B47)-1, "")</f>
        <v/>
      </c>
      <c r="D49" s="1" t="str">
        <f>IF(Person1!$B$6+ROW(B47)-1&lt;=Person1!$C$6, Person1!$B$6+ROW(B47)-1, "")</f>
        <v/>
      </c>
      <c r="E49" s="1" t="str">
        <f>IF(Person1!$B$7+ROW(B47)-1&lt;=Person1!$C$7, Person1!$B$7+ROW(B47)-1, "")</f>
        <v/>
      </c>
      <c r="F49" s="1" t="str">
        <f>IF(Person1!$B$8+ROW(B47)-1&lt;=Person1!$C$8, Person1!$B$8+ROW(B47)-1, "")</f>
        <v/>
      </c>
      <c r="G49" s="1" t="str">
        <f>IF(Person1!$B$9+ROW(B47)-1&lt;=Person1!$C$9, Person1!$B$9+ROW(B47)-1, "")</f>
        <v/>
      </c>
      <c r="H49" s="1" t="str">
        <f>IF(Person1!$B$10+ROW(B47)-1&lt;=Person1!$C$10, Person1!$B$10+ROW(B47)-1, "")</f>
        <v/>
      </c>
      <c r="I49" s="1" t="str">
        <f>IF(Person1!$B$11+ROW(B47)-1&lt;=Person1!$C$11, Person1!$B$11+ROW(B47)-1, "")</f>
        <v/>
      </c>
      <c r="J49" s="1" t="str">
        <f>IF(Person1!$B$12+ROW(B47)-1&lt;=Person1!$C$12, Person1!$B$12+ROW(B47)-1, "")</f>
        <v/>
      </c>
      <c r="K49" s="1" t="str">
        <f>IF(Person1!$B$13+ROW(B47)-1&lt;=Person1!$C$13, Person1!$B$13+ROW(B47)-1, "")</f>
        <v/>
      </c>
      <c r="L49" s="1" t="str">
        <f>IF(Person1!$B$14+ROW(B47)-1&lt;=Person1!$C$14, Person1!$B$14+ROW(B47)-1, "")</f>
        <v/>
      </c>
      <c r="M49" s="1" t="str">
        <f>IF(Person1!$B$15+ROW(B47)-1&lt;=Person1!$C$15, Person1!$B$15+ROW(B47)-1, "")</f>
        <v/>
      </c>
      <c r="N49" s="1" t="str">
        <f>IF(Person1!$B$16+ROW(B47)-1&lt;=Person1!$C$16, Person1!$B$16+ROW(B47)-1, "")</f>
        <v/>
      </c>
      <c r="O49" s="1" t="str">
        <f>IF(Person1!$B$17+ROW(B47)-1&lt;=Person1!$C$17, Person1!$B$17+ROW(B47)-1, "")</f>
        <v/>
      </c>
      <c r="V49" s="1" t="str">
        <f>IF(Person1!$D$3+ROW(A47)-1&lt;=Person1!$E$3, Person1!$D$3+ROW(A47)-1, "")</f>
        <v/>
      </c>
      <c r="W49" s="1" t="str">
        <f>IF(Person1!$D$4+ROW(A47)-1&lt;=Person1!$E$4, Person1!$D$4+ROW(A47)-1, "")</f>
        <v/>
      </c>
      <c r="X49" s="1" t="str">
        <f>IF(Person1!$D$5+ROW(A47)-1&lt;=Person1!$E$5, Person1!$D$5+ROW(A47)-1, "")</f>
        <v/>
      </c>
      <c r="Y49" s="1" t="str">
        <f>IF(Person1!$D$6+ROW(A47)-1&lt;=Person1!$E$6, Person1!$D$6+ROW(A47)-1, "")</f>
        <v/>
      </c>
      <c r="Z49" s="1" t="str">
        <f>IF(Person1!$D$7+ROW(A47)-1&lt;=Person1!$E$7, Person1!$D$7+ROW(A47)-1, "")</f>
        <v/>
      </c>
      <c r="AA49" s="1" t="str">
        <f>IF(Person1!$D$8+ROW(A47)-1&lt;=Person1!$E$8, Person1!$D$8+ROW(A47)-1, "")</f>
        <v/>
      </c>
      <c r="AE49" s="1" t="str">
        <f>IF(Person1!$F$3+ROW(A47)-1&lt;=Person1!$G$3, Person1!$F$3+ROW(A47)-1, "")</f>
        <v/>
      </c>
      <c r="AF49" s="1" t="str">
        <f>IF(Person1!$F$4+ROW(A47)-1&lt;=Person1!$G$4, Person1!$F$4+ROW(A47)-1, "")</f>
        <v/>
      </c>
      <c r="AG49" s="1" t="str">
        <f>IF(Person1!$F$5+ROW(A47)-1&lt;=Person1!$G$5, Person1!$F$5+ROW(A47)-1, "")</f>
        <v/>
      </c>
      <c r="AH49" s="1" t="str">
        <f>IF(Person1!$F$6+ROW(A47)-1&lt;=Person1!$G$6, Person1!$F$6+ROW(A47)-1, "")</f>
        <v/>
      </c>
      <c r="AI49" s="1" t="str">
        <f>IF(Person1!$F$7+ROW(A47)-1&lt;=Person1!$G$7, Person1!$F$7+ROW(A47)-1, "")</f>
        <v/>
      </c>
    </row>
    <row r="50" spans="1:35" x14ac:dyDescent="0.3">
      <c r="A50" s="1" t="str">
        <f>IF(Person1!$B$3+ROW(A48)-1&lt;=Person1!$C$3, Person1!$B$3+ROW(A48)-1, "")</f>
        <v/>
      </c>
      <c r="B50" s="1" t="str">
        <f>IF(Person1!$B$4+ROW(B48)-1&lt;=Person1!$C$4, Person1!$B$4+ROW(B48)-1, "")</f>
        <v/>
      </c>
      <c r="C50" s="1" t="str">
        <f>IF(Person1!$B$5+ROW(B48)-1&lt;=Person1!$C$5, Person1!$B$5+ROW(B48)-1, "")</f>
        <v/>
      </c>
      <c r="D50" s="1" t="str">
        <f>IF(Person1!$B$6+ROW(B48)-1&lt;=Person1!$C$6, Person1!$B$6+ROW(B48)-1, "")</f>
        <v/>
      </c>
      <c r="E50" s="1" t="str">
        <f>IF(Person1!$B$7+ROW(B48)-1&lt;=Person1!$C$7, Person1!$B$7+ROW(B48)-1, "")</f>
        <v/>
      </c>
      <c r="F50" s="1" t="str">
        <f>IF(Person1!$B$8+ROW(B48)-1&lt;=Person1!$C$8, Person1!$B$8+ROW(B48)-1, "")</f>
        <v/>
      </c>
      <c r="G50" s="1" t="str">
        <f>IF(Person1!$B$9+ROW(B48)-1&lt;=Person1!$C$9, Person1!$B$9+ROW(B48)-1, "")</f>
        <v/>
      </c>
      <c r="H50" s="1" t="str">
        <f>IF(Person1!$B$10+ROW(B48)-1&lt;=Person1!$C$10, Person1!$B$10+ROW(B48)-1, "")</f>
        <v/>
      </c>
      <c r="I50" s="1" t="str">
        <f>IF(Person1!$B$11+ROW(B48)-1&lt;=Person1!$C$11, Person1!$B$11+ROW(B48)-1, "")</f>
        <v/>
      </c>
      <c r="J50" s="1" t="str">
        <f>IF(Person1!$B$12+ROW(B48)-1&lt;=Person1!$C$12, Person1!$B$12+ROW(B48)-1, "")</f>
        <v/>
      </c>
      <c r="K50" s="1" t="str">
        <f>IF(Person1!$B$13+ROW(B48)-1&lt;=Person1!$C$13, Person1!$B$13+ROW(B48)-1, "")</f>
        <v/>
      </c>
      <c r="L50" s="1" t="str">
        <f>IF(Person1!$B$14+ROW(B48)-1&lt;=Person1!$C$14, Person1!$B$14+ROW(B48)-1, "")</f>
        <v/>
      </c>
      <c r="M50" s="1" t="str">
        <f>IF(Person1!$B$15+ROW(B48)-1&lt;=Person1!$C$15, Person1!$B$15+ROW(B48)-1, "")</f>
        <v/>
      </c>
      <c r="N50" s="1" t="str">
        <f>IF(Person1!$B$16+ROW(B48)-1&lt;=Person1!$C$16, Person1!$B$16+ROW(B48)-1, "")</f>
        <v/>
      </c>
      <c r="O50" s="1" t="str">
        <f>IF(Person1!$B$17+ROW(B48)-1&lt;=Person1!$C$17, Person1!$B$17+ROW(B48)-1, "")</f>
        <v/>
      </c>
      <c r="V50" s="1" t="str">
        <f>IF(Person1!$D$3+ROW(A48)-1&lt;=Person1!$E$3, Person1!$D$3+ROW(A48)-1, "")</f>
        <v/>
      </c>
      <c r="W50" s="1" t="str">
        <f>IF(Person1!$D$4+ROW(A48)-1&lt;=Person1!$E$4, Person1!$D$4+ROW(A48)-1, "")</f>
        <v/>
      </c>
      <c r="X50" s="1" t="str">
        <f>IF(Person1!$D$5+ROW(A48)-1&lt;=Person1!$E$5, Person1!$D$5+ROW(A48)-1, "")</f>
        <v/>
      </c>
      <c r="Y50" s="1" t="str">
        <f>IF(Person1!$D$6+ROW(A48)-1&lt;=Person1!$E$6, Person1!$D$6+ROW(A48)-1, "")</f>
        <v/>
      </c>
      <c r="Z50" s="1" t="str">
        <f>IF(Person1!$D$7+ROW(A48)-1&lt;=Person1!$E$7, Person1!$D$7+ROW(A48)-1, "")</f>
        <v/>
      </c>
      <c r="AA50" s="1" t="str">
        <f>IF(Person1!$D$8+ROW(A48)-1&lt;=Person1!$E$8, Person1!$D$8+ROW(A48)-1, "")</f>
        <v/>
      </c>
      <c r="AE50" s="1" t="str">
        <f>IF(Person1!$F$3+ROW(A48)-1&lt;=Person1!$G$3, Person1!$F$3+ROW(A48)-1, "")</f>
        <v/>
      </c>
      <c r="AF50" s="1" t="str">
        <f>IF(Person1!$F$4+ROW(A48)-1&lt;=Person1!$G$4, Person1!$F$4+ROW(A48)-1, "")</f>
        <v/>
      </c>
      <c r="AG50" s="1" t="str">
        <f>IF(Person1!$F$5+ROW(A48)-1&lt;=Person1!$G$5, Person1!$F$5+ROW(A48)-1, "")</f>
        <v/>
      </c>
      <c r="AH50" s="1" t="str">
        <f>IF(Person1!$F$6+ROW(A48)-1&lt;=Person1!$G$6, Person1!$F$6+ROW(A48)-1, "")</f>
        <v/>
      </c>
      <c r="AI50" s="1" t="str">
        <f>IF(Person1!$F$7+ROW(A48)-1&lt;=Person1!$G$7, Person1!$F$7+ROW(A48)-1, "")</f>
        <v/>
      </c>
    </row>
    <row r="51" spans="1:35" x14ac:dyDescent="0.3">
      <c r="A51" s="1" t="str">
        <f>IF(Person1!$B$3+ROW(A49)-1&lt;=Person1!$C$3, Person1!$B$3+ROW(A49)-1, "")</f>
        <v/>
      </c>
      <c r="B51" s="1" t="str">
        <f>IF(Person1!$B$4+ROW(B49)-1&lt;=Person1!$C$4, Person1!$B$4+ROW(B49)-1, "")</f>
        <v/>
      </c>
      <c r="C51" s="1" t="str">
        <f>IF(Person1!$B$5+ROW(B49)-1&lt;=Person1!$C$5, Person1!$B$5+ROW(B49)-1, "")</f>
        <v/>
      </c>
      <c r="D51" s="1" t="str">
        <f>IF(Person1!$B$6+ROW(B49)-1&lt;=Person1!$C$6, Person1!$B$6+ROW(B49)-1, "")</f>
        <v/>
      </c>
      <c r="E51" s="1" t="str">
        <f>IF(Person1!$B$7+ROW(B49)-1&lt;=Person1!$C$7, Person1!$B$7+ROW(B49)-1, "")</f>
        <v/>
      </c>
      <c r="F51" s="1" t="str">
        <f>IF(Person1!$B$8+ROW(B49)-1&lt;=Person1!$C$8, Person1!$B$8+ROW(B49)-1, "")</f>
        <v/>
      </c>
      <c r="G51" s="1" t="str">
        <f>IF(Person1!$B$9+ROW(B49)-1&lt;=Person1!$C$9, Person1!$B$9+ROW(B49)-1, "")</f>
        <v/>
      </c>
      <c r="H51" s="1" t="str">
        <f>IF(Person1!$B$10+ROW(B49)-1&lt;=Person1!$C$10, Person1!$B$10+ROW(B49)-1, "")</f>
        <v/>
      </c>
      <c r="I51" s="1" t="str">
        <f>IF(Person1!$B$11+ROW(B49)-1&lt;=Person1!$C$11, Person1!$B$11+ROW(B49)-1, "")</f>
        <v/>
      </c>
      <c r="J51" s="1" t="str">
        <f>IF(Person1!$B$12+ROW(B49)-1&lt;=Person1!$C$12, Person1!$B$12+ROW(B49)-1, "")</f>
        <v/>
      </c>
      <c r="K51" s="1" t="str">
        <f>IF(Person1!$B$13+ROW(B49)-1&lt;=Person1!$C$13, Person1!$B$13+ROW(B49)-1, "")</f>
        <v/>
      </c>
      <c r="L51" s="1" t="str">
        <f>IF(Person1!$B$14+ROW(B49)-1&lt;=Person1!$C$14, Person1!$B$14+ROW(B49)-1, "")</f>
        <v/>
      </c>
      <c r="M51" s="1" t="str">
        <f>IF(Person1!$B$15+ROW(B49)-1&lt;=Person1!$C$15, Person1!$B$15+ROW(B49)-1, "")</f>
        <v/>
      </c>
      <c r="N51" s="1" t="str">
        <f>IF(Person1!$B$16+ROW(B49)-1&lt;=Person1!$C$16, Person1!$B$16+ROW(B49)-1, "")</f>
        <v/>
      </c>
      <c r="O51" s="1" t="str">
        <f>IF(Person1!$B$17+ROW(B49)-1&lt;=Person1!$C$17, Person1!$B$17+ROW(B49)-1, "")</f>
        <v/>
      </c>
      <c r="V51" s="1" t="str">
        <f>IF(Person1!$D$3+ROW(A49)-1&lt;=Person1!$E$3, Person1!$D$3+ROW(A49)-1, "")</f>
        <v/>
      </c>
      <c r="W51" s="1" t="str">
        <f>IF(Person1!$D$4+ROW(A49)-1&lt;=Person1!$E$4, Person1!$D$4+ROW(A49)-1, "")</f>
        <v/>
      </c>
      <c r="X51" s="1" t="str">
        <f>IF(Person1!$D$5+ROW(A49)-1&lt;=Person1!$E$5, Person1!$D$5+ROW(A49)-1, "")</f>
        <v/>
      </c>
      <c r="Y51" s="1" t="str">
        <f>IF(Person1!$D$6+ROW(A49)-1&lt;=Person1!$E$6, Person1!$D$6+ROW(A49)-1, "")</f>
        <v/>
      </c>
      <c r="Z51" s="1" t="str">
        <f>IF(Person1!$D$7+ROW(A49)-1&lt;=Person1!$E$7, Person1!$D$7+ROW(A49)-1, "")</f>
        <v/>
      </c>
      <c r="AA51" s="1" t="str">
        <f>IF(Person1!$D$8+ROW(A49)-1&lt;=Person1!$E$8, Person1!$D$8+ROW(A49)-1, "")</f>
        <v/>
      </c>
      <c r="AE51" s="1" t="str">
        <f>IF(Person1!$F$3+ROW(A49)-1&lt;=Person1!$G$3, Person1!$F$3+ROW(A49)-1, "")</f>
        <v/>
      </c>
      <c r="AF51" s="1" t="str">
        <f>IF(Person1!$F$4+ROW(A49)-1&lt;=Person1!$G$4, Person1!$F$4+ROW(A49)-1, "")</f>
        <v/>
      </c>
      <c r="AG51" s="1" t="str">
        <f>IF(Person1!$F$5+ROW(A49)-1&lt;=Person1!$G$5, Person1!$F$5+ROW(A49)-1, "")</f>
        <v/>
      </c>
      <c r="AH51" s="1" t="str">
        <f>IF(Person1!$F$6+ROW(A49)-1&lt;=Person1!$G$6, Person1!$F$6+ROW(A49)-1, "")</f>
        <v/>
      </c>
      <c r="AI51" s="1" t="str">
        <f>IF(Person1!$F$7+ROW(A49)-1&lt;=Person1!$G$7, Person1!$F$7+ROW(A49)-1, "")</f>
        <v/>
      </c>
    </row>
    <row r="52" spans="1:35" x14ac:dyDescent="0.3">
      <c r="A52" s="1" t="str">
        <f>IF(Person1!$B$3+ROW(A50)-1&lt;=Person1!$C$3, Person1!$B$3+ROW(A50)-1, "")</f>
        <v/>
      </c>
      <c r="B52" s="1" t="str">
        <f>IF(Person1!$B$4+ROW(B50)-1&lt;=Person1!$C$4, Person1!$B$4+ROW(B50)-1, "")</f>
        <v/>
      </c>
      <c r="C52" s="1" t="str">
        <f>IF(Person1!$B$5+ROW(B50)-1&lt;=Person1!$C$5, Person1!$B$5+ROW(B50)-1, "")</f>
        <v/>
      </c>
      <c r="D52" s="1" t="str">
        <f>IF(Person1!$B$6+ROW(B50)-1&lt;=Person1!$C$6, Person1!$B$6+ROW(B50)-1, "")</f>
        <v/>
      </c>
      <c r="E52" s="1" t="str">
        <f>IF(Person1!$B$7+ROW(B50)-1&lt;=Person1!$C$7, Person1!$B$7+ROW(B50)-1, "")</f>
        <v/>
      </c>
      <c r="F52" s="1" t="str">
        <f>IF(Person1!$B$8+ROW(B50)-1&lt;=Person1!$C$8, Person1!$B$8+ROW(B50)-1, "")</f>
        <v/>
      </c>
      <c r="G52" s="1" t="str">
        <f>IF(Person1!$B$9+ROW(B50)-1&lt;=Person1!$C$9, Person1!$B$9+ROW(B50)-1, "")</f>
        <v/>
      </c>
      <c r="H52" s="1" t="str">
        <f>IF(Person1!$B$10+ROW(B50)-1&lt;=Person1!$C$10, Person1!$B$10+ROW(B50)-1, "")</f>
        <v/>
      </c>
      <c r="I52" s="1" t="str">
        <f>IF(Person1!$B$11+ROW(B50)-1&lt;=Person1!$C$11, Person1!$B$11+ROW(B50)-1, "")</f>
        <v/>
      </c>
      <c r="J52" s="1" t="str">
        <f>IF(Person1!$B$12+ROW(B50)-1&lt;=Person1!$C$12, Person1!$B$12+ROW(B50)-1, "")</f>
        <v/>
      </c>
      <c r="K52" s="1" t="str">
        <f>IF(Person1!$B$13+ROW(B50)-1&lt;=Person1!$C$13, Person1!$B$13+ROW(B50)-1, "")</f>
        <v/>
      </c>
      <c r="L52" s="1" t="str">
        <f>IF(Person1!$B$14+ROW(B50)-1&lt;=Person1!$C$14, Person1!$B$14+ROW(B50)-1, "")</f>
        <v/>
      </c>
      <c r="M52" s="1" t="str">
        <f>IF(Person1!$B$15+ROW(B50)-1&lt;=Person1!$C$15, Person1!$B$15+ROW(B50)-1, "")</f>
        <v/>
      </c>
      <c r="N52" s="1" t="str">
        <f>IF(Person1!$B$16+ROW(B50)-1&lt;=Person1!$C$16, Person1!$B$16+ROW(B50)-1, "")</f>
        <v/>
      </c>
      <c r="O52" s="1" t="str">
        <f>IF(Person1!$B$17+ROW(B50)-1&lt;=Person1!$C$17, Person1!$B$17+ROW(B50)-1, "")</f>
        <v/>
      </c>
      <c r="V52" s="1" t="str">
        <f>IF(Person1!$D$3+ROW(A50)-1&lt;=Person1!$E$3, Person1!$D$3+ROW(A50)-1, "")</f>
        <v/>
      </c>
      <c r="W52" s="1" t="str">
        <f>IF(Person1!$D$4+ROW(A50)-1&lt;=Person1!$E$4, Person1!$D$4+ROW(A50)-1, "")</f>
        <v/>
      </c>
      <c r="X52" s="1" t="str">
        <f>IF(Person1!$D$5+ROW(A50)-1&lt;=Person1!$E$5, Person1!$D$5+ROW(A50)-1, "")</f>
        <v/>
      </c>
      <c r="Y52" s="1" t="str">
        <f>IF(Person1!$D$6+ROW(A50)-1&lt;=Person1!$E$6, Person1!$D$6+ROW(A50)-1, "")</f>
        <v/>
      </c>
      <c r="Z52" s="1" t="str">
        <f>IF(Person1!$D$7+ROW(A50)-1&lt;=Person1!$E$7, Person1!$D$7+ROW(A50)-1, "")</f>
        <v/>
      </c>
      <c r="AA52" s="1" t="str">
        <f>IF(Person1!$D$8+ROW(A50)-1&lt;=Person1!$E$8, Person1!$D$8+ROW(A50)-1, "")</f>
        <v/>
      </c>
      <c r="AE52" s="1" t="str">
        <f>IF(Person1!$F$3+ROW(A50)-1&lt;=Person1!$G$3, Person1!$F$3+ROW(A50)-1, "")</f>
        <v/>
      </c>
      <c r="AF52" s="1" t="str">
        <f>IF(Person1!$F$4+ROW(A50)-1&lt;=Person1!$G$4, Person1!$F$4+ROW(A50)-1, "")</f>
        <v/>
      </c>
      <c r="AG52" s="1" t="str">
        <f>IF(Person1!$F$5+ROW(A50)-1&lt;=Person1!$G$5, Person1!$F$5+ROW(A50)-1, "")</f>
        <v/>
      </c>
      <c r="AH52" s="1" t="str">
        <f>IF(Person1!$F$6+ROW(A50)-1&lt;=Person1!$G$6, Person1!$F$6+ROW(A50)-1, "")</f>
        <v/>
      </c>
      <c r="AI52" s="1" t="str">
        <f>IF(Person1!$F$7+ROW(A50)-1&lt;=Person1!$G$7, Person1!$F$7+ROW(A50)-1, "")</f>
        <v/>
      </c>
    </row>
    <row r="53" spans="1:35" x14ac:dyDescent="0.3">
      <c r="A53" s="1" t="str">
        <f>IF(Person1!$B$3+ROW(A51)-1&lt;=Person1!$C$3, Person1!$B$3+ROW(A51)-1, "")</f>
        <v/>
      </c>
      <c r="B53" s="1" t="str">
        <f>IF(Person1!$B$4+ROW(B51)-1&lt;=Person1!$C$4, Person1!$B$4+ROW(B51)-1, "")</f>
        <v/>
      </c>
      <c r="C53" s="1" t="str">
        <f>IF(Person1!$B$5+ROW(B51)-1&lt;=Person1!$C$5, Person1!$B$5+ROW(B51)-1, "")</f>
        <v/>
      </c>
      <c r="D53" s="1" t="str">
        <f>IF(Person1!$B$6+ROW(B51)-1&lt;=Person1!$C$6, Person1!$B$6+ROW(B51)-1, "")</f>
        <v/>
      </c>
      <c r="E53" s="1" t="str">
        <f>IF(Person1!$B$7+ROW(B51)-1&lt;=Person1!$C$7, Person1!$B$7+ROW(B51)-1, "")</f>
        <v/>
      </c>
      <c r="F53" s="1" t="str">
        <f>IF(Person1!$B$8+ROW(B51)-1&lt;=Person1!$C$8, Person1!$B$8+ROW(B51)-1, "")</f>
        <v/>
      </c>
      <c r="G53" s="1" t="str">
        <f>IF(Person1!$B$9+ROW(B51)-1&lt;=Person1!$C$9, Person1!$B$9+ROW(B51)-1, "")</f>
        <v/>
      </c>
      <c r="H53" s="1" t="str">
        <f>IF(Person1!$B$10+ROW(B51)-1&lt;=Person1!$C$10, Person1!$B$10+ROW(B51)-1, "")</f>
        <v/>
      </c>
      <c r="I53" s="1" t="str">
        <f>IF(Person1!$B$11+ROW(B51)-1&lt;=Person1!$C$11, Person1!$B$11+ROW(B51)-1, "")</f>
        <v/>
      </c>
      <c r="J53" s="1" t="str">
        <f>IF(Person1!$B$12+ROW(B51)-1&lt;=Person1!$C$12, Person1!$B$12+ROW(B51)-1, "")</f>
        <v/>
      </c>
      <c r="K53" s="1" t="str">
        <f>IF(Person1!$B$13+ROW(B51)-1&lt;=Person1!$C$13, Person1!$B$13+ROW(B51)-1, "")</f>
        <v/>
      </c>
      <c r="L53" s="1" t="str">
        <f>IF(Person1!$B$14+ROW(B51)-1&lt;=Person1!$C$14, Person1!$B$14+ROW(B51)-1, "")</f>
        <v/>
      </c>
      <c r="M53" s="1" t="str">
        <f>IF(Person1!$B$15+ROW(B51)-1&lt;=Person1!$C$15, Person1!$B$15+ROW(B51)-1, "")</f>
        <v/>
      </c>
      <c r="N53" s="1" t="str">
        <f>IF(Person1!$B$16+ROW(B51)-1&lt;=Person1!$C$16, Person1!$B$16+ROW(B51)-1, "")</f>
        <v/>
      </c>
      <c r="O53" s="1" t="str">
        <f>IF(Person1!$B$17+ROW(B51)-1&lt;=Person1!$C$17, Person1!$B$17+ROW(B51)-1, "")</f>
        <v/>
      </c>
      <c r="V53" s="1" t="str">
        <f>IF(Person1!$D$3+ROW(A51)-1&lt;=Person1!$E$3, Person1!$D$3+ROW(A51)-1, "")</f>
        <v/>
      </c>
      <c r="W53" s="1" t="str">
        <f>IF(Person1!$D$4+ROW(A51)-1&lt;=Person1!$E$4, Person1!$D$4+ROW(A51)-1, "")</f>
        <v/>
      </c>
      <c r="X53" s="1" t="str">
        <f>IF(Person1!$D$5+ROW(A51)-1&lt;=Person1!$E$5, Person1!$D$5+ROW(A51)-1, "")</f>
        <v/>
      </c>
      <c r="Y53" s="1" t="str">
        <f>IF(Person1!$D$6+ROW(A51)-1&lt;=Person1!$E$6, Person1!$D$6+ROW(A51)-1, "")</f>
        <v/>
      </c>
      <c r="Z53" s="1" t="str">
        <f>IF(Person1!$D$7+ROW(A51)-1&lt;=Person1!$E$7, Person1!$D$7+ROW(A51)-1, "")</f>
        <v/>
      </c>
      <c r="AA53" s="1" t="str">
        <f>IF(Person1!$D$8+ROW(A51)-1&lt;=Person1!$E$8, Person1!$D$8+ROW(A51)-1, "")</f>
        <v/>
      </c>
      <c r="AE53" s="1" t="str">
        <f>IF(Person1!$F$3+ROW(A51)-1&lt;=Person1!$G$3, Person1!$F$3+ROW(A51)-1, "")</f>
        <v/>
      </c>
      <c r="AF53" s="1" t="str">
        <f>IF(Person1!$F$4+ROW(A51)-1&lt;=Person1!$G$4, Person1!$F$4+ROW(A51)-1, "")</f>
        <v/>
      </c>
      <c r="AG53" s="1" t="str">
        <f>IF(Person1!$F$5+ROW(A51)-1&lt;=Person1!$G$5, Person1!$F$5+ROW(A51)-1, "")</f>
        <v/>
      </c>
      <c r="AH53" s="1" t="str">
        <f>IF(Person1!$F$6+ROW(A51)-1&lt;=Person1!$G$6, Person1!$F$6+ROW(A51)-1, "")</f>
        <v/>
      </c>
      <c r="AI53" s="1" t="str">
        <f>IF(Person1!$F$7+ROW(A51)-1&lt;=Person1!$G$7, Person1!$F$7+ROW(A51)-1, "")</f>
        <v/>
      </c>
    </row>
    <row r="54" spans="1:35" x14ac:dyDescent="0.3">
      <c r="A54" s="1" t="str">
        <f>IF(Person1!$B$3+ROW(A52)-1&lt;=Person1!$C$3, Person1!$B$3+ROW(A52)-1, "")</f>
        <v/>
      </c>
      <c r="B54" s="1" t="str">
        <f>IF(Person1!$B$4+ROW(B52)-1&lt;=Person1!$C$4, Person1!$B$4+ROW(B52)-1, "")</f>
        <v/>
      </c>
      <c r="C54" s="1" t="str">
        <f>IF(Person1!$B$5+ROW(B52)-1&lt;=Person1!$C$5, Person1!$B$5+ROW(B52)-1, "")</f>
        <v/>
      </c>
      <c r="D54" s="1" t="str">
        <f>IF(Person1!$B$6+ROW(B52)-1&lt;=Person1!$C$6, Person1!$B$6+ROW(B52)-1, "")</f>
        <v/>
      </c>
      <c r="E54" s="1" t="str">
        <f>IF(Person1!$B$7+ROW(B52)-1&lt;=Person1!$C$7, Person1!$B$7+ROW(B52)-1, "")</f>
        <v/>
      </c>
      <c r="F54" s="1" t="str">
        <f>IF(Person1!$B$8+ROW(B52)-1&lt;=Person1!$C$8, Person1!$B$8+ROW(B52)-1, "")</f>
        <v/>
      </c>
      <c r="G54" s="1" t="str">
        <f>IF(Person1!$B$9+ROW(B52)-1&lt;=Person1!$C$9, Person1!$B$9+ROW(B52)-1, "")</f>
        <v/>
      </c>
      <c r="H54" s="1" t="str">
        <f>IF(Person1!$B$10+ROW(B52)-1&lt;=Person1!$C$10, Person1!$B$10+ROW(B52)-1, "")</f>
        <v/>
      </c>
      <c r="I54" s="1" t="str">
        <f>IF(Person1!$B$11+ROW(B52)-1&lt;=Person1!$C$11, Person1!$B$11+ROW(B52)-1, "")</f>
        <v/>
      </c>
      <c r="J54" s="1" t="str">
        <f>IF(Person1!$B$12+ROW(B52)-1&lt;=Person1!$C$12, Person1!$B$12+ROW(B52)-1, "")</f>
        <v/>
      </c>
      <c r="K54" s="1" t="str">
        <f>IF(Person1!$B$13+ROW(B52)-1&lt;=Person1!$C$13, Person1!$B$13+ROW(B52)-1, "")</f>
        <v/>
      </c>
      <c r="L54" s="1" t="str">
        <f>IF(Person1!$B$14+ROW(B52)-1&lt;=Person1!$C$14, Person1!$B$14+ROW(B52)-1, "")</f>
        <v/>
      </c>
      <c r="M54" s="1" t="str">
        <f>IF(Person1!$B$15+ROW(B52)-1&lt;=Person1!$C$15, Person1!$B$15+ROW(B52)-1, "")</f>
        <v/>
      </c>
      <c r="N54" s="1" t="str">
        <f>IF(Person1!$B$16+ROW(B52)-1&lt;=Person1!$C$16, Person1!$B$16+ROW(B52)-1, "")</f>
        <v/>
      </c>
      <c r="O54" s="1" t="str">
        <f>IF(Person1!$B$17+ROW(B52)-1&lt;=Person1!$C$17, Person1!$B$17+ROW(B52)-1, "")</f>
        <v/>
      </c>
      <c r="V54" s="1" t="str">
        <f>IF(Person1!$D$3+ROW(A52)-1&lt;=Person1!$E$3, Person1!$D$3+ROW(A52)-1, "")</f>
        <v/>
      </c>
      <c r="W54" s="1" t="str">
        <f>IF(Person1!$D$4+ROW(A52)-1&lt;=Person1!$E$4, Person1!$D$4+ROW(A52)-1, "")</f>
        <v/>
      </c>
      <c r="X54" s="1" t="str">
        <f>IF(Person1!$D$5+ROW(A52)-1&lt;=Person1!$E$5, Person1!$D$5+ROW(A52)-1, "")</f>
        <v/>
      </c>
      <c r="Y54" s="1" t="str">
        <f>IF(Person1!$D$6+ROW(A52)-1&lt;=Person1!$E$6, Person1!$D$6+ROW(A52)-1, "")</f>
        <v/>
      </c>
      <c r="Z54" s="1" t="str">
        <f>IF(Person1!$D$7+ROW(A52)-1&lt;=Person1!$E$7, Person1!$D$7+ROW(A52)-1, "")</f>
        <v/>
      </c>
      <c r="AA54" s="1" t="str">
        <f>IF(Person1!$D$8+ROW(A52)-1&lt;=Person1!$E$8, Person1!$D$8+ROW(A52)-1, "")</f>
        <v/>
      </c>
      <c r="AE54" s="1" t="str">
        <f>IF(Person1!$F$3+ROW(A52)-1&lt;=Person1!$G$3, Person1!$F$3+ROW(A52)-1, "")</f>
        <v/>
      </c>
      <c r="AF54" s="1" t="str">
        <f>IF(Person1!$F$4+ROW(A52)-1&lt;=Person1!$G$4, Person1!$F$4+ROW(A52)-1, "")</f>
        <v/>
      </c>
      <c r="AG54" s="1" t="str">
        <f>IF(Person1!$F$5+ROW(A52)-1&lt;=Person1!$G$5, Person1!$F$5+ROW(A52)-1, "")</f>
        <v/>
      </c>
      <c r="AH54" s="1" t="str">
        <f>IF(Person1!$F$6+ROW(A52)-1&lt;=Person1!$G$6, Person1!$F$6+ROW(A52)-1, "")</f>
        <v/>
      </c>
      <c r="AI54" s="1" t="str">
        <f>IF(Person1!$F$7+ROW(A52)-1&lt;=Person1!$G$7, Person1!$F$7+ROW(A52)-1, "")</f>
        <v/>
      </c>
    </row>
    <row r="55" spans="1:35" x14ac:dyDescent="0.3">
      <c r="A55" s="1" t="str">
        <f>IF(Person1!$B$3+ROW(A53)-1&lt;=Person1!$C$3, Person1!$B$3+ROW(A53)-1, "")</f>
        <v/>
      </c>
      <c r="B55" s="1" t="str">
        <f>IF(Person1!$B$4+ROW(B53)-1&lt;=Person1!$C$4, Person1!$B$4+ROW(B53)-1, "")</f>
        <v/>
      </c>
      <c r="C55" s="1" t="str">
        <f>IF(Person1!$B$5+ROW(B53)-1&lt;=Person1!$C$5, Person1!$B$5+ROW(B53)-1, "")</f>
        <v/>
      </c>
      <c r="D55" s="1" t="str">
        <f>IF(Person1!$B$6+ROW(B53)-1&lt;=Person1!$C$6, Person1!$B$6+ROW(B53)-1, "")</f>
        <v/>
      </c>
      <c r="E55" s="1" t="str">
        <f>IF(Person1!$B$7+ROW(B53)-1&lt;=Person1!$C$7, Person1!$B$7+ROW(B53)-1, "")</f>
        <v/>
      </c>
      <c r="F55" s="1" t="str">
        <f>IF(Person1!$B$8+ROW(B53)-1&lt;=Person1!$C$8, Person1!$B$8+ROW(B53)-1, "")</f>
        <v/>
      </c>
      <c r="G55" s="1" t="str">
        <f>IF(Person1!$B$9+ROW(B53)-1&lt;=Person1!$C$9, Person1!$B$9+ROW(B53)-1, "")</f>
        <v/>
      </c>
      <c r="H55" s="1" t="str">
        <f>IF(Person1!$B$10+ROW(B53)-1&lt;=Person1!$C$10, Person1!$B$10+ROW(B53)-1, "")</f>
        <v/>
      </c>
      <c r="I55" s="1" t="str">
        <f>IF(Person1!$B$11+ROW(B53)-1&lt;=Person1!$C$11, Person1!$B$11+ROW(B53)-1, "")</f>
        <v/>
      </c>
      <c r="J55" s="1" t="str">
        <f>IF(Person1!$B$12+ROW(B53)-1&lt;=Person1!$C$12, Person1!$B$12+ROW(B53)-1, "")</f>
        <v/>
      </c>
      <c r="K55" s="1" t="str">
        <f>IF(Person1!$B$13+ROW(B53)-1&lt;=Person1!$C$13, Person1!$B$13+ROW(B53)-1, "")</f>
        <v/>
      </c>
      <c r="L55" s="1" t="str">
        <f>IF(Person1!$B$14+ROW(B53)-1&lt;=Person1!$C$14, Person1!$B$14+ROW(B53)-1, "")</f>
        <v/>
      </c>
      <c r="M55" s="1" t="str">
        <f>IF(Person1!$B$15+ROW(B53)-1&lt;=Person1!$C$15, Person1!$B$15+ROW(B53)-1, "")</f>
        <v/>
      </c>
      <c r="N55" s="1" t="str">
        <f>IF(Person1!$B$16+ROW(B53)-1&lt;=Person1!$C$16, Person1!$B$16+ROW(B53)-1, "")</f>
        <v/>
      </c>
      <c r="O55" s="1" t="str">
        <f>IF(Person1!$B$17+ROW(B53)-1&lt;=Person1!$C$17, Person1!$B$17+ROW(B53)-1, "")</f>
        <v/>
      </c>
      <c r="V55" s="1" t="str">
        <f>IF(Person1!$D$3+ROW(A53)-1&lt;=Person1!$E$3, Person1!$D$3+ROW(A53)-1, "")</f>
        <v/>
      </c>
      <c r="W55" s="1" t="str">
        <f>IF(Person1!$D$4+ROW(A53)-1&lt;=Person1!$E$4, Person1!$D$4+ROW(A53)-1, "")</f>
        <v/>
      </c>
      <c r="X55" s="1" t="str">
        <f>IF(Person1!$D$5+ROW(A53)-1&lt;=Person1!$E$5, Person1!$D$5+ROW(A53)-1, "")</f>
        <v/>
      </c>
      <c r="Y55" s="1" t="str">
        <f>IF(Person1!$D$6+ROW(A53)-1&lt;=Person1!$E$6, Person1!$D$6+ROW(A53)-1, "")</f>
        <v/>
      </c>
      <c r="Z55" s="1" t="str">
        <f>IF(Person1!$D$7+ROW(A53)-1&lt;=Person1!$E$7, Person1!$D$7+ROW(A53)-1, "")</f>
        <v/>
      </c>
      <c r="AA55" s="1" t="str">
        <f>IF(Person1!$D$8+ROW(A53)-1&lt;=Person1!$E$8, Person1!$D$8+ROW(A53)-1, "")</f>
        <v/>
      </c>
      <c r="AE55" s="1" t="str">
        <f>IF(Person1!$F$3+ROW(A53)-1&lt;=Person1!$G$3, Person1!$F$3+ROW(A53)-1, "")</f>
        <v/>
      </c>
      <c r="AF55" s="1" t="str">
        <f>IF(Person1!$F$4+ROW(A53)-1&lt;=Person1!$G$4, Person1!$F$4+ROW(A53)-1, "")</f>
        <v/>
      </c>
      <c r="AG55" s="1" t="str">
        <f>IF(Person1!$F$5+ROW(A53)-1&lt;=Person1!$G$5, Person1!$F$5+ROW(A53)-1, "")</f>
        <v/>
      </c>
      <c r="AH55" s="1" t="str">
        <f>IF(Person1!$F$6+ROW(A53)-1&lt;=Person1!$G$6, Person1!$F$6+ROW(A53)-1, "")</f>
        <v/>
      </c>
      <c r="AI55" s="1" t="str">
        <f>IF(Person1!$F$7+ROW(A53)-1&lt;=Person1!$G$7, Person1!$F$7+ROW(A53)-1, "")</f>
        <v/>
      </c>
    </row>
    <row r="56" spans="1:35" x14ac:dyDescent="0.3">
      <c r="A56" s="1" t="str">
        <f>IF(Person1!$B$3+ROW(A54)-1&lt;=Person1!$C$3, Person1!$B$3+ROW(A54)-1, "")</f>
        <v/>
      </c>
      <c r="B56" s="1" t="str">
        <f>IF(Person1!$B$4+ROW(B54)-1&lt;=Person1!$C$4, Person1!$B$4+ROW(B54)-1, "")</f>
        <v/>
      </c>
      <c r="C56" s="1" t="str">
        <f>IF(Person1!$B$5+ROW(B54)-1&lt;=Person1!$C$5, Person1!$B$5+ROW(B54)-1, "")</f>
        <v/>
      </c>
      <c r="D56" s="1" t="str">
        <f>IF(Person1!$B$6+ROW(B54)-1&lt;=Person1!$C$6, Person1!$B$6+ROW(B54)-1, "")</f>
        <v/>
      </c>
      <c r="E56" s="1" t="str">
        <f>IF(Person1!$B$7+ROW(B54)-1&lt;=Person1!$C$7, Person1!$B$7+ROW(B54)-1, "")</f>
        <v/>
      </c>
      <c r="F56" s="1" t="str">
        <f>IF(Person1!$B$8+ROW(B54)-1&lt;=Person1!$C$8, Person1!$B$8+ROW(B54)-1, "")</f>
        <v/>
      </c>
      <c r="G56" s="1" t="str">
        <f>IF(Person1!$B$9+ROW(B54)-1&lt;=Person1!$C$9, Person1!$B$9+ROW(B54)-1, "")</f>
        <v/>
      </c>
      <c r="H56" s="1" t="str">
        <f>IF(Person1!$B$10+ROW(B54)-1&lt;=Person1!$C$10, Person1!$B$10+ROW(B54)-1, "")</f>
        <v/>
      </c>
      <c r="I56" s="1" t="str">
        <f>IF(Person1!$B$11+ROW(B54)-1&lt;=Person1!$C$11, Person1!$B$11+ROW(B54)-1, "")</f>
        <v/>
      </c>
      <c r="J56" s="1" t="str">
        <f>IF(Person1!$B$12+ROW(B54)-1&lt;=Person1!$C$12, Person1!$B$12+ROW(B54)-1, "")</f>
        <v/>
      </c>
      <c r="K56" s="1" t="str">
        <f>IF(Person1!$B$13+ROW(B54)-1&lt;=Person1!$C$13, Person1!$B$13+ROW(B54)-1, "")</f>
        <v/>
      </c>
      <c r="L56" s="1" t="str">
        <f>IF(Person1!$B$14+ROW(B54)-1&lt;=Person1!$C$14, Person1!$B$14+ROW(B54)-1, "")</f>
        <v/>
      </c>
      <c r="M56" s="1" t="str">
        <f>IF(Person1!$B$15+ROW(B54)-1&lt;=Person1!$C$15, Person1!$B$15+ROW(B54)-1, "")</f>
        <v/>
      </c>
      <c r="N56" s="1" t="str">
        <f>IF(Person1!$B$16+ROW(B54)-1&lt;=Person1!$C$16, Person1!$B$16+ROW(B54)-1, "")</f>
        <v/>
      </c>
      <c r="O56" s="1" t="str">
        <f>IF(Person1!$B$17+ROW(B54)-1&lt;=Person1!$C$17, Person1!$B$17+ROW(B54)-1, "")</f>
        <v/>
      </c>
      <c r="V56" s="1" t="str">
        <f>IF(Person1!$D$3+ROW(A54)-1&lt;=Person1!$E$3, Person1!$D$3+ROW(A54)-1, "")</f>
        <v/>
      </c>
      <c r="W56" s="1" t="str">
        <f>IF(Person1!$D$4+ROW(A54)-1&lt;=Person1!$E$4, Person1!$D$4+ROW(A54)-1, "")</f>
        <v/>
      </c>
      <c r="X56" s="1" t="str">
        <f>IF(Person1!$D$5+ROW(A54)-1&lt;=Person1!$E$5, Person1!$D$5+ROW(A54)-1, "")</f>
        <v/>
      </c>
      <c r="Y56" s="1" t="str">
        <f>IF(Person1!$D$6+ROW(A54)-1&lt;=Person1!$E$6, Person1!$D$6+ROW(A54)-1, "")</f>
        <v/>
      </c>
      <c r="Z56" s="1" t="str">
        <f>IF(Person1!$D$7+ROW(A54)-1&lt;=Person1!$E$7, Person1!$D$7+ROW(A54)-1, "")</f>
        <v/>
      </c>
      <c r="AA56" s="1" t="str">
        <f>IF(Person1!$D$8+ROW(A54)-1&lt;=Person1!$E$8, Person1!$D$8+ROW(A54)-1, "")</f>
        <v/>
      </c>
      <c r="AE56" s="1" t="str">
        <f>IF(Person1!$F$3+ROW(A54)-1&lt;=Person1!$G$3, Person1!$F$3+ROW(A54)-1, "")</f>
        <v/>
      </c>
      <c r="AF56" s="1" t="str">
        <f>IF(Person1!$F$4+ROW(A54)-1&lt;=Person1!$G$4, Person1!$F$4+ROW(A54)-1, "")</f>
        <v/>
      </c>
      <c r="AG56" s="1" t="str">
        <f>IF(Person1!$F$5+ROW(A54)-1&lt;=Person1!$G$5, Person1!$F$5+ROW(A54)-1, "")</f>
        <v/>
      </c>
      <c r="AH56" s="1" t="str">
        <f>IF(Person1!$F$6+ROW(A54)-1&lt;=Person1!$G$6, Person1!$F$6+ROW(A54)-1, "")</f>
        <v/>
      </c>
      <c r="AI56" s="1" t="str">
        <f>IF(Person1!$F$7+ROW(A54)-1&lt;=Person1!$G$7, Person1!$F$7+ROW(A54)-1, "")</f>
        <v/>
      </c>
    </row>
    <row r="57" spans="1:35" x14ac:dyDescent="0.3">
      <c r="A57" s="1" t="str">
        <f>IF(Person1!$B$3+ROW(A55)-1&lt;=Person1!$C$3, Person1!$B$3+ROW(A55)-1, "")</f>
        <v/>
      </c>
      <c r="B57" s="1" t="str">
        <f>IF(Person1!$B$4+ROW(B55)-1&lt;=Person1!$C$4, Person1!$B$4+ROW(B55)-1, "")</f>
        <v/>
      </c>
      <c r="C57" s="1" t="str">
        <f>IF(Person1!$B$5+ROW(B55)-1&lt;=Person1!$C$5, Person1!$B$5+ROW(B55)-1, "")</f>
        <v/>
      </c>
      <c r="D57" s="1" t="str">
        <f>IF(Person1!$B$6+ROW(B55)-1&lt;=Person1!$C$6, Person1!$B$6+ROW(B55)-1, "")</f>
        <v/>
      </c>
      <c r="E57" s="1" t="str">
        <f>IF(Person1!$B$7+ROW(B55)-1&lt;=Person1!$C$7, Person1!$B$7+ROW(B55)-1, "")</f>
        <v/>
      </c>
      <c r="F57" s="1" t="str">
        <f>IF(Person1!$B$8+ROW(B55)-1&lt;=Person1!$C$8, Person1!$B$8+ROW(B55)-1, "")</f>
        <v/>
      </c>
      <c r="G57" s="1" t="str">
        <f>IF(Person1!$B$9+ROW(B55)-1&lt;=Person1!$C$9, Person1!$B$9+ROW(B55)-1, "")</f>
        <v/>
      </c>
      <c r="H57" s="1" t="str">
        <f>IF(Person1!$B$10+ROW(B55)-1&lt;=Person1!$C$10, Person1!$B$10+ROW(B55)-1, "")</f>
        <v/>
      </c>
      <c r="I57" s="1" t="str">
        <f>IF(Person1!$B$11+ROW(B55)-1&lt;=Person1!$C$11, Person1!$B$11+ROW(B55)-1, "")</f>
        <v/>
      </c>
      <c r="J57" s="1" t="str">
        <f>IF(Person1!$B$12+ROW(B55)-1&lt;=Person1!$C$12, Person1!$B$12+ROW(B55)-1, "")</f>
        <v/>
      </c>
      <c r="K57" s="1" t="str">
        <f>IF(Person1!$B$13+ROW(B55)-1&lt;=Person1!$C$13, Person1!$B$13+ROW(B55)-1, "")</f>
        <v/>
      </c>
      <c r="L57" s="1" t="str">
        <f>IF(Person1!$B$14+ROW(B55)-1&lt;=Person1!$C$14, Person1!$B$14+ROW(B55)-1, "")</f>
        <v/>
      </c>
      <c r="M57" s="1" t="str">
        <f>IF(Person1!$B$15+ROW(B55)-1&lt;=Person1!$C$15, Person1!$B$15+ROW(B55)-1, "")</f>
        <v/>
      </c>
      <c r="N57" s="1" t="str">
        <f>IF(Person1!$B$16+ROW(B55)-1&lt;=Person1!$C$16, Person1!$B$16+ROW(B55)-1, "")</f>
        <v/>
      </c>
      <c r="O57" s="1" t="str">
        <f>IF(Person1!$B$17+ROW(B55)-1&lt;=Person1!$C$17, Person1!$B$17+ROW(B55)-1, "")</f>
        <v/>
      </c>
      <c r="V57" s="1" t="str">
        <f>IF(Person1!$D$3+ROW(A55)-1&lt;=Person1!$E$3, Person1!$D$3+ROW(A55)-1, "")</f>
        <v/>
      </c>
      <c r="W57" s="1" t="str">
        <f>IF(Person1!$D$4+ROW(A55)-1&lt;=Person1!$E$4, Person1!$D$4+ROW(A55)-1, "")</f>
        <v/>
      </c>
      <c r="X57" s="1" t="str">
        <f>IF(Person1!$D$5+ROW(A55)-1&lt;=Person1!$E$5, Person1!$D$5+ROW(A55)-1, "")</f>
        <v/>
      </c>
      <c r="Y57" s="1" t="str">
        <f>IF(Person1!$D$6+ROW(A55)-1&lt;=Person1!$E$6, Person1!$D$6+ROW(A55)-1, "")</f>
        <v/>
      </c>
      <c r="Z57" s="1" t="str">
        <f>IF(Person1!$D$7+ROW(A55)-1&lt;=Person1!$E$7, Person1!$D$7+ROW(A55)-1, "")</f>
        <v/>
      </c>
      <c r="AA57" s="1" t="str">
        <f>IF(Person1!$D$8+ROW(A55)-1&lt;=Person1!$E$8, Person1!$D$8+ROW(A55)-1, "")</f>
        <v/>
      </c>
      <c r="AE57" s="1" t="str">
        <f>IF(Person1!$F$3+ROW(A55)-1&lt;=Person1!$G$3, Person1!$F$3+ROW(A55)-1, "")</f>
        <v/>
      </c>
      <c r="AF57" s="1" t="str">
        <f>IF(Person1!$F$4+ROW(A55)-1&lt;=Person1!$G$4, Person1!$F$4+ROW(A55)-1, "")</f>
        <v/>
      </c>
      <c r="AG57" s="1" t="str">
        <f>IF(Person1!$F$5+ROW(A55)-1&lt;=Person1!$G$5, Person1!$F$5+ROW(A55)-1, "")</f>
        <v/>
      </c>
      <c r="AH57" s="1" t="str">
        <f>IF(Person1!$F$6+ROW(A55)-1&lt;=Person1!$G$6, Person1!$F$6+ROW(A55)-1, "")</f>
        <v/>
      </c>
      <c r="AI57" s="1" t="str">
        <f>IF(Person1!$F$7+ROW(A55)-1&lt;=Person1!$G$7, Person1!$F$7+ROW(A55)-1, "")</f>
        <v/>
      </c>
    </row>
    <row r="58" spans="1:35" x14ac:dyDescent="0.3">
      <c r="A58" s="1" t="str">
        <f>IF(Person1!$B$3+ROW(A56)-1&lt;=Person1!$C$3, Person1!$B$3+ROW(A56)-1, "")</f>
        <v/>
      </c>
      <c r="B58" s="1" t="str">
        <f>IF(Person1!$B$4+ROW(B56)-1&lt;=Person1!$C$4, Person1!$B$4+ROW(B56)-1, "")</f>
        <v/>
      </c>
      <c r="C58" s="1" t="str">
        <f>IF(Person1!$B$5+ROW(B56)-1&lt;=Person1!$C$5, Person1!$B$5+ROW(B56)-1, "")</f>
        <v/>
      </c>
      <c r="D58" s="1" t="str">
        <f>IF(Person1!$B$6+ROW(B56)-1&lt;=Person1!$C$6, Person1!$B$6+ROW(B56)-1, "")</f>
        <v/>
      </c>
      <c r="E58" s="1" t="str">
        <f>IF(Person1!$B$7+ROW(B56)-1&lt;=Person1!$C$7, Person1!$B$7+ROW(B56)-1, "")</f>
        <v/>
      </c>
      <c r="F58" s="1" t="str">
        <f>IF(Person1!$B$8+ROW(B56)-1&lt;=Person1!$C$8, Person1!$B$8+ROW(B56)-1, "")</f>
        <v/>
      </c>
      <c r="G58" s="1" t="str">
        <f>IF(Person1!$B$9+ROW(B56)-1&lt;=Person1!$C$9, Person1!$B$9+ROW(B56)-1, "")</f>
        <v/>
      </c>
      <c r="H58" s="1" t="str">
        <f>IF(Person1!$B$10+ROW(B56)-1&lt;=Person1!$C$10, Person1!$B$10+ROW(B56)-1, "")</f>
        <v/>
      </c>
      <c r="I58" s="1" t="str">
        <f>IF(Person1!$B$11+ROW(B56)-1&lt;=Person1!$C$11, Person1!$B$11+ROW(B56)-1, "")</f>
        <v/>
      </c>
      <c r="J58" s="1" t="str">
        <f>IF(Person1!$B$12+ROW(B56)-1&lt;=Person1!$C$12, Person1!$B$12+ROW(B56)-1, "")</f>
        <v/>
      </c>
      <c r="K58" s="1" t="str">
        <f>IF(Person1!$B$13+ROW(B56)-1&lt;=Person1!$C$13, Person1!$B$13+ROW(B56)-1, "")</f>
        <v/>
      </c>
      <c r="L58" s="1" t="str">
        <f>IF(Person1!$B$14+ROW(B56)-1&lt;=Person1!$C$14, Person1!$B$14+ROW(B56)-1, "")</f>
        <v/>
      </c>
      <c r="M58" s="1" t="str">
        <f>IF(Person1!$B$15+ROW(B56)-1&lt;=Person1!$C$15, Person1!$B$15+ROW(B56)-1, "")</f>
        <v/>
      </c>
      <c r="N58" s="1" t="str">
        <f>IF(Person1!$B$16+ROW(B56)-1&lt;=Person1!$C$16, Person1!$B$16+ROW(B56)-1, "")</f>
        <v/>
      </c>
      <c r="O58" s="1" t="str">
        <f>IF(Person1!$B$17+ROW(B56)-1&lt;=Person1!$C$17, Person1!$B$17+ROW(B56)-1, "")</f>
        <v/>
      </c>
      <c r="V58" s="1" t="str">
        <f>IF(Person1!$D$3+ROW(A56)-1&lt;=Person1!$E$3, Person1!$D$3+ROW(A56)-1, "")</f>
        <v/>
      </c>
      <c r="W58" s="1" t="str">
        <f>IF(Person1!$D$4+ROW(A56)-1&lt;=Person1!$E$4, Person1!$D$4+ROW(A56)-1, "")</f>
        <v/>
      </c>
      <c r="X58" s="1" t="str">
        <f>IF(Person1!$D$5+ROW(A56)-1&lt;=Person1!$E$5, Person1!$D$5+ROW(A56)-1, "")</f>
        <v/>
      </c>
      <c r="Y58" s="1" t="str">
        <f>IF(Person1!$D$6+ROW(A56)-1&lt;=Person1!$E$6, Person1!$D$6+ROW(A56)-1, "")</f>
        <v/>
      </c>
      <c r="Z58" s="1" t="str">
        <f>IF(Person1!$D$7+ROW(A56)-1&lt;=Person1!$E$7, Person1!$D$7+ROW(A56)-1, "")</f>
        <v/>
      </c>
      <c r="AA58" s="1" t="str">
        <f>IF(Person1!$D$8+ROW(A56)-1&lt;=Person1!$E$8, Person1!$D$8+ROW(A56)-1, "")</f>
        <v/>
      </c>
      <c r="AE58" s="1" t="str">
        <f>IF(Person1!$F$3+ROW(A56)-1&lt;=Person1!$G$3, Person1!$F$3+ROW(A56)-1, "")</f>
        <v/>
      </c>
      <c r="AF58" s="1" t="str">
        <f>IF(Person1!$F$4+ROW(A56)-1&lt;=Person1!$G$4, Person1!$F$4+ROW(A56)-1, "")</f>
        <v/>
      </c>
      <c r="AG58" s="1" t="str">
        <f>IF(Person1!$F$5+ROW(A56)-1&lt;=Person1!$G$5, Person1!$F$5+ROW(A56)-1, "")</f>
        <v/>
      </c>
      <c r="AH58" s="1" t="str">
        <f>IF(Person1!$F$6+ROW(A56)-1&lt;=Person1!$G$6, Person1!$F$6+ROW(A56)-1, "")</f>
        <v/>
      </c>
      <c r="AI58" s="1" t="str">
        <f>IF(Person1!$F$7+ROW(A56)-1&lt;=Person1!$G$7, Person1!$F$7+ROW(A56)-1, "")</f>
        <v/>
      </c>
    </row>
    <row r="59" spans="1:35" x14ac:dyDescent="0.3">
      <c r="A59" s="1" t="str">
        <f>IF(Person1!$B$3+ROW(A57)-1&lt;=Person1!$C$3, Person1!$B$3+ROW(A57)-1, "")</f>
        <v/>
      </c>
      <c r="B59" s="1" t="str">
        <f>IF(Person1!$B$4+ROW(B57)-1&lt;=Person1!$C$4, Person1!$B$4+ROW(B57)-1, "")</f>
        <v/>
      </c>
      <c r="C59" s="1" t="str">
        <f>IF(Person1!$B$5+ROW(B57)-1&lt;=Person1!$C$5, Person1!$B$5+ROW(B57)-1, "")</f>
        <v/>
      </c>
      <c r="D59" s="1" t="str">
        <f>IF(Person1!$B$6+ROW(B57)-1&lt;=Person1!$C$6, Person1!$B$6+ROW(B57)-1, "")</f>
        <v/>
      </c>
      <c r="E59" s="1" t="str">
        <f>IF(Person1!$B$7+ROW(B57)-1&lt;=Person1!$C$7, Person1!$B$7+ROW(B57)-1, "")</f>
        <v/>
      </c>
      <c r="F59" s="1" t="str">
        <f>IF(Person1!$B$8+ROW(B57)-1&lt;=Person1!$C$8, Person1!$B$8+ROW(B57)-1, "")</f>
        <v/>
      </c>
      <c r="G59" s="1" t="str">
        <f>IF(Person1!$B$9+ROW(B57)-1&lt;=Person1!$C$9, Person1!$B$9+ROW(B57)-1, "")</f>
        <v/>
      </c>
      <c r="H59" s="1" t="str">
        <f>IF(Person1!$B$10+ROW(B57)-1&lt;=Person1!$C$10, Person1!$B$10+ROW(B57)-1, "")</f>
        <v/>
      </c>
      <c r="I59" s="1" t="str">
        <f>IF(Person1!$B$11+ROW(B57)-1&lt;=Person1!$C$11, Person1!$B$11+ROW(B57)-1, "")</f>
        <v/>
      </c>
      <c r="J59" s="1" t="str">
        <f>IF(Person1!$B$12+ROW(B57)-1&lt;=Person1!$C$12, Person1!$B$12+ROW(B57)-1, "")</f>
        <v/>
      </c>
      <c r="K59" s="1" t="str">
        <f>IF(Person1!$B$13+ROW(B57)-1&lt;=Person1!$C$13, Person1!$B$13+ROW(B57)-1, "")</f>
        <v/>
      </c>
      <c r="L59" s="1" t="str">
        <f>IF(Person1!$B$14+ROW(B57)-1&lt;=Person1!$C$14, Person1!$B$14+ROW(B57)-1, "")</f>
        <v/>
      </c>
      <c r="M59" s="1" t="str">
        <f>IF(Person1!$B$15+ROW(B57)-1&lt;=Person1!$C$15, Person1!$B$15+ROW(B57)-1, "")</f>
        <v/>
      </c>
      <c r="N59" s="1" t="str">
        <f>IF(Person1!$B$16+ROW(B57)-1&lt;=Person1!$C$16, Person1!$B$16+ROW(B57)-1, "")</f>
        <v/>
      </c>
      <c r="O59" s="1" t="str">
        <f>IF(Person1!$B$17+ROW(B57)-1&lt;=Person1!$C$17, Person1!$B$17+ROW(B57)-1, "")</f>
        <v/>
      </c>
      <c r="V59" s="1" t="str">
        <f>IF(Person1!$D$3+ROW(A57)-1&lt;=Person1!$E$3, Person1!$D$3+ROW(A57)-1, "")</f>
        <v/>
      </c>
      <c r="W59" s="1" t="str">
        <f>IF(Person1!$D$4+ROW(A57)-1&lt;=Person1!$E$4, Person1!$D$4+ROW(A57)-1, "")</f>
        <v/>
      </c>
      <c r="X59" s="1" t="str">
        <f>IF(Person1!$D$5+ROW(A57)-1&lt;=Person1!$E$5, Person1!$D$5+ROW(A57)-1, "")</f>
        <v/>
      </c>
      <c r="Y59" s="1" t="str">
        <f>IF(Person1!$D$6+ROW(A57)-1&lt;=Person1!$E$6, Person1!$D$6+ROW(A57)-1, "")</f>
        <v/>
      </c>
      <c r="Z59" s="1" t="str">
        <f>IF(Person1!$D$7+ROW(A57)-1&lt;=Person1!$E$7, Person1!$D$7+ROW(A57)-1, "")</f>
        <v/>
      </c>
      <c r="AA59" s="1" t="str">
        <f>IF(Person1!$D$8+ROW(A57)-1&lt;=Person1!$E$8, Person1!$D$8+ROW(A57)-1, "")</f>
        <v/>
      </c>
      <c r="AE59" s="1" t="str">
        <f>IF(Person1!$F$3+ROW(A57)-1&lt;=Person1!$G$3, Person1!$F$3+ROW(A57)-1, "")</f>
        <v/>
      </c>
      <c r="AF59" s="1" t="str">
        <f>IF(Person1!$F$4+ROW(A57)-1&lt;=Person1!$G$4, Person1!$F$4+ROW(A57)-1, "")</f>
        <v/>
      </c>
      <c r="AG59" s="1" t="str">
        <f>IF(Person1!$F$5+ROW(A57)-1&lt;=Person1!$G$5, Person1!$F$5+ROW(A57)-1, "")</f>
        <v/>
      </c>
      <c r="AH59" s="1" t="str">
        <f>IF(Person1!$F$6+ROW(A57)-1&lt;=Person1!$G$6, Person1!$F$6+ROW(A57)-1, "")</f>
        <v/>
      </c>
      <c r="AI59" s="1" t="str">
        <f>IF(Person1!$F$7+ROW(A57)-1&lt;=Person1!$G$7, Person1!$F$7+ROW(A57)-1, "")</f>
        <v/>
      </c>
    </row>
    <row r="60" spans="1:35" x14ac:dyDescent="0.3">
      <c r="A60" s="1" t="str">
        <f>IF(Person1!$B$3+ROW(A58)-1&lt;=Person1!$C$3, Person1!$B$3+ROW(A58)-1, "")</f>
        <v/>
      </c>
      <c r="B60" s="1" t="str">
        <f>IF(Person1!$B$4+ROW(B58)-1&lt;=Person1!$C$4, Person1!$B$4+ROW(B58)-1, "")</f>
        <v/>
      </c>
      <c r="C60" s="1" t="str">
        <f>IF(Person1!$B$5+ROW(B58)-1&lt;=Person1!$C$5, Person1!$B$5+ROW(B58)-1, "")</f>
        <v/>
      </c>
      <c r="D60" s="1" t="str">
        <f>IF(Person1!$B$6+ROW(B58)-1&lt;=Person1!$C$6, Person1!$B$6+ROW(B58)-1, "")</f>
        <v/>
      </c>
      <c r="E60" s="1" t="str">
        <f>IF(Person1!$B$7+ROW(B58)-1&lt;=Person1!$C$7, Person1!$B$7+ROW(B58)-1, "")</f>
        <v/>
      </c>
      <c r="F60" s="1" t="str">
        <f>IF(Person1!$B$8+ROW(B58)-1&lt;=Person1!$C$8, Person1!$B$8+ROW(B58)-1, "")</f>
        <v/>
      </c>
      <c r="G60" s="1" t="str">
        <f>IF(Person1!$B$9+ROW(B58)-1&lt;=Person1!$C$9, Person1!$B$9+ROW(B58)-1, "")</f>
        <v/>
      </c>
      <c r="H60" s="1" t="str">
        <f>IF(Person1!$B$10+ROW(B58)-1&lt;=Person1!$C$10, Person1!$B$10+ROW(B58)-1, "")</f>
        <v/>
      </c>
      <c r="I60" s="1" t="str">
        <f>IF(Person1!$B$11+ROW(B58)-1&lt;=Person1!$C$11, Person1!$B$11+ROW(B58)-1, "")</f>
        <v/>
      </c>
      <c r="J60" s="1" t="str">
        <f>IF(Person1!$B$12+ROW(B58)-1&lt;=Person1!$C$12, Person1!$B$12+ROW(B58)-1, "")</f>
        <v/>
      </c>
      <c r="K60" s="1" t="str">
        <f>IF(Person1!$B$13+ROW(B58)-1&lt;=Person1!$C$13, Person1!$B$13+ROW(B58)-1, "")</f>
        <v/>
      </c>
      <c r="L60" s="1" t="str">
        <f>IF(Person1!$B$14+ROW(B58)-1&lt;=Person1!$C$14, Person1!$B$14+ROW(B58)-1, "")</f>
        <v/>
      </c>
      <c r="M60" s="1" t="str">
        <f>IF(Person1!$B$15+ROW(B58)-1&lt;=Person1!$C$15, Person1!$B$15+ROW(B58)-1, "")</f>
        <v/>
      </c>
      <c r="N60" s="1" t="str">
        <f>IF(Person1!$B$16+ROW(B58)-1&lt;=Person1!$C$16, Person1!$B$16+ROW(B58)-1, "")</f>
        <v/>
      </c>
      <c r="O60" s="1" t="str">
        <f>IF(Person1!$B$17+ROW(B58)-1&lt;=Person1!$C$17, Person1!$B$17+ROW(B58)-1, "")</f>
        <v/>
      </c>
      <c r="V60" s="1" t="str">
        <f>IF(Person1!$D$3+ROW(A58)-1&lt;=Person1!$E$3, Person1!$D$3+ROW(A58)-1, "")</f>
        <v/>
      </c>
      <c r="W60" s="1" t="str">
        <f>IF(Person1!$D$4+ROW(A58)-1&lt;=Person1!$E$4, Person1!$D$4+ROW(A58)-1, "")</f>
        <v/>
      </c>
      <c r="X60" s="1" t="str">
        <f>IF(Person1!$D$5+ROW(A58)-1&lt;=Person1!$E$5, Person1!$D$5+ROW(A58)-1, "")</f>
        <v/>
      </c>
      <c r="Y60" s="1" t="str">
        <f>IF(Person1!$D$6+ROW(A58)-1&lt;=Person1!$E$6, Person1!$D$6+ROW(A58)-1, "")</f>
        <v/>
      </c>
      <c r="Z60" s="1" t="str">
        <f>IF(Person1!$D$7+ROW(A58)-1&lt;=Person1!$E$7, Person1!$D$7+ROW(A58)-1, "")</f>
        <v/>
      </c>
      <c r="AA60" s="1" t="str">
        <f>IF(Person1!$D$8+ROW(A58)-1&lt;=Person1!$E$8, Person1!$D$8+ROW(A58)-1, "")</f>
        <v/>
      </c>
      <c r="AE60" s="1" t="str">
        <f>IF(Person1!$F$3+ROW(A58)-1&lt;=Person1!$G$3, Person1!$F$3+ROW(A58)-1, "")</f>
        <v/>
      </c>
      <c r="AF60" s="1" t="str">
        <f>IF(Person1!$F$4+ROW(A58)-1&lt;=Person1!$G$4, Person1!$F$4+ROW(A58)-1, "")</f>
        <v/>
      </c>
      <c r="AG60" s="1" t="str">
        <f>IF(Person1!$F$5+ROW(A58)-1&lt;=Person1!$G$5, Person1!$F$5+ROW(A58)-1, "")</f>
        <v/>
      </c>
      <c r="AH60" s="1" t="str">
        <f>IF(Person1!$F$6+ROW(A58)-1&lt;=Person1!$G$6, Person1!$F$6+ROW(A58)-1, "")</f>
        <v/>
      </c>
      <c r="AI60" s="1" t="str">
        <f>IF(Person1!$F$7+ROW(A58)-1&lt;=Person1!$G$7, Person1!$F$7+ROW(A58)-1, "")</f>
        <v/>
      </c>
    </row>
    <row r="61" spans="1:35" x14ac:dyDescent="0.3">
      <c r="A61" s="1" t="str">
        <f>IF(Person1!$B$3+ROW(A59)-1&lt;=Person1!$C$3, Person1!$B$3+ROW(A59)-1, "")</f>
        <v/>
      </c>
      <c r="B61" s="1" t="str">
        <f>IF(Person1!$B$4+ROW(B59)-1&lt;=Person1!$C$4, Person1!$B$4+ROW(B59)-1, "")</f>
        <v/>
      </c>
      <c r="C61" s="1" t="str">
        <f>IF(Person1!$B$5+ROW(B59)-1&lt;=Person1!$C$5, Person1!$B$5+ROW(B59)-1, "")</f>
        <v/>
      </c>
      <c r="D61" s="1" t="str">
        <f>IF(Person1!$B$6+ROW(B59)-1&lt;=Person1!$C$6, Person1!$B$6+ROW(B59)-1, "")</f>
        <v/>
      </c>
      <c r="E61" s="1" t="str">
        <f>IF(Person1!$B$7+ROW(B59)-1&lt;=Person1!$C$7, Person1!$B$7+ROW(B59)-1, "")</f>
        <v/>
      </c>
      <c r="F61" s="1" t="str">
        <f>IF(Person1!$B$8+ROW(B59)-1&lt;=Person1!$C$8, Person1!$B$8+ROW(B59)-1, "")</f>
        <v/>
      </c>
      <c r="G61" s="1" t="str">
        <f>IF(Person1!$B$9+ROW(B59)-1&lt;=Person1!$C$9, Person1!$B$9+ROW(B59)-1, "")</f>
        <v/>
      </c>
      <c r="H61" s="1" t="str">
        <f>IF(Person1!$B$10+ROW(B59)-1&lt;=Person1!$C$10, Person1!$B$10+ROW(B59)-1, "")</f>
        <v/>
      </c>
      <c r="I61" s="1" t="str">
        <f>IF(Person1!$B$11+ROW(B59)-1&lt;=Person1!$C$11, Person1!$B$11+ROW(B59)-1, "")</f>
        <v/>
      </c>
      <c r="J61" s="1" t="str">
        <f>IF(Person1!$B$12+ROW(B59)-1&lt;=Person1!$C$12, Person1!$B$12+ROW(B59)-1, "")</f>
        <v/>
      </c>
      <c r="K61" s="1" t="str">
        <f>IF(Person1!$B$13+ROW(B59)-1&lt;=Person1!$C$13, Person1!$B$13+ROW(B59)-1, "")</f>
        <v/>
      </c>
      <c r="L61" s="1" t="str">
        <f>IF(Person1!$B$14+ROW(B59)-1&lt;=Person1!$C$14, Person1!$B$14+ROW(B59)-1, "")</f>
        <v/>
      </c>
      <c r="M61" s="1" t="str">
        <f>IF(Person1!$B$15+ROW(B59)-1&lt;=Person1!$C$15, Person1!$B$15+ROW(B59)-1, "")</f>
        <v/>
      </c>
      <c r="N61" s="1" t="str">
        <f>IF(Person1!$B$16+ROW(B59)-1&lt;=Person1!$C$16, Person1!$B$16+ROW(B59)-1, "")</f>
        <v/>
      </c>
      <c r="O61" s="1" t="str">
        <f>IF(Person1!$B$17+ROW(B59)-1&lt;=Person1!$C$17, Person1!$B$17+ROW(B59)-1, "")</f>
        <v/>
      </c>
      <c r="V61" s="1" t="str">
        <f>IF(Person1!$D$3+ROW(A59)-1&lt;=Person1!$E$3, Person1!$D$3+ROW(A59)-1, "")</f>
        <v/>
      </c>
      <c r="W61" s="1" t="str">
        <f>IF(Person1!$D$4+ROW(A59)-1&lt;=Person1!$E$4, Person1!$D$4+ROW(A59)-1, "")</f>
        <v/>
      </c>
      <c r="X61" s="1" t="str">
        <f>IF(Person1!$D$5+ROW(A59)-1&lt;=Person1!$E$5, Person1!$D$5+ROW(A59)-1, "")</f>
        <v/>
      </c>
      <c r="Y61" s="1" t="str">
        <f>IF(Person1!$D$6+ROW(A59)-1&lt;=Person1!$E$6, Person1!$D$6+ROW(A59)-1, "")</f>
        <v/>
      </c>
      <c r="Z61" s="1" t="str">
        <f>IF(Person1!$D$7+ROW(A59)-1&lt;=Person1!$E$7, Person1!$D$7+ROW(A59)-1, "")</f>
        <v/>
      </c>
      <c r="AA61" s="1" t="str">
        <f>IF(Person1!$D$8+ROW(A59)-1&lt;=Person1!$E$8, Person1!$D$8+ROW(A59)-1, "")</f>
        <v/>
      </c>
      <c r="AE61" s="1" t="str">
        <f>IF(Person1!$F$3+ROW(A59)-1&lt;=Person1!$G$3, Person1!$F$3+ROW(A59)-1, "")</f>
        <v/>
      </c>
      <c r="AF61" s="1" t="str">
        <f>IF(Person1!$F$4+ROW(A59)-1&lt;=Person1!$G$4, Person1!$F$4+ROW(A59)-1, "")</f>
        <v/>
      </c>
      <c r="AG61" s="1" t="str">
        <f>IF(Person1!$F$5+ROW(A59)-1&lt;=Person1!$G$5, Person1!$F$5+ROW(A59)-1, "")</f>
        <v/>
      </c>
      <c r="AH61" s="1" t="str">
        <f>IF(Person1!$F$6+ROW(A59)-1&lt;=Person1!$G$6, Person1!$F$6+ROW(A59)-1, "")</f>
        <v/>
      </c>
      <c r="AI61" s="1" t="str">
        <f>IF(Person1!$F$7+ROW(A59)-1&lt;=Person1!$G$7, Person1!$F$7+ROW(A59)-1, "")</f>
        <v/>
      </c>
    </row>
    <row r="62" spans="1:35" x14ac:dyDescent="0.3">
      <c r="A62" s="1" t="str">
        <f>IF(Person1!$B$3+ROW(A60)-1&lt;=Person1!$C$3, Person1!$B$3+ROW(A60)-1, "")</f>
        <v/>
      </c>
      <c r="B62" s="1" t="str">
        <f>IF(Person1!$B$4+ROW(B60)-1&lt;=Person1!$C$4, Person1!$B$4+ROW(B60)-1, "")</f>
        <v/>
      </c>
      <c r="C62" s="1" t="str">
        <f>IF(Person1!$B$5+ROW(B60)-1&lt;=Person1!$C$5, Person1!$B$5+ROW(B60)-1, "")</f>
        <v/>
      </c>
      <c r="D62" s="1" t="str">
        <f>IF(Person1!$B$6+ROW(B60)-1&lt;=Person1!$C$6, Person1!$B$6+ROW(B60)-1, "")</f>
        <v/>
      </c>
      <c r="E62" s="1" t="str">
        <f>IF(Person1!$B$7+ROW(B60)-1&lt;=Person1!$C$7, Person1!$B$7+ROW(B60)-1, "")</f>
        <v/>
      </c>
      <c r="F62" s="1" t="str">
        <f>IF(Person1!$B$8+ROW(B60)-1&lt;=Person1!$C$8, Person1!$B$8+ROW(B60)-1, "")</f>
        <v/>
      </c>
      <c r="G62" s="1" t="str">
        <f>IF(Person1!$B$9+ROW(B60)-1&lt;=Person1!$C$9, Person1!$B$9+ROW(B60)-1, "")</f>
        <v/>
      </c>
      <c r="H62" s="1" t="str">
        <f>IF(Person1!$B$10+ROW(B60)-1&lt;=Person1!$C$10, Person1!$B$10+ROW(B60)-1, "")</f>
        <v/>
      </c>
      <c r="I62" s="1" t="str">
        <f>IF(Person1!$B$11+ROW(B60)-1&lt;=Person1!$C$11, Person1!$B$11+ROW(B60)-1, "")</f>
        <v/>
      </c>
      <c r="J62" s="1" t="str">
        <f>IF(Person1!$B$12+ROW(B60)-1&lt;=Person1!$C$12, Person1!$B$12+ROW(B60)-1, "")</f>
        <v/>
      </c>
      <c r="K62" s="1" t="str">
        <f>IF(Person1!$B$13+ROW(B60)-1&lt;=Person1!$C$13, Person1!$B$13+ROW(B60)-1, "")</f>
        <v/>
      </c>
      <c r="L62" s="1" t="str">
        <f>IF(Person1!$B$14+ROW(B60)-1&lt;=Person1!$C$14, Person1!$B$14+ROW(B60)-1, "")</f>
        <v/>
      </c>
      <c r="M62" s="1" t="str">
        <f>IF(Person1!$B$15+ROW(B60)-1&lt;=Person1!$C$15, Person1!$B$15+ROW(B60)-1, "")</f>
        <v/>
      </c>
      <c r="N62" s="1" t="str">
        <f>IF(Person1!$B$16+ROW(B60)-1&lt;=Person1!$C$16, Person1!$B$16+ROW(B60)-1, "")</f>
        <v/>
      </c>
      <c r="O62" s="1" t="str">
        <f>IF(Person1!$B$17+ROW(B60)-1&lt;=Person1!$C$17, Person1!$B$17+ROW(B60)-1, "")</f>
        <v/>
      </c>
      <c r="V62" s="1" t="str">
        <f>IF(Person1!$D$3+ROW(A60)-1&lt;=Person1!$E$3, Person1!$D$3+ROW(A60)-1, "")</f>
        <v/>
      </c>
      <c r="W62" s="1" t="str">
        <f>IF(Person1!$D$4+ROW(A60)-1&lt;=Person1!$E$4, Person1!$D$4+ROW(A60)-1, "")</f>
        <v/>
      </c>
      <c r="X62" s="1" t="str">
        <f>IF(Person1!$D$5+ROW(A60)-1&lt;=Person1!$E$5, Person1!$D$5+ROW(A60)-1, "")</f>
        <v/>
      </c>
      <c r="Y62" s="1" t="str">
        <f>IF(Person1!$D$6+ROW(A60)-1&lt;=Person1!$E$6, Person1!$D$6+ROW(A60)-1, "")</f>
        <v/>
      </c>
      <c r="Z62" s="1" t="str">
        <f>IF(Person1!$D$7+ROW(A60)-1&lt;=Person1!$E$7, Person1!$D$7+ROW(A60)-1, "")</f>
        <v/>
      </c>
      <c r="AA62" s="1" t="str">
        <f>IF(Person1!$D$8+ROW(A60)-1&lt;=Person1!$E$8, Person1!$D$8+ROW(A60)-1, "")</f>
        <v/>
      </c>
      <c r="AE62" s="1" t="str">
        <f>IF(Person1!$F$3+ROW(A60)-1&lt;=Person1!$G$3, Person1!$F$3+ROW(A60)-1, "")</f>
        <v/>
      </c>
      <c r="AF62" s="1" t="str">
        <f>IF(Person1!$F$4+ROW(A60)-1&lt;=Person1!$G$4, Person1!$F$4+ROW(A60)-1, "")</f>
        <v/>
      </c>
      <c r="AG62" s="1" t="str">
        <f>IF(Person1!$F$5+ROW(A60)-1&lt;=Person1!$G$5, Person1!$F$5+ROW(A60)-1, "")</f>
        <v/>
      </c>
      <c r="AH62" s="1" t="str">
        <f>IF(Person1!$F$6+ROW(A60)-1&lt;=Person1!$G$6, Person1!$F$6+ROW(A60)-1, "")</f>
        <v/>
      </c>
      <c r="AI62" s="1" t="str">
        <f>IF(Person1!$F$7+ROW(A60)-1&lt;=Person1!$G$7, Person1!$F$7+ROW(A60)-1, "")</f>
        <v/>
      </c>
    </row>
    <row r="63" spans="1:35" x14ac:dyDescent="0.3">
      <c r="A63" s="1" t="str">
        <f>IF(Person1!$B$3+ROW(A61)-1&lt;=Person1!$C$3, Person1!$B$3+ROW(A61)-1, "")</f>
        <v/>
      </c>
      <c r="B63" s="1" t="str">
        <f>IF(Person1!$B$4+ROW(B61)-1&lt;=Person1!$C$4, Person1!$B$4+ROW(B61)-1, "")</f>
        <v/>
      </c>
      <c r="C63" s="1" t="str">
        <f>IF(Person1!$B$5+ROW(B61)-1&lt;=Person1!$C$5, Person1!$B$5+ROW(B61)-1, "")</f>
        <v/>
      </c>
      <c r="D63" s="1" t="str">
        <f>IF(Person1!$B$6+ROW(B61)-1&lt;=Person1!$C$6, Person1!$B$6+ROW(B61)-1, "")</f>
        <v/>
      </c>
      <c r="E63" s="1" t="str">
        <f>IF(Person1!$B$7+ROW(B61)-1&lt;=Person1!$C$7, Person1!$B$7+ROW(B61)-1, "")</f>
        <v/>
      </c>
      <c r="F63" s="1" t="str">
        <f>IF(Person1!$B$8+ROW(B61)-1&lt;=Person1!$C$8, Person1!$B$8+ROW(B61)-1, "")</f>
        <v/>
      </c>
      <c r="G63" s="1" t="str">
        <f>IF(Person1!$B$9+ROW(B61)-1&lt;=Person1!$C$9, Person1!$B$9+ROW(B61)-1, "")</f>
        <v/>
      </c>
      <c r="H63" s="1" t="str">
        <f>IF(Person1!$B$10+ROW(B61)-1&lt;=Person1!$C$10, Person1!$B$10+ROW(B61)-1, "")</f>
        <v/>
      </c>
      <c r="I63" s="1" t="str">
        <f>IF(Person1!$B$11+ROW(B61)-1&lt;=Person1!$C$11, Person1!$B$11+ROW(B61)-1, "")</f>
        <v/>
      </c>
      <c r="J63" s="1" t="str">
        <f>IF(Person1!$B$12+ROW(B61)-1&lt;=Person1!$C$12, Person1!$B$12+ROW(B61)-1, "")</f>
        <v/>
      </c>
      <c r="K63" s="1" t="str">
        <f>IF(Person1!$B$13+ROW(B61)-1&lt;=Person1!$C$13, Person1!$B$13+ROW(B61)-1, "")</f>
        <v/>
      </c>
      <c r="L63" s="1" t="str">
        <f>IF(Person1!$B$14+ROW(B61)-1&lt;=Person1!$C$14, Person1!$B$14+ROW(B61)-1, "")</f>
        <v/>
      </c>
      <c r="M63" s="1" t="str">
        <f>IF(Person1!$B$15+ROW(B61)-1&lt;=Person1!$C$15, Person1!$B$15+ROW(B61)-1, "")</f>
        <v/>
      </c>
      <c r="N63" s="1" t="str">
        <f>IF(Person1!$B$16+ROW(B61)-1&lt;=Person1!$C$16, Person1!$B$16+ROW(B61)-1, "")</f>
        <v/>
      </c>
      <c r="O63" s="1" t="str">
        <f>IF(Person1!$B$17+ROW(B61)-1&lt;=Person1!$C$17, Person1!$B$17+ROW(B61)-1, "")</f>
        <v/>
      </c>
      <c r="V63" s="1" t="str">
        <f>IF(Person1!$D$3+ROW(A61)-1&lt;=Person1!$E$3, Person1!$D$3+ROW(A61)-1, "")</f>
        <v/>
      </c>
      <c r="W63" s="1" t="str">
        <f>IF(Person1!$D$4+ROW(A61)-1&lt;=Person1!$E$4, Person1!$D$4+ROW(A61)-1, "")</f>
        <v/>
      </c>
      <c r="X63" s="1" t="str">
        <f>IF(Person1!$D$5+ROW(A61)-1&lt;=Person1!$E$5, Person1!$D$5+ROW(A61)-1, "")</f>
        <v/>
      </c>
      <c r="Y63" s="1" t="str">
        <f>IF(Person1!$D$6+ROW(A61)-1&lt;=Person1!$E$6, Person1!$D$6+ROW(A61)-1, "")</f>
        <v/>
      </c>
      <c r="Z63" s="1" t="str">
        <f>IF(Person1!$D$7+ROW(A61)-1&lt;=Person1!$E$7, Person1!$D$7+ROW(A61)-1, "")</f>
        <v/>
      </c>
      <c r="AA63" s="1" t="str">
        <f>IF(Person1!$D$8+ROW(A61)-1&lt;=Person1!$E$8, Person1!$D$8+ROW(A61)-1, "")</f>
        <v/>
      </c>
      <c r="AE63" s="1" t="str">
        <f>IF(Person1!$F$3+ROW(A61)-1&lt;=Person1!$G$3, Person1!$F$3+ROW(A61)-1, "")</f>
        <v/>
      </c>
      <c r="AF63" s="1" t="str">
        <f>IF(Person1!$F$4+ROW(A61)-1&lt;=Person1!$G$4, Person1!$F$4+ROW(A61)-1, "")</f>
        <v/>
      </c>
      <c r="AG63" s="1" t="str">
        <f>IF(Person1!$F$5+ROW(A61)-1&lt;=Person1!$G$5, Person1!$F$5+ROW(A61)-1, "")</f>
        <v/>
      </c>
      <c r="AH63" s="1" t="str">
        <f>IF(Person1!$F$6+ROW(A61)-1&lt;=Person1!$G$6, Person1!$F$6+ROW(A61)-1, "")</f>
        <v/>
      </c>
      <c r="AI63" s="1" t="str">
        <f>IF(Person1!$F$7+ROW(A61)-1&lt;=Person1!$G$7, Person1!$F$7+ROW(A61)-1, "")</f>
        <v/>
      </c>
    </row>
    <row r="64" spans="1:35" x14ac:dyDescent="0.3">
      <c r="A64" s="1" t="str">
        <f>IF(Person1!$B$3+ROW(A62)-1&lt;=Person1!$C$3, Person1!$B$3+ROW(A62)-1, "")</f>
        <v/>
      </c>
      <c r="B64" s="1" t="str">
        <f>IF(Person1!$B$4+ROW(B62)-1&lt;=Person1!$C$4, Person1!$B$4+ROW(B62)-1, "")</f>
        <v/>
      </c>
      <c r="C64" s="1" t="str">
        <f>IF(Person1!$B$5+ROW(B62)-1&lt;=Person1!$C$5, Person1!$B$5+ROW(B62)-1, "")</f>
        <v/>
      </c>
      <c r="D64" s="1" t="str">
        <f>IF(Person1!$B$6+ROW(B62)-1&lt;=Person1!$C$6, Person1!$B$6+ROW(B62)-1, "")</f>
        <v/>
      </c>
      <c r="E64" s="1" t="str">
        <f>IF(Person1!$B$7+ROW(B62)-1&lt;=Person1!$C$7, Person1!$B$7+ROW(B62)-1, "")</f>
        <v/>
      </c>
      <c r="F64" s="1" t="str">
        <f>IF(Person1!$B$8+ROW(B62)-1&lt;=Person1!$C$8, Person1!$B$8+ROW(B62)-1, "")</f>
        <v/>
      </c>
      <c r="G64" s="1" t="str">
        <f>IF(Person1!$B$9+ROW(B62)-1&lt;=Person1!$C$9, Person1!$B$9+ROW(B62)-1, "")</f>
        <v/>
      </c>
      <c r="H64" s="1" t="str">
        <f>IF(Person1!$B$10+ROW(B62)-1&lt;=Person1!$C$10, Person1!$B$10+ROW(B62)-1, "")</f>
        <v/>
      </c>
      <c r="I64" s="1" t="str">
        <f>IF(Person1!$B$11+ROW(B62)-1&lt;=Person1!$C$11, Person1!$B$11+ROW(B62)-1, "")</f>
        <v/>
      </c>
      <c r="J64" s="1" t="str">
        <f>IF(Person1!$B$12+ROW(B62)-1&lt;=Person1!$C$12, Person1!$B$12+ROW(B62)-1, "")</f>
        <v/>
      </c>
      <c r="K64" s="1" t="str">
        <f>IF(Person1!$B$13+ROW(B62)-1&lt;=Person1!$C$13, Person1!$B$13+ROW(B62)-1, "")</f>
        <v/>
      </c>
      <c r="L64" s="1" t="str">
        <f>IF(Person1!$B$14+ROW(B62)-1&lt;=Person1!$C$14, Person1!$B$14+ROW(B62)-1, "")</f>
        <v/>
      </c>
      <c r="M64" s="1" t="str">
        <f>IF(Person1!$B$15+ROW(B62)-1&lt;=Person1!$C$15, Person1!$B$15+ROW(B62)-1, "")</f>
        <v/>
      </c>
      <c r="N64" s="1" t="str">
        <f>IF(Person1!$B$16+ROW(B62)-1&lt;=Person1!$C$16, Person1!$B$16+ROW(B62)-1, "")</f>
        <v/>
      </c>
      <c r="O64" s="1" t="str">
        <f>IF(Person1!$B$17+ROW(B62)-1&lt;=Person1!$C$17, Person1!$B$17+ROW(B62)-1, "")</f>
        <v/>
      </c>
      <c r="V64" s="1" t="str">
        <f>IF(Person1!$D$3+ROW(A62)-1&lt;=Person1!$E$3, Person1!$D$3+ROW(A62)-1, "")</f>
        <v/>
      </c>
      <c r="W64" s="1" t="str">
        <f>IF(Person1!$D$4+ROW(A62)-1&lt;=Person1!$E$4, Person1!$D$4+ROW(A62)-1, "")</f>
        <v/>
      </c>
      <c r="X64" s="1" t="str">
        <f>IF(Person1!$D$5+ROW(A62)-1&lt;=Person1!$E$5, Person1!$D$5+ROW(A62)-1, "")</f>
        <v/>
      </c>
      <c r="Y64" s="1" t="str">
        <f>IF(Person1!$D$6+ROW(A62)-1&lt;=Person1!$E$6, Person1!$D$6+ROW(A62)-1, "")</f>
        <v/>
      </c>
      <c r="Z64" s="1" t="str">
        <f>IF(Person1!$D$7+ROW(A62)-1&lt;=Person1!$E$7, Person1!$D$7+ROW(A62)-1, "")</f>
        <v/>
      </c>
      <c r="AA64" s="1" t="str">
        <f>IF(Person1!$D$8+ROW(A62)-1&lt;=Person1!$E$8, Person1!$D$8+ROW(A62)-1, "")</f>
        <v/>
      </c>
      <c r="AE64" s="1" t="str">
        <f>IF(Person1!$F$3+ROW(A62)-1&lt;=Person1!$G$3, Person1!$F$3+ROW(A62)-1, "")</f>
        <v/>
      </c>
      <c r="AF64" s="1" t="str">
        <f>IF(Person1!$F$4+ROW(A62)-1&lt;=Person1!$G$4, Person1!$F$4+ROW(A62)-1, "")</f>
        <v/>
      </c>
      <c r="AG64" s="1" t="str">
        <f>IF(Person1!$F$5+ROW(A62)-1&lt;=Person1!$G$5, Person1!$F$5+ROW(A62)-1, "")</f>
        <v/>
      </c>
      <c r="AH64" s="1" t="str">
        <f>IF(Person1!$F$6+ROW(A62)-1&lt;=Person1!$G$6, Person1!$F$6+ROW(A62)-1, "")</f>
        <v/>
      </c>
      <c r="AI64" s="1" t="str">
        <f>IF(Person1!$F$7+ROW(A62)-1&lt;=Person1!$G$7, Person1!$F$7+ROW(A62)-1, "")</f>
        <v/>
      </c>
    </row>
    <row r="65" spans="1:35" x14ac:dyDescent="0.3">
      <c r="A65" s="1" t="str">
        <f>IF(Person1!$B$3+ROW(A63)-1&lt;=Person1!$C$3, Person1!$B$3+ROW(A63)-1, "")</f>
        <v/>
      </c>
      <c r="B65" s="1" t="str">
        <f>IF(Person1!$B$4+ROW(B63)-1&lt;=Person1!$C$4, Person1!$B$4+ROW(B63)-1, "")</f>
        <v/>
      </c>
      <c r="C65" s="1" t="str">
        <f>IF(Person1!$B$5+ROW(B63)-1&lt;=Person1!$C$5, Person1!$B$5+ROW(B63)-1, "")</f>
        <v/>
      </c>
      <c r="D65" s="1" t="str">
        <f>IF(Person1!$B$6+ROW(B63)-1&lt;=Person1!$C$6, Person1!$B$6+ROW(B63)-1, "")</f>
        <v/>
      </c>
      <c r="E65" s="1" t="str">
        <f>IF(Person1!$B$7+ROW(B63)-1&lt;=Person1!$C$7, Person1!$B$7+ROW(B63)-1, "")</f>
        <v/>
      </c>
      <c r="F65" s="1" t="str">
        <f>IF(Person1!$B$8+ROW(B63)-1&lt;=Person1!$C$8, Person1!$B$8+ROW(B63)-1, "")</f>
        <v/>
      </c>
      <c r="G65" s="1" t="str">
        <f>IF(Person1!$B$9+ROW(B63)-1&lt;=Person1!$C$9, Person1!$B$9+ROW(B63)-1, "")</f>
        <v/>
      </c>
      <c r="H65" s="1" t="str">
        <f>IF(Person1!$B$10+ROW(B63)-1&lt;=Person1!$C$10, Person1!$B$10+ROW(B63)-1, "")</f>
        <v/>
      </c>
      <c r="I65" s="1" t="str">
        <f>IF(Person1!$B$11+ROW(B63)-1&lt;=Person1!$C$11, Person1!$B$11+ROW(B63)-1, "")</f>
        <v/>
      </c>
      <c r="J65" s="1" t="str">
        <f>IF(Person1!$B$12+ROW(B63)-1&lt;=Person1!$C$12, Person1!$B$12+ROW(B63)-1, "")</f>
        <v/>
      </c>
      <c r="K65" s="1" t="str">
        <f>IF(Person1!$B$13+ROW(B63)-1&lt;=Person1!$C$13, Person1!$B$13+ROW(B63)-1, "")</f>
        <v/>
      </c>
      <c r="L65" s="1" t="str">
        <f>IF(Person1!$B$14+ROW(B63)-1&lt;=Person1!$C$14, Person1!$B$14+ROW(B63)-1, "")</f>
        <v/>
      </c>
      <c r="M65" s="1" t="str">
        <f>IF(Person1!$B$15+ROW(B63)-1&lt;=Person1!$C$15, Person1!$B$15+ROW(B63)-1, "")</f>
        <v/>
      </c>
      <c r="N65" s="1" t="str">
        <f>IF(Person1!$B$16+ROW(B63)-1&lt;=Person1!$C$16, Person1!$B$16+ROW(B63)-1, "")</f>
        <v/>
      </c>
      <c r="O65" s="1" t="str">
        <f>IF(Person1!$B$17+ROW(B63)-1&lt;=Person1!$C$17, Person1!$B$17+ROW(B63)-1, "")</f>
        <v/>
      </c>
      <c r="V65" s="1" t="str">
        <f>IF(Person1!$D$3+ROW(A63)-1&lt;=Person1!$E$3, Person1!$D$3+ROW(A63)-1, "")</f>
        <v/>
      </c>
      <c r="W65" s="1" t="str">
        <f>IF(Person1!$D$4+ROW(A63)-1&lt;=Person1!$E$4, Person1!$D$4+ROW(A63)-1, "")</f>
        <v/>
      </c>
      <c r="X65" s="1" t="str">
        <f>IF(Person1!$D$5+ROW(A63)-1&lt;=Person1!$E$5, Person1!$D$5+ROW(A63)-1, "")</f>
        <v/>
      </c>
      <c r="Y65" s="1" t="str">
        <f>IF(Person1!$D$6+ROW(A63)-1&lt;=Person1!$E$6, Person1!$D$6+ROW(A63)-1, "")</f>
        <v/>
      </c>
      <c r="Z65" s="1" t="str">
        <f>IF(Person1!$D$7+ROW(A63)-1&lt;=Person1!$E$7, Person1!$D$7+ROW(A63)-1, "")</f>
        <v/>
      </c>
      <c r="AA65" s="1" t="str">
        <f>IF(Person1!$D$8+ROW(A63)-1&lt;=Person1!$E$8, Person1!$D$8+ROW(A63)-1, "")</f>
        <v/>
      </c>
      <c r="AE65" s="1" t="str">
        <f>IF(Person1!$F$3+ROW(A63)-1&lt;=Person1!$G$3, Person1!$F$3+ROW(A63)-1, "")</f>
        <v/>
      </c>
      <c r="AF65" s="1" t="str">
        <f>IF(Person1!$F$4+ROW(A63)-1&lt;=Person1!$G$4, Person1!$F$4+ROW(A63)-1, "")</f>
        <v/>
      </c>
      <c r="AG65" s="1" t="str">
        <f>IF(Person1!$F$5+ROW(A63)-1&lt;=Person1!$G$5, Person1!$F$5+ROW(A63)-1, "")</f>
        <v/>
      </c>
      <c r="AH65" s="1" t="str">
        <f>IF(Person1!$F$6+ROW(A63)-1&lt;=Person1!$G$6, Person1!$F$6+ROW(A63)-1, "")</f>
        <v/>
      </c>
      <c r="AI65" s="1" t="str">
        <f>IF(Person1!$F$7+ROW(A63)-1&lt;=Person1!$G$7, Person1!$F$7+ROW(A63)-1, "")</f>
        <v/>
      </c>
    </row>
    <row r="66" spans="1:35" x14ac:dyDescent="0.3">
      <c r="A66" s="1" t="str">
        <f>IF(Person1!$B$3+ROW(A64)-1&lt;=Person1!$C$3, Person1!$B$3+ROW(A64)-1, "")</f>
        <v/>
      </c>
      <c r="B66" s="1" t="str">
        <f>IF(Person1!$B$4+ROW(B64)-1&lt;=Person1!$C$4, Person1!$B$4+ROW(B64)-1, "")</f>
        <v/>
      </c>
      <c r="C66" s="1" t="str">
        <f>IF(Person1!$B$5+ROW(B64)-1&lt;=Person1!$C$5, Person1!$B$5+ROW(B64)-1, "")</f>
        <v/>
      </c>
      <c r="D66" s="1" t="str">
        <f>IF(Person1!$B$6+ROW(B64)-1&lt;=Person1!$C$6, Person1!$B$6+ROW(B64)-1, "")</f>
        <v/>
      </c>
      <c r="E66" s="1" t="str">
        <f>IF(Person1!$B$7+ROW(B64)-1&lt;=Person1!$C$7, Person1!$B$7+ROW(B64)-1, "")</f>
        <v/>
      </c>
      <c r="F66" s="1" t="str">
        <f>IF(Person1!$B$8+ROW(B64)-1&lt;=Person1!$C$8, Person1!$B$8+ROW(B64)-1, "")</f>
        <v/>
      </c>
      <c r="G66" s="1" t="str">
        <f>IF(Person1!$B$9+ROW(B64)-1&lt;=Person1!$C$9, Person1!$B$9+ROW(B64)-1, "")</f>
        <v/>
      </c>
      <c r="H66" s="1" t="str">
        <f>IF(Person1!$B$10+ROW(B64)-1&lt;=Person1!$C$10, Person1!$B$10+ROW(B64)-1, "")</f>
        <v/>
      </c>
      <c r="I66" s="1" t="str">
        <f>IF(Person1!$B$11+ROW(B64)-1&lt;=Person1!$C$11, Person1!$B$11+ROW(B64)-1, "")</f>
        <v/>
      </c>
      <c r="J66" s="1" t="str">
        <f>IF(Person1!$B$12+ROW(B64)-1&lt;=Person1!$C$12, Person1!$B$12+ROW(B64)-1, "")</f>
        <v/>
      </c>
      <c r="K66" s="1" t="str">
        <f>IF(Person1!$B$13+ROW(B64)-1&lt;=Person1!$C$13, Person1!$B$13+ROW(B64)-1, "")</f>
        <v/>
      </c>
      <c r="L66" s="1" t="str">
        <f>IF(Person1!$B$14+ROW(B64)-1&lt;=Person1!$C$14, Person1!$B$14+ROW(B64)-1, "")</f>
        <v/>
      </c>
      <c r="M66" s="1" t="str">
        <f>IF(Person1!$B$15+ROW(B64)-1&lt;=Person1!$C$15, Person1!$B$15+ROW(B64)-1, "")</f>
        <v/>
      </c>
      <c r="N66" s="1" t="str">
        <f>IF(Person1!$B$16+ROW(B64)-1&lt;=Person1!$C$16, Person1!$B$16+ROW(B64)-1, "")</f>
        <v/>
      </c>
      <c r="O66" s="1" t="str">
        <f>IF(Person1!$B$17+ROW(B64)-1&lt;=Person1!$C$17, Person1!$B$17+ROW(B64)-1, "")</f>
        <v/>
      </c>
      <c r="V66" s="1" t="str">
        <f>IF(Person1!$D$3+ROW(A64)-1&lt;=Person1!$E$3, Person1!$D$3+ROW(A64)-1, "")</f>
        <v/>
      </c>
      <c r="W66" s="1" t="str">
        <f>IF(Person1!$D$4+ROW(A64)-1&lt;=Person1!$E$4, Person1!$D$4+ROW(A64)-1, "")</f>
        <v/>
      </c>
      <c r="X66" s="1" t="str">
        <f>IF(Person1!$D$5+ROW(A64)-1&lt;=Person1!$E$5, Person1!$D$5+ROW(A64)-1, "")</f>
        <v/>
      </c>
      <c r="Y66" s="1" t="str">
        <f>IF(Person1!$D$6+ROW(A64)-1&lt;=Person1!$E$6, Person1!$D$6+ROW(A64)-1, "")</f>
        <v/>
      </c>
      <c r="Z66" s="1" t="str">
        <f>IF(Person1!$D$7+ROW(A64)-1&lt;=Person1!$E$7, Person1!$D$7+ROW(A64)-1, "")</f>
        <v/>
      </c>
      <c r="AA66" s="1" t="str">
        <f>IF(Person1!$D$8+ROW(A64)-1&lt;=Person1!$E$8, Person1!$D$8+ROW(A64)-1, "")</f>
        <v/>
      </c>
      <c r="AE66" s="1" t="str">
        <f>IF(Person1!$F$3+ROW(A64)-1&lt;=Person1!$G$3, Person1!$F$3+ROW(A64)-1, "")</f>
        <v/>
      </c>
      <c r="AF66" s="1" t="str">
        <f>IF(Person1!$F$4+ROW(A64)-1&lt;=Person1!$G$4, Person1!$F$4+ROW(A64)-1, "")</f>
        <v/>
      </c>
      <c r="AG66" s="1" t="str">
        <f>IF(Person1!$F$5+ROW(A64)-1&lt;=Person1!$G$5, Person1!$F$5+ROW(A64)-1, "")</f>
        <v/>
      </c>
      <c r="AH66" s="1" t="str">
        <f>IF(Person1!$F$6+ROW(A64)-1&lt;=Person1!$G$6, Person1!$F$6+ROW(A64)-1, "")</f>
        <v/>
      </c>
      <c r="AI66" s="1" t="str">
        <f>IF(Person1!$F$7+ROW(A64)-1&lt;=Person1!$G$7, Person1!$F$7+ROW(A64)-1, "")</f>
        <v/>
      </c>
    </row>
    <row r="67" spans="1:35" x14ac:dyDescent="0.3">
      <c r="A67" s="1" t="str">
        <f>IF(Person1!$B$3+ROW(A65)-1&lt;=Person1!$C$3, Person1!$B$3+ROW(A65)-1, "")</f>
        <v/>
      </c>
      <c r="B67" s="1" t="str">
        <f>IF(Person1!$B$4+ROW(B65)-1&lt;=Person1!$C$4, Person1!$B$4+ROW(B65)-1, "")</f>
        <v/>
      </c>
      <c r="C67" s="1" t="str">
        <f>IF(Person1!$B$5+ROW(B65)-1&lt;=Person1!$C$5, Person1!$B$5+ROW(B65)-1, "")</f>
        <v/>
      </c>
      <c r="D67" s="1" t="str">
        <f>IF(Person1!$B$6+ROW(B65)-1&lt;=Person1!$C$6, Person1!$B$6+ROW(B65)-1, "")</f>
        <v/>
      </c>
      <c r="E67" s="1" t="str">
        <f>IF(Person1!$B$7+ROW(B65)-1&lt;=Person1!$C$7, Person1!$B$7+ROW(B65)-1, "")</f>
        <v/>
      </c>
      <c r="F67" s="1" t="str">
        <f>IF(Person1!$B$8+ROW(B65)-1&lt;=Person1!$C$8, Person1!$B$8+ROW(B65)-1, "")</f>
        <v/>
      </c>
      <c r="G67" s="1" t="str">
        <f>IF(Person1!$B$9+ROW(B65)-1&lt;=Person1!$C$9, Person1!$B$9+ROW(B65)-1, "")</f>
        <v/>
      </c>
      <c r="H67" s="1" t="str">
        <f>IF(Person1!$B$10+ROW(B65)-1&lt;=Person1!$C$10, Person1!$B$10+ROW(B65)-1, "")</f>
        <v/>
      </c>
      <c r="I67" s="1" t="str">
        <f>IF(Person1!$B$11+ROW(B65)-1&lt;=Person1!$C$11, Person1!$B$11+ROW(B65)-1, "")</f>
        <v/>
      </c>
      <c r="J67" s="1" t="str">
        <f>IF(Person1!$B$12+ROW(B65)-1&lt;=Person1!$C$12, Person1!$B$12+ROW(B65)-1, "")</f>
        <v/>
      </c>
      <c r="K67" s="1" t="str">
        <f>IF(Person1!$B$13+ROW(B65)-1&lt;=Person1!$C$13, Person1!$B$13+ROW(B65)-1, "")</f>
        <v/>
      </c>
      <c r="L67" s="1" t="str">
        <f>IF(Person1!$B$14+ROW(B65)-1&lt;=Person1!$C$14, Person1!$B$14+ROW(B65)-1, "")</f>
        <v/>
      </c>
      <c r="M67" s="1" t="str">
        <f>IF(Person1!$B$15+ROW(B65)-1&lt;=Person1!$C$15, Person1!$B$15+ROW(B65)-1, "")</f>
        <v/>
      </c>
      <c r="N67" s="1" t="str">
        <f>IF(Person1!$B$16+ROW(B65)-1&lt;=Person1!$C$16, Person1!$B$16+ROW(B65)-1, "")</f>
        <v/>
      </c>
      <c r="O67" s="1" t="str">
        <f>IF(Person1!$B$17+ROW(B65)-1&lt;=Person1!$C$17, Person1!$B$17+ROW(B65)-1, "")</f>
        <v/>
      </c>
      <c r="V67" s="1" t="str">
        <f>IF(Person1!$D$3+ROW(A65)-1&lt;=Person1!$E$3, Person1!$D$3+ROW(A65)-1, "")</f>
        <v/>
      </c>
      <c r="W67" s="1" t="str">
        <f>IF(Person1!$D$4+ROW(A65)-1&lt;=Person1!$E$4, Person1!$D$4+ROW(A65)-1, "")</f>
        <v/>
      </c>
      <c r="X67" s="1" t="str">
        <f>IF(Person1!$D$5+ROW(A65)-1&lt;=Person1!$E$5, Person1!$D$5+ROW(A65)-1, "")</f>
        <v/>
      </c>
      <c r="Y67" s="1" t="str">
        <f>IF(Person1!$D$6+ROW(A65)-1&lt;=Person1!$E$6, Person1!$D$6+ROW(A65)-1, "")</f>
        <v/>
      </c>
      <c r="Z67" s="1" t="str">
        <f>IF(Person1!$D$7+ROW(A65)-1&lt;=Person1!$E$7, Person1!$D$7+ROW(A65)-1, "")</f>
        <v/>
      </c>
      <c r="AA67" s="1" t="str">
        <f>IF(Person1!$D$8+ROW(A65)-1&lt;=Person1!$E$8, Person1!$D$8+ROW(A65)-1, "")</f>
        <v/>
      </c>
      <c r="AE67" s="1" t="str">
        <f>IF(Person1!$F$3+ROW(A65)-1&lt;=Person1!$G$3, Person1!$F$3+ROW(A65)-1, "")</f>
        <v/>
      </c>
      <c r="AF67" s="1" t="str">
        <f>IF(Person1!$F$4+ROW(A65)-1&lt;=Person1!$G$4, Person1!$F$4+ROW(A65)-1, "")</f>
        <v/>
      </c>
      <c r="AG67" s="1" t="str">
        <f>IF(Person1!$F$5+ROW(A65)-1&lt;=Person1!$G$5, Person1!$F$5+ROW(A65)-1, "")</f>
        <v/>
      </c>
      <c r="AH67" s="1" t="str">
        <f>IF(Person1!$F$6+ROW(A65)-1&lt;=Person1!$G$6, Person1!$F$6+ROW(A65)-1, "")</f>
        <v/>
      </c>
      <c r="AI67" s="1" t="str">
        <f>IF(Person1!$F$7+ROW(A65)-1&lt;=Person1!$G$7, Person1!$F$7+ROW(A65)-1, "")</f>
        <v/>
      </c>
    </row>
    <row r="68" spans="1:35" x14ac:dyDescent="0.3">
      <c r="A68" s="1" t="str">
        <f>IF(Person1!$B$3+ROW(A66)-1&lt;=Person1!$C$3, Person1!$B$3+ROW(A66)-1, "")</f>
        <v/>
      </c>
      <c r="B68" s="1" t="str">
        <f>IF(Person1!$B$4+ROW(B66)-1&lt;=Person1!$C$4, Person1!$B$4+ROW(B66)-1, "")</f>
        <v/>
      </c>
      <c r="C68" s="1" t="str">
        <f>IF(Person1!$B$5+ROW(B66)-1&lt;=Person1!$C$5, Person1!$B$5+ROW(B66)-1, "")</f>
        <v/>
      </c>
      <c r="D68" s="1" t="str">
        <f>IF(Person1!$B$6+ROW(B66)-1&lt;=Person1!$C$6, Person1!$B$6+ROW(B66)-1, "")</f>
        <v/>
      </c>
      <c r="E68" s="1" t="str">
        <f>IF(Person1!$B$7+ROW(B66)-1&lt;=Person1!$C$7, Person1!$B$7+ROW(B66)-1, "")</f>
        <v/>
      </c>
      <c r="F68" s="1" t="str">
        <f>IF(Person1!$B$8+ROW(B66)-1&lt;=Person1!$C$8, Person1!$B$8+ROW(B66)-1, "")</f>
        <v/>
      </c>
      <c r="G68" s="1" t="str">
        <f>IF(Person1!$B$9+ROW(B66)-1&lt;=Person1!$C$9, Person1!$B$9+ROW(B66)-1, "")</f>
        <v/>
      </c>
      <c r="H68" s="1" t="str">
        <f>IF(Person1!$B$10+ROW(B66)-1&lt;=Person1!$C$10, Person1!$B$10+ROW(B66)-1, "")</f>
        <v/>
      </c>
      <c r="I68" s="1" t="str">
        <f>IF(Person1!$B$11+ROW(B66)-1&lt;=Person1!$C$11, Person1!$B$11+ROW(B66)-1, "")</f>
        <v/>
      </c>
      <c r="J68" s="1" t="str">
        <f>IF(Person1!$B$12+ROW(B66)-1&lt;=Person1!$C$12, Person1!$B$12+ROW(B66)-1, "")</f>
        <v/>
      </c>
      <c r="K68" s="1" t="str">
        <f>IF(Person1!$B$13+ROW(B66)-1&lt;=Person1!$C$13, Person1!$B$13+ROW(B66)-1, "")</f>
        <v/>
      </c>
      <c r="L68" s="1" t="str">
        <f>IF(Person1!$B$14+ROW(B66)-1&lt;=Person1!$C$14, Person1!$B$14+ROW(B66)-1, "")</f>
        <v/>
      </c>
      <c r="M68" s="1" t="str">
        <f>IF(Person1!$B$15+ROW(B66)-1&lt;=Person1!$C$15, Person1!$B$15+ROW(B66)-1, "")</f>
        <v/>
      </c>
      <c r="N68" s="1" t="str">
        <f>IF(Person1!$B$16+ROW(B66)-1&lt;=Person1!$C$16, Person1!$B$16+ROW(B66)-1, "")</f>
        <v/>
      </c>
      <c r="O68" s="1" t="str">
        <f>IF(Person1!$B$17+ROW(B66)-1&lt;=Person1!$C$17, Person1!$B$17+ROW(B66)-1, "")</f>
        <v/>
      </c>
      <c r="V68" s="1" t="str">
        <f>IF(Person1!$D$3+ROW(A66)-1&lt;=Person1!$E$3, Person1!$D$3+ROW(A66)-1, "")</f>
        <v/>
      </c>
      <c r="W68" s="1" t="str">
        <f>IF(Person1!$D$4+ROW(A66)-1&lt;=Person1!$E$4, Person1!$D$4+ROW(A66)-1, "")</f>
        <v/>
      </c>
      <c r="X68" s="1" t="str">
        <f>IF(Person1!$D$5+ROW(A66)-1&lt;=Person1!$E$5, Person1!$D$5+ROW(A66)-1, "")</f>
        <v/>
      </c>
      <c r="Y68" s="1" t="str">
        <f>IF(Person1!$D$6+ROW(A66)-1&lt;=Person1!$E$6, Person1!$D$6+ROW(A66)-1, "")</f>
        <v/>
      </c>
      <c r="Z68" s="1" t="str">
        <f>IF(Person1!$D$7+ROW(A66)-1&lt;=Person1!$E$7, Person1!$D$7+ROW(A66)-1, "")</f>
        <v/>
      </c>
      <c r="AA68" s="1" t="str">
        <f>IF(Person1!$D$8+ROW(A66)-1&lt;=Person1!$E$8, Person1!$D$8+ROW(A66)-1, "")</f>
        <v/>
      </c>
      <c r="AE68" s="1" t="str">
        <f>IF(Person1!$F$3+ROW(A66)-1&lt;=Person1!$G$3, Person1!$F$3+ROW(A66)-1, "")</f>
        <v/>
      </c>
      <c r="AF68" s="1" t="str">
        <f>IF(Person1!$F$4+ROW(A66)-1&lt;=Person1!$G$4, Person1!$F$4+ROW(A66)-1, "")</f>
        <v/>
      </c>
      <c r="AG68" s="1" t="str">
        <f>IF(Person1!$F$5+ROW(A66)-1&lt;=Person1!$G$5, Person1!$F$5+ROW(A66)-1, "")</f>
        <v/>
      </c>
      <c r="AH68" s="1" t="str">
        <f>IF(Person1!$F$6+ROW(A66)-1&lt;=Person1!$G$6, Person1!$F$6+ROW(A66)-1, "")</f>
        <v/>
      </c>
      <c r="AI68" s="1" t="str">
        <f>IF(Person1!$F$7+ROW(A66)-1&lt;=Person1!$G$7, Person1!$F$7+ROW(A66)-1, "")</f>
        <v/>
      </c>
    </row>
    <row r="69" spans="1:35" x14ac:dyDescent="0.3">
      <c r="A69" s="1" t="str">
        <f>IF(Person1!$B$3+ROW(A67)-1&lt;=Person1!$C$3, Person1!$B$3+ROW(A67)-1, "")</f>
        <v/>
      </c>
      <c r="B69" s="1" t="str">
        <f>IF(Person1!$B$4+ROW(B67)-1&lt;=Person1!$C$4, Person1!$B$4+ROW(B67)-1, "")</f>
        <v/>
      </c>
      <c r="C69" s="1" t="str">
        <f>IF(Person1!$B$5+ROW(B67)-1&lt;=Person1!$C$5, Person1!$B$5+ROW(B67)-1, "")</f>
        <v/>
      </c>
      <c r="D69" s="1" t="str">
        <f>IF(Person1!$B$6+ROW(B67)-1&lt;=Person1!$C$6, Person1!$B$6+ROW(B67)-1, "")</f>
        <v/>
      </c>
      <c r="E69" s="1" t="str">
        <f>IF(Person1!$B$7+ROW(B67)-1&lt;=Person1!$C$7, Person1!$B$7+ROW(B67)-1, "")</f>
        <v/>
      </c>
      <c r="F69" s="1" t="str">
        <f>IF(Person1!$B$8+ROW(B67)-1&lt;=Person1!$C$8, Person1!$B$8+ROW(B67)-1, "")</f>
        <v/>
      </c>
      <c r="G69" s="1" t="str">
        <f>IF(Person1!$B$9+ROW(B67)-1&lt;=Person1!$C$9, Person1!$B$9+ROW(B67)-1, "")</f>
        <v/>
      </c>
      <c r="H69" s="1" t="str">
        <f>IF(Person1!$B$10+ROW(B67)-1&lt;=Person1!$C$10, Person1!$B$10+ROW(B67)-1, "")</f>
        <v/>
      </c>
      <c r="I69" s="1" t="str">
        <f>IF(Person1!$B$11+ROW(B67)-1&lt;=Person1!$C$11, Person1!$B$11+ROW(B67)-1, "")</f>
        <v/>
      </c>
      <c r="J69" s="1" t="str">
        <f>IF(Person1!$B$12+ROW(B67)-1&lt;=Person1!$C$12, Person1!$B$12+ROW(B67)-1, "")</f>
        <v/>
      </c>
      <c r="K69" s="1" t="str">
        <f>IF(Person1!$B$13+ROW(B67)-1&lt;=Person1!$C$13, Person1!$B$13+ROW(B67)-1, "")</f>
        <v/>
      </c>
      <c r="L69" s="1" t="str">
        <f>IF(Person1!$B$14+ROW(B67)-1&lt;=Person1!$C$14, Person1!$B$14+ROW(B67)-1, "")</f>
        <v/>
      </c>
      <c r="M69" s="1" t="str">
        <f>IF(Person1!$B$15+ROW(B67)-1&lt;=Person1!$C$15, Person1!$B$15+ROW(B67)-1, "")</f>
        <v/>
      </c>
      <c r="N69" s="1" t="str">
        <f>IF(Person1!$B$16+ROW(B67)-1&lt;=Person1!$C$16, Person1!$B$16+ROW(B67)-1, "")</f>
        <v/>
      </c>
      <c r="O69" s="1" t="str">
        <f>IF(Person1!$B$17+ROW(B67)-1&lt;=Person1!$C$17, Person1!$B$17+ROW(B67)-1, "")</f>
        <v/>
      </c>
      <c r="V69" s="1" t="str">
        <f>IF(Person1!$D$3+ROW(A67)-1&lt;=Person1!$E$3, Person1!$D$3+ROW(A67)-1, "")</f>
        <v/>
      </c>
      <c r="W69" s="1" t="str">
        <f>IF(Person1!$D$4+ROW(A67)-1&lt;=Person1!$E$4, Person1!$D$4+ROW(A67)-1, "")</f>
        <v/>
      </c>
      <c r="X69" s="1" t="str">
        <f>IF(Person1!$D$5+ROW(A67)-1&lt;=Person1!$E$5, Person1!$D$5+ROW(A67)-1, "")</f>
        <v/>
      </c>
      <c r="Y69" s="1" t="str">
        <f>IF(Person1!$D$6+ROW(A67)-1&lt;=Person1!$E$6, Person1!$D$6+ROW(A67)-1, "")</f>
        <v/>
      </c>
      <c r="Z69" s="1" t="str">
        <f>IF(Person1!$D$7+ROW(A67)-1&lt;=Person1!$E$7, Person1!$D$7+ROW(A67)-1, "")</f>
        <v/>
      </c>
      <c r="AA69" s="1" t="str">
        <f>IF(Person1!$D$8+ROW(A67)-1&lt;=Person1!$E$8, Person1!$D$8+ROW(A67)-1, "")</f>
        <v/>
      </c>
      <c r="AE69" s="1" t="str">
        <f>IF(Person1!$F$3+ROW(A67)-1&lt;=Person1!$G$3, Person1!$F$3+ROW(A67)-1, "")</f>
        <v/>
      </c>
      <c r="AF69" s="1" t="str">
        <f>IF(Person1!$F$4+ROW(A67)-1&lt;=Person1!$G$4, Person1!$F$4+ROW(A67)-1, "")</f>
        <v/>
      </c>
      <c r="AG69" s="1" t="str">
        <f>IF(Person1!$F$5+ROW(A67)-1&lt;=Person1!$G$5, Person1!$F$5+ROW(A67)-1, "")</f>
        <v/>
      </c>
      <c r="AH69" s="1" t="str">
        <f>IF(Person1!$F$6+ROW(A67)-1&lt;=Person1!$G$6, Person1!$F$6+ROW(A67)-1, "")</f>
        <v/>
      </c>
      <c r="AI69" s="1" t="str">
        <f>IF(Person1!$F$7+ROW(A67)-1&lt;=Person1!$G$7, Person1!$F$7+ROW(A67)-1, "")</f>
        <v/>
      </c>
    </row>
    <row r="70" spans="1:35" x14ac:dyDescent="0.3">
      <c r="A70" s="1" t="str">
        <f>IF(Person1!$B$3+ROW(A68)-1&lt;=Person1!$C$3, Person1!$B$3+ROW(A68)-1, "")</f>
        <v/>
      </c>
      <c r="B70" s="1" t="str">
        <f>IF(Person1!$B$4+ROW(B68)-1&lt;=Person1!$C$4, Person1!$B$4+ROW(B68)-1, "")</f>
        <v/>
      </c>
      <c r="C70" s="1" t="str">
        <f>IF(Person1!$B$5+ROW(B68)-1&lt;=Person1!$C$5, Person1!$B$5+ROW(B68)-1, "")</f>
        <v/>
      </c>
      <c r="D70" s="1" t="str">
        <f>IF(Person1!$B$6+ROW(B68)-1&lt;=Person1!$C$6, Person1!$B$6+ROW(B68)-1, "")</f>
        <v/>
      </c>
      <c r="E70" s="1" t="str">
        <f>IF(Person1!$B$7+ROW(B68)-1&lt;=Person1!$C$7, Person1!$B$7+ROW(B68)-1, "")</f>
        <v/>
      </c>
      <c r="F70" s="1" t="str">
        <f>IF(Person1!$B$8+ROW(B68)-1&lt;=Person1!$C$8, Person1!$B$8+ROW(B68)-1, "")</f>
        <v/>
      </c>
      <c r="G70" s="1" t="str">
        <f>IF(Person1!$B$9+ROW(B68)-1&lt;=Person1!$C$9, Person1!$B$9+ROW(B68)-1, "")</f>
        <v/>
      </c>
      <c r="H70" s="1" t="str">
        <f>IF(Person1!$B$10+ROW(B68)-1&lt;=Person1!$C$10, Person1!$B$10+ROW(B68)-1, "")</f>
        <v/>
      </c>
      <c r="I70" s="1" t="str">
        <f>IF(Person1!$B$11+ROW(B68)-1&lt;=Person1!$C$11, Person1!$B$11+ROW(B68)-1, "")</f>
        <v/>
      </c>
      <c r="J70" s="1" t="str">
        <f>IF(Person1!$B$12+ROW(B68)-1&lt;=Person1!$C$12, Person1!$B$12+ROW(B68)-1, "")</f>
        <v/>
      </c>
      <c r="K70" s="1" t="str">
        <f>IF(Person1!$B$13+ROW(B68)-1&lt;=Person1!$C$13, Person1!$B$13+ROW(B68)-1, "")</f>
        <v/>
      </c>
      <c r="L70" s="1" t="str">
        <f>IF(Person1!$B$14+ROW(B68)-1&lt;=Person1!$C$14, Person1!$B$14+ROW(B68)-1, "")</f>
        <v/>
      </c>
      <c r="M70" s="1" t="str">
        <f>IF(Person1!$B$15+ROW(B68)-1&lt;=Person1!$C$15, Person1!$B$15+ROW(B68)-1, "")</f>
        <v/>
      </c>
      <c r="N70" s="1" t="str">
        <f>IF(Person1!$B$16+ROW(B68)-1&lt;=Person1!$C$16, Person1!$B$16+ROW(B68)-1, "")</f>
        <v/>
      </c>
      <c r="O70" s="1" t="str">
        <f>IF(Person1!$B$17+ROW(B68)-1&lt;=Person1!$C$17, Person1!$B$17+ROW(B68)-1, "")</f>
        <v/>
      </c>
      <c r="V70" s="1" t="str">
        <f>IF(Person1!$D$3+ROW(A68)-1&lt;=Person1!$E$3, Person1!$D$3+ROW(A68)-1, "")</f>
        <v/>
      </c>
      <c r="W70" s="1" t="str">
        <f>IF(Person1!$D$4+ROW(A68)-1&lt;=Person1!$E$4, Person1!$D$4+ROW(A68)-1, "")</f>
        <v/>
      </c>
      <c r="X70" s="1" t="str">
        <f>IF(Person1!$D$5+ROW(A68)-1&lt;=Person1!$E$5, Person1!$D$5+ROW(A68)-1, "")</f>
        <v/>
      </c>
      <c r="Y70" s="1" t="str">
        <f>IF(Person1!$D$6+ROW(A68)-1&lt;=Person1!$E$6, Person1!$D$6+ROW(A68)-1, "")</f>
        <v/>
      </c>
      <c r="Z70" s="1" t="str">
        <f>IF(Person1!$D$7+ROW(A68)-1&lt;=Person1!$E$7, Person1!$D$7+ROW(A68)-1, "")</f>
        <v/>
      </c>
      <c r="AA70" s="1" t="str">
        <f>IF(Person1!$D$8+ROW(A68)-1&lt;=Person1!$E$8, Person1!$D$8+ROW(A68)-1, "")</f>
        <v/>
      </c>
      <c r="AE70" s="1" t="str">
        <f>IF(Person1!$F$3+ROW(A68)-1&lt;=Person1!$G$3, Person1!$F$3+ROW(A68)-1, "")</f>
        <v/>
      </c>
      <c r="AF70" s="1" t="str">
        <f>IF(Person1!$F$4+ROW(A68)-1&lt;=Person1!$G$4, Person1!$F$4+ROW(A68)-1, "")</f>
        <v/>
      </c>
      <c r="AG70" s="1" t="str">
        <f>IF(Person1!$F$5+ROW(A68)-1&lt;=Person1!$G$5, Person1!$F$5+ROW(A68)-1, "")</f>
        <v/>
      </c>
      <c r="AH70" s="1" t="str">
        <f>IF(Person1!$F$6+ROW(A68)-1&lt;=Person1!$G$6, Person1!$F$6+ROW(A68)-1, "")</f>
        <v/>
      </c>
      <c r="AI70" s="1" t="str">
        <f>IF(Person1!$F$7+ROW(A68)-1&lt;=Person1!$G$7, Person1!$F$7+ROW(A68)-1, "")</f>
        <v/>
      </c>
    </row>
    <row r="71" spans="1:35" x14ac:dyDescent="0.3">
      <c r="A71" s="1" t="str">
        <f>IF(Person1!$B$3+ROW(A69)-1&lt;=Person1!$C$3, Person1!$B$3+ROW(A69)-1, "")</f>
        <v/>
      </c>
      <c r="B71" s="1" t="str">
        <f>IF(Person1!$B$4+ROW(B69)-1&lt;=Person1!$C$4, Person1!$B$4+ROW(B69)-1, "")</f>
        <v/>
      </c>
      <c r="C71" s="1" t="str">
        <f>IF(Person1!$B$5+ROW(B69)-1&lt;=Person1!$C$5, Person1!$B$5+ROW(B69)-1, "")</f>
        <v/>
      </c>
      <c r="D71" s="1" t="str">
        <f>IF(Person1!$B$6+ROW(B69)-1&lt;=Person1!$C$6, Person1!$B$6+ROW(B69)-1, "")</f>
        <v/>
      </c>
      <c r="E71" s="1" t="str">
        <f>IF(Person1!$B$7+ROW(B69)-1&lt;=Person1!$C$7, Person1!$B$7+ROW(B69)-1, "")</f>
        <v/>
      </c>
      <c r="F71" s="1" t="str">
        <f>IF(Person1!$B$8+ROW(B69)-1&lt;=Person1!$C$8, Person1!$B$8+ROW(B69)-1, "")</f>
        <v/>
      </c>
      <c r="G71" s="1" t="str">
        <f>IF(Person1!$B$9+ROW(B69)-1&lt;=Person1!$C$9, Person1!$B$9+ROW(B69)-1, "")</f>
        <v/>
      </c>
      <c r="H71" s="1" t="str">
        <f>IF(Person1!$B$10+ROW(B69)-1&lt;=Person1!$C$10, Person1!$B$10+ROW(B69)-1, "")</f>
        <v/>
      </c>
      <c r="I71" s="1" t="str">
        <f>IF(Person1!$B$11+ROW(B69)-1&lt;=Person1!$C$11, Person1!$B$11+ROW(B69)-1, "")</f>
        <v/>
      </c>
      <c r="J71" s="1" t="str">
        <f>IF(Person1!$B$12+ROW(B69)-1&lt;=Person1!$C$12, Person1!$B$12+ROW(B69)-1, "")</f>
        <v/>
      </c>
      <c r="K71" s="1" t="str">
        <f>IF(Person1!$B$13+ROW(B69)-1&lt;=Person1!$C$13, Person1!$B$13+ROW(B69)-1, "")</f>
        <v/>
      </c>
      <c r="L71" s="1" t="str">
        <f>IF(Person1!$B$14+ROW(B69)-1&lt;=Person1!$C$14, Person1!$B$14+ROW(B69)-1, "")</f>
        <v/>
      </c>
      <c r="M71" s="1" t="str">
        <f>IF(Person1!$B$15+ROW(B69)-1&lt;=Person1!$C$15, Person1!$B$15+ROW(B69)-1, "")</f>
        <v/>
      </c>
      <c r="N71" s="1" t="str">
        <f>IF(Person1!$B$16+ROW(B69)-1&lt;=Person1!$C$16, Person1!$B$16+ROW(B69)-1, "")</f>
        <v/>
      </c>
      <c r="O71" s="1" t="str">
        <f>IF(Person1!$B$17+ROW(B69)-1&lt;=Person1!$C$17, Person1!$B$17+ROW(B69)-1, "")</f>
        <v/>
      </c>
      <c r="V71" s="1" t="str">
        <f>IF(Person1!$D$3+ROW(A69)-1&lt;=Person1!$E$3, Person1!$D$3+ROW(A69)-1, "")</f>
        <v/>
      </c>
      <c r="W71" s="1" t="str">
        <f>IF(Person1!$D$4+ROW(A69)-1&lt;=Person1!$E$4, Person1!$D$4+ROW(A69)-1, "")</f>
        <v/>
      </c>
      <c r="X71" s="1" t="str">
        <f>IF(Person1!$D$5+ROW(A69)-1&lt;=Person1!$E$5, Person1!$D$5+ROW(A69)-1, "")</f>
        <v/>
      </c>
      <c r="Y71" s="1" t="str">
        <f>IF(Person1!$D$6+ROW(A69)-1&lt;=Person1!$E$6, Person1!$D$6+ROW(A69)-1, "")</f>
        <v/>
      </c>
      <c r="Z71" s="1" t="str">
        <f>IF(Person1!$D$7+ROW(A69)-1&lt;=Person1!$E$7, Person1!$D$7+ROW(A69)-1, "")</f>
        <v/>
      </c>
      <c r="AA71" s="1" t="str">
        <f>IF(Person1!$D$8+ROW(A69)-1&lt;=Person1!$E$8, Person1!$D$8+ROW(A69)-1, "")</f>
        <v/>
      </c>
      <c r="AE71" s="1" t="str">
        <f>IF(Person1!$F$3+ROW(A69)-1&lt;=Person1!$G$3, Person1!$F$3+ROW(A69)-1, "")</f>
        <v/>
      </c>
      <c r="AF71" s="1" t="str">
        <f>IF(Person1!$F$4+ROW(A69)-1&lt;=Person1!$G$4, Person1!$F$4+ROW(A69)-1, "")</f>
        <v/>
      </c>
      <c r="AG71" s="1" t="str">
        <f>IF(Person1!$F$5+ROW(A69)-1&lt;=Person1!$G$5, Person1!$F$5+ROW(A69)-1, "")</f>
        <v/>
      </c>
      <c r="AH71" s="1" t="str">
        <f>IF(Person1!$F$6+ROW(A69)-1&lt;=Person1!$G$6, Person1!$F$6+ROW(A69)-1, "")</f>
        <v/>
      </c>
      <c r="AI71" s="1" t="str">
        <f>IF(Person1!$F$7+ROW(A69)-1&lt;=Person1!$G$7, Person1!$F$7+ROW(A69)-1, "")</f>
        <v/>
      </c>
    </row>
    <row r="72" spans="1:35" x14ac:dyDescent="0.3">
      <c r="A72" s="1" t="str">
        <f>IF(Person1!$B$3+ROW(A70)-1&lt;=Person1!$C$3, Person1!$B$3+ROW(A70)-1, "")</f>
        <v/>
      </c>
      <c r="B72" s="1" t="str">
        <f>IF(Person1!$B$4+ROW(B70)-1&lt;=Person1!$C$4, Person1!$B$4+ROW(B70)-1, "")</f>
        <v/>
      </c>
      <c r="C72" s="1" t="str">
        <f>IF(Person1!$B$5+ROW(B70)-1&lt;=Person1!$C$5, Person1!$B$5+ROW(B70)-1, "")</f>
        <v/>
      </c>
      <c r="D72" s="1" t="str">
        <f>IF(Person1!$B$6+ROW(B70)-1&lt;=Person1!$C$6, Person1!$B$6+ROW(B70)-1, "")</f>
        <v/>
      </c>
      <c r="E72" s="1" t="str">
        <f>IF(Person1!$B$7+ROW(B70)-1&lt;=Person1!$C$7, Person1!$B$7+ROW(B70)-1, "")</f>
        <v/>
      </c>
      <c r="F72" s="1" t="str">
        <f>IF(Person1!$B$8+ROW(B70)-1&lt;=Person1!$C$8, Person1!$B$8+ROW(B70)-1, "")</f>
        <v/>
      </c>
      <c r="G72" s="1" t="str">
        <f>IF(Person1!$B$9+ROW(B70)-1&lt;=Person1!$C$9, Person1!$B$9+ROW(B70)-1, "")</f>
        <v/>
      </c>
      <c r="H72" s="1" t="str">
        <f>IF(Person1!$B$10+ROW(B70)-1&lt;=Person1!$C$10, Person1!$B$10+ROW(B70)-1, "")</f>
        <v/>
      </c>
      <c r="I72" s="1" t="str">
        <f>IF(Person1!$B$11+ROW(B70)-1&lt;=Person1!$C$11, Person1!$B$11+ROW(B70)-1, "")</f>
        <v/>
      </c>
      <c r="J72" s="1" t="str">
        <f>IF(Person1!$B$12+ROW(B70)-1&lt;=Person1!$C$12, Person1!$B$12+ROW(B70)-1, "")</f>
        <v/>
      </c>
      <c r="K72" s="1" t="str">
        <f>IF(Person1!$B$13+ROW(B70)-1&lt;=Person1!$C$13, Person1!$B$13+ROW(B70)-1, "")</f>
        <v/>
      </c>
      <c r="L72" s="1" t="str">
        <f>IF(Person1!$B$14+ROW(B70)-1&lt;=Person1!$C$14, Person1!$B$14+ROW(B70)-1, "")</f>
        <v/>
      </c>
      <c r="M72" s="1" t="str">
        <f>IF(Person1!$B$15+ROW(B70)-1&lt;=Person1!$C$15, Person1!$B$15+ROW(B70)-1, "")</f>
        <v/>
      </c>
      <c r="N72" s="1" t="str">
        <f>IF(Person1!$B$16+ROW(B70)-1&lt;=Person1!$C$16, Person1!$B$16+ROW(B70)-1, "")</f>
        <v/>
      </c>
      <c r="O72" s="1" t="str">
        <f>IF(Person1!$B$17+ROW(B70)-1&lt;=Person1!$C$17, Person1!$B$17+ROW(B70)-1, "")</f>
        <v/>
      </c>
      <c r="V72" s="1" t="str">
        <f>IF(Person1!$D$3+ROW(A70)-1&lt;=Person1!$E$3, Person1!$D$3+ROW(A70)-1, "")</f>
        <v/>
      </c>
      <c r="W72" s="1" t="str">
        <f>IF(Person1!$D$4+ROW(A70)-1&lt;=Person1!$E$4, Person1!$D$4+ROW(A70)-1, "")</f>
        <v/>
      </c>
      <c r="X72" s="1" t="str">
        <f>IF(Person1!$D$5+ROW(A70)-1&lt;=Person1!$E$5, Person1!$D$5+ROW(A70)-1, "")</f>
        <v/>
      </c>
      <c r="Y72" s="1" t="str">
        <f>IF(Person1!$D$6+ROW(A70)-1&lt;=Person1!$E$6, Person1!$D$6+ROW(A70)-1, "")</f>
        <v/>
      </c>
      <c r="Z72" s="1" t="str">
        <f>IF(Person1!$D$7+ROW(A70)-1&lt;=Person1!$E$7, Person1!$D$7+ROW(A70)-1, "")</f>
        <v/>
      </c>
      <c r="AA72" s="1" t="str">
        <f>IF(Person1!$D$8+ROW(A70)-1&lt;=Person1!$E$8, Person1!$D$8+ROW(A70)-1, "")</f>
        <v/>
      </c>
      <c r="AE72" s="1" t="str">
        <f>IF(Person1!$F$3+ROW(A70)-1&lt;=Person1!$G$3, Person1!$F$3+ROW(A70)-1, "")</f>
        <v/>
      </c>
      <c r="AF72" s="1" t="str">
        <f>IF(Person1!$F$4+ROW(A70)-1&lt;=Person1!$G$4, Person1!$F$4+ROW(A70)-1, "")</f>
        <v/>
      </c>
      <c r="AG72" s="1" t="str">
        <f>IF(Person1!$F$5+ROW(A70)-1&lt;=Person1!$G$5, Person1!$F$5+ROW(A70)-1, "")</f>
        <v/>
      </c>
      <c r="AH72" s="1" t="str">
        <f>IF(Person1!$F$6+ROW(A70)-1&lt;=Person1!$G$6, Person1!$F$6+ROW(A70)-1, "")</f>
        <v/>
      </c>
      <c r="AI72" s="1" t="str">
        <f>IF(Person1!$F$7+ROW(A70)-1&lt;=Person1!$G$7, Person1!$F$7+ROW(A70)-1, "")</f>
        <v/>
      </c>
    </row>
    <row r="73" spans="1:35" x14ac:dyDescent="0.3">
      <c r="A73" s="1" t="str">
        <f>IF(Person1!$B$3+ROW(A71)-1&lt;=Person1!$C$3, Person1!$B$3+ROW(A71)-1, "")</f>
        <v/>
      </c>
      <c r="B73" s="1" t="str">
        <f>IF(Person1!$B$4+ROW(B71)-1&lt;=Person1!$C$4, Person1!$B$4+ROW(B71)-1, "")</f>
        <v/>
      </c>
      <c r="C73" s="1" t="str">
        <f>IF(Person1!$B$5+ROW(B71)-1&lt;=Person1!$C$5, Person1!$B$5+ROW(B71)-1, "")</f>
        <v/>
      </c>
      <c r="D73" s="1" t="str">
        <f>IF(Person1!$B$6+ROW(B71)-1&lt;=Person1!$C$6, Person1!$B$6+ROW(B71)-1, "")</f>
        <v/>
      </c>
      <c r="E73" s="1" t="str">
        <f>IF(Person1!$B$7+ROW(B71)-1&lt;=Person1!$C$7, Person1!$B$7+ROW(B71)-1, "")</f>
        <v/>
      </c>
      <c r="F73" s="1" t="str">
        <f>IF(Person1!$B$8+ROW(B71)-1&lt;=Person1!$C$8, Person1!$B$8+ROW(B71)-1, "")</f>
        <v/>
      </c>
      <c r="G73" s="1" t="str">
        <f>IF(Person1!$B$9+ROW(B71)-1&lt;=Person1!$C$9, Person1!$B$9+ROW(B71)-1, "")</f>
        <v/>
      </c>
      <c r="H73" s="1" t="str">
        <f>IF(Person1!$B$10+ROW(B71)-1&lt;=Person1!$C$10, Person1!$B$10+ROW(B71)-1, "")</f>
        <v/>
      </c>
      <c r="I73" s="1" t="str">
        <f>IF(Person1!$B$11+ROW(B71)-1&lt;=Person1!$C$11, Person1!$B$11+ROW(B71)-1, "")</f>
        <v/>
      </c>
      <c r="J73" s="1" t="str">
        <f>IF(Person1!$B$12+ROW(B71)-1&lt;=Person1!$C$12, Person1!$B$12+ROW(B71)-1, "")</f>
        <v/>
      </c>
      <c r="K73" s="1" t="str">
        <f>IF(Person1!$B$13+ROW(B71)-1&lt;=Person1!$C$13, Person1!$B$13+ROW(B71)-1, "")</f>
        <v/>
      </c>
      <c r="L73" s="1" t="str">
        <f>IF(Person1!$B$14+ROW(B71)-1&lt;=Person1!$C$14, Person1!$B$14+ROW(B71)-1, "")</f>
        <v/>
      </c>
      <c r="M73" s="1" t="str">
        <f>IF(Person1!$B$15+ROW(B71)-1&lt;=Person1!$C$15, Person1!$B$15+ROW(B71)-1, "")</f>
        <v/>
      </c>
      <c r="N73" s="1" t="str">
        <f>IF(Person1!$B$16+ROW(B71)-1&lt;=Person1!$C$16, Person1!$B$16+ROW(B71)-1, "")</f>
        <v/>
      </c>
      <c r="O73" s="1" t="str">
        <f>IF(Person1!$B$17+ROW(B71)-1&lt;=Person1!$C$17, Person1!$B$17+ROW(B71)-1, "")</f>
        <v/>
      </c>
      <c r="V73" s="1" t="str">
        <f>IF(Person1!$D$3+ROW(A71)-1&lt;=Person1!$E$3, Person1!$D$3+ROW(A71)-1, "")</f>
        <v/>
      </c>
      <c r="W73" s="1" t="str">
        <f>IF(Person1!$D$4+ROW(A71)-1&lt;=Person1!$E$4, Person1!$D$4+ROW(A71)-1, "")</f>
        <v/>
      </c>
      <c r="X73" s="1" t="str">
        <f>IF(Person1!$D$5+ROW(A71)-1&lt;=Person1!$E$5, Person1!$D$5+ROW(A71)-1, "")</f>
        <v/>
      </c>
      <c r="Y73" s="1" t="str">
        <f>IF(Person1!$D$6+ROW(A71)-1&lt;=Person1!$E$6, Person1!$D$6+ROW(A71)-1, "")</f>
        <v/>
      </c>
      <c r="Z73" s="1" t="str">
        <f>IF(Person1!$D$7+ROW(A71)-1&lt;=Person1!$E$7, Person1!$D$7+ROW(A71)-1, "")</f>
        <v/>
      </c>
      <c r="AA73" s="1" t="str">
        <f>IF(Person1!$D$8+ROW(A71)-1&lt;=Person1!$E$8, Person1!$D$8+ROW(A71)-1, "")</f>
        <v/>
      </c>
      <c r="AE73" s="1" t="str">
        <f>IF(Person1!$F$3+ROW(A71)-1&lt;=Person1!$G$3, Person1!$F$3+ROW(A71)-1, "")</f>
        <v/>
      </c>
      <c r="AF73" s="1" t="str">
        <f>IF(Person1!$F$4+ROW(A71)-1&lt;=Person1!$G$4, Person1!$F$4+ROW(A71)-1, "")</f>
        <v/>
      </c>
      <c r="AG73" s="1" t="str">
        <f>IF(Person1!$F$5+ROW(A71)-1&lt;=Person1!$G$5, Person1!$F$5+ROW(A71)-1, "")</f>
        <v/>
      </c>
      <c r="AH73" s="1" t="str">
        <f>IF(Person1!$F$6+ROW(A71)-1&lt;=Person1!$G$6, Person1!$F$6+ROW(A71)-1, "")</f>
        <v/>
      </c>
      <c r="AI73" s="1" t="str">
        <f>IF(Person1!$F$7+ROW(A71)-1&lt;=Person1!$G$7, Person1!$F$7+ROW(A71)-1, "")</f>
        <v/>
      </c>
    </row>
    <row r="74" spans="1:35" x14ac:dyDescent="0.3">
      <c r="A74" s="1" t="str">
        <f>IF(Person1!$B$3+ROW(A72)-1&lt;=Person1!$C$3, Person1!$B$3+ROW(A72)-1, "")</f>
        <v/>
      </c>
      <c r="B74" s="1" t="str">
        <f>IF(Person1!$B$4+ROW(B72)-1&lt;=Person1!$C$4, Person1!$B$4+ROW(B72)-1, "")</f>
        <v/>
      </c>
      <c r="C74" s="1" t="str">
        <f>IF(Person1!$B$5+ROW(B72)-1&lt;=Person1!$C$5, Person1!$B$5+ROW(B72)-1, "")</f>
        <v/>
      </c>
      <c r="D74" s="1" t="str">
        <f>IF(Person1!$B$6+ROW(B72)-1&lt;=Person1!$C$6, Person1!$B$6+ROW(B72)-1, "")</f>
        <v/>
      </c>
      <c r="E74" s="1" t="str">
        <f>IF(Person1!$B$7+ROW(B72)-1&lt;=Person1!$C$7, Person1!$B$7+ROW(B72)-1, "")</f>
        <v/>
      </c>
      <c r="F74" s="1" t="str">
        <f>IF(Person1!$B$8+ROW(B72)-1&lt;=Person1!$C$8, Person1!$B$8+ROW(B72)-1, "")</f>
        <v/>
      </c>
      <c r="G74" s="1" t="str">
        <f>IF(Person1!$B$9+ROW(B72)-1&lt;=Person1!$C$9, Person1!$B$9+ROW(B72)-1, "")</f>
        <v/>
      </c>
      <c r="H74" s="1" t="str">
        <f>IF(Person1!$B$10+ROW(B72)-1&lt;=Person1!$C$10, Person1!$B$10+ROW(B72)-1, "")</f>
        <v/>
      </c>
      <c r="I74" s="1" t="str">
        <f>IF(Person1!$B$11+ROW(B72)-1&lt;=Person1!$C$11, Person1!$B$11+ROW(B72)-1, "")</f>
        <v/>
      </c>
      <c r="J74" s="1" t="str">
        <f>IF(Person1!$B$12+ROW(B72)-1&lt;=Person1!$C$12, Person1!$B$12+ROW(B72)-1, "")</f>
        <v/>
      </c>
      <c r="K74" s="1" t="str">
        <f>IF(Person1!$B$13+ROW(B72)-1&lt;=Person1!$C$13, Person1!$B$13+ROW(B72)-1, "")</f>
        <v/>
      </c>
      <c r="L74" s="1" t="str">
        <f>IF(Person1!$B$14+ROW(B72)-1&lt;=Person1!$C$14, Person1!$B$14+ROW(B72)-1, "")</f>
        <v/>
      </c>
      <c r="M74" s="1" t="str">
        <f>IF(Person1!$B$15+ROW(B72)-1&lt;=Person1!$C$15, Person1!$B$15+ROW(B72)-1, "")</f>
        <v/>
      </c>
      <c r="N74" s="1" t="str">
        <f>IF(Person1!$B$16+ROW(B72)-1&lt;=Person1!$C$16, Person1!$B$16+ROW(B72)-1, "")</f>
        <v/>
      </c>
      <c r="O74" s="1" t="str">
        <f>IF(Person1!$B$17+ROW(B72)-1&lt;=Person1!$C$17, Person1!$B$17+ROW(B72)-1, "")</f>
        <v/>
      </c>
      <c r="V74" s="1" t="str">
        <f>IF(Person1!$D$3+ROW(A72)-1&lt;=Person1!$E$3, Person1!$D$3+ROW(A72)-1, "")</f>
        <v/>
      </c>
      <c r="W74" s="1" t="str">
        <f>IF(Person1!$D$4+ROW(A72)-1&lt;=Person1!$E$4, Person1!$D$4+ROW(A72)-1, "")</f>
        <v/>
      </c>
      <c r="X74" s="1" t="str">
        <f>IF(Person1!$D$5+ROW(A72)-1&lt;=Person1!$E$5, Person1!$D$5+ROW(A72)-1, "")</f>
        <v/>
      </c>
      <c r="Y74" s="1" t="str">
        <f>IF(Person1!$D$6+ROW(A72)-1&lt;=Person1!$E$6, Person1!$D$6+ROW(A72)-1, "")</f>
        <v/>
      </c>
      <c r="Z74" s="1" t="str">
        <f>IF(Person1!$D$7+ROW(A72)-1&lt;=Person1!$E$7, Person1!$D$7+ROW(A72)-1, "")</f>
        <v/>
      </c>
      <c r="AA74" s="1" t="str">
        <f>IF(Person1!$D$8+ROW(A72)-1&lt;=Person1!$E$8, Person1!$D$8+ROW(A72)-1, "")</f>
        <v/>
      </c>
      <c r="AE74" s="1" t="str">
        <f>IF(Person1!$F$3+ROW(A72)-1&lt;=Person1!$G$3, Person1!$F$3+ROW(A72)-1, "")</f>
        <v/>
      </c>
      <c r="AF74" s="1" t="str">
        <f>IF(Person1!$F$4+ROW(A72)-1&lt;=Person1!$G$4, Person1!$F$4+ROW(A72)-1, "")</f>
        <v/>
      </c>
      <c r="AG74" s="1" t="str">
        <f>IF(Person1!$F$5+ROW(A72)-1&lt;=Person1!$G$5, Person1!$F$5+ROW(A72)-1, "")</f>
        <v/>
      </c>
      <c r="AH74" s="1" t="str">
        <f>IF(Person1!$F$6+ROW(A72)-1&lt;=Person1!$G$6, Person1!$F$6+ROW(A72)-1, "")</f>
        <v/>
      </c>
      <c r="AI74" s="1" t="str">
        <f>IF(Person1!$F$7+ROW(A72)-1&lt;=Person1!$G$7, Person1!$F$7+ROW(A72)-1, "")</f>
        <v/>
      </c>
    </row>
    <row r="75" spans="1:35" x14ac:dyDescent="0.3">
      <c r="A75" s="1" t="str">
        <f>IF(Person1!$B$3+ROW(A73)-1&lt;=Person1!$C$3, Person1!$B$3+ROW(A73)-1, "")</f>
        <v/>
      </c>
      <c r="B75" s="1" t="str">
        <f>IF(Person1!$B$4+ROW(B73)-1&lt;=Person1!$C$4, Person1!$B$4+ROW(B73)-1, "")</f>
        <v/>
      </c>
      <c r="C75" s="1" t="str">
        <f>IF(Person1!$B$5+ROW(B73)-1&lt;=Person1!$C$5, Person1!$B$5+ROW(B73)-1, "")</f>
        <v/>
      </c>
      <c r="D75" s="1" t="str">
        <f>IF(Person1!$B$6+ROW(B73)-1&lt;=Person1!$C$6, Person1!$B$6+ROW(B73)-1, "")</f>
        <v/>
      </c>
      <c r="E75" s="1" t="str">
        <f>IF(Person1!$B$7+ROW(B73)-1&lt;=Person1!$C$7, Person1!$B$7+ROW(B73)-1, "")</f>
        <v/>
      </c>
      <c r="F75" s="1" t="str">
        <f>IF(Person1!$B$8+ROW(B73)-1&lt;=Person1!$C$8, Person1!$B$8+ROW(B73)-1, "")</f>
        <v/>
      </c>
      <c r="G75" s="1" t="str">
        <f>IF(Person1!$B$9+ROW(B73)-1&lt;=Person1!$C$9, Person1!$B$9+ROW(B73)-1, "")</f>
        <v/>
      </c>
      <c r="H75" s="1" t="str">
        <f>IF(Person1!$B$10+ROW(B73)-1&lt;=Person1!$C$10, Person1!$B$10+ROW(B73)-1, "")</f>
        <v/>
      </c>
      <c r="I75" s="1" t="str">
        <f>IF(Person1!$B$11+ROW(B73)-1&lt;=Person1!$C$11, Person1!$B$11+ROW(B73)-1, "")</f>
        <v/>
      </c>
      <c r="J75" s="1" t="str">
        <f>IF(Person1!$B$12+ROW(B73)-1&lt;=Person1!$C$12, Person1!$B$12+ROW(B73)-1, "")</f>
        <v/>
      </c>
      <c r="K75" s="1" t="str">
        <f>IF(Person1!$B$13+ROW(B73)-1&lt;=Person1!$C$13, Person1!$B$13+ROW(B73)-1, "")</f>
        <v/>
      </c>
      <c r="L75" s="1" t="str">
        <f>IF(Person1!$B$14+ROW(B73)-1&lt;=Person1!$C$14, Person1!$B$14+ROW(B73)-1, "")</f>
        <v/>
      </c>
      <c r="M75" s="1" t="str">
        <f>IF(Person1!$B$15+ROW(B73)-1&lt;=Person1!$C$15, Person1!$B$15+ROW(B73)-1, "")</f>
        <v/>
      </c>
      <c r="N75" s="1" t="str">
        <f>IF(Person1!$B$16+ROW(B73)-1&lt;=Person1!$C$16, Person1!$B$16+ROW(B73)-1, "")</f>
        <v/>
      </c>
      <c r="O75" s="1" t="str">
        <f>IF(Person1!$B$17+ROW(B73)-1&lt;=Person1!$C$17, Person1!$B$17+ROW(B73)-1, "")</f>
        <v/>
      </c>
      <c r="V75" s="1" t="str">
        <f>IF(Person1!$D$3+ROW(A73)-1&lt;=Person1!$E$3, Person1!$D$3+ROW(A73)-1, "")</f>
        <v/>
      </c>
      <c r="W75" s="1" t="str">
        <f>IF(Person1!$D$4+ROW(A73)-1&lt;=Person1!$E$4, Person1!$D$4+ROW(A73)-1, "")</f>
        <v/>
      </c>
      <c r="X75" s="1" t="str">
        <f>IF(Person1!$D$5+ROW(A73)-1&lt;=Person1!$E$5, Person1!$D$5+ROW(A73)-1, "")</f>
        <v/>
      </c>
      <c r="Y75" s="1" t="str">
        <f>IF(Person1!$D$6+ROW(A73)-1&lt;=Person1!$E$6, Person1!$D$6+ROW(A73)-1, "")</f>
        <v/>
      </c>
      <c r="Z75" s="1" t="str">
        <f>IF(Person1!$D$7+ROW(A73)-1&lt;=Person1!$E$7, Person1!$D$7+ROW(A73)-1, "")</f>
        <v/>
      </c>
      <c r="AA75" s="1" t="str">
        <f>IF(Person1!$D$8+ROW(A73)-1&lt;=Person1!$E$8, Person1!$D$8+ROW(A73)-1, "")</f>
        <v/>
      </c>
      <c r="AE75" s="1" t="str">
        <f>IF(Person1!$F$3+ROW(A73)-1&lt;=Person1!$G$3, Person1!$F$3+ROW(A73)-1, "")</f>
        <v/>
      </c>
      <c r="AF75" s="1" t="str">
        <f>IF(Person1!$F$4+ROW(A73)-1&lt;=Person1!$G$4, Person1!$F$4+ROW(A73)-1, "")</f>
        <v/>
      </c>
      <c r="AG75" s="1" t="str">
        <f>IF(Person1!$F$5+ROW(A73)-1&lt;=Person1!$G$5, Person1!$F$5+ROW(A73)-1, "")</f>
        <v/>
      </c>
      <c r="AH75" s="1" t="str">
        <f>IF(Person1!$F$6+ROW(A73)-1&lt;=Person1!$G$6, Person1!$F$6+ROW(A73)-1, "")</f>
        <v/>
      </c>
      <c r="AI75" s="1" t="str">
        <f>IF(Person1!$F$7+ROW(A73)-1&lt;=Person1!$G$7, Person1!$F$7+ROW(A73)-1, "")</f>
        <v/>
      </c>
    </row>
    <row r="76" spans="1:35" x14ac:dyDescent="0.3">
      <c r="A76" s="1" t="str">
        <f>IF(Person1!$B$3+ROW(A74)-1&lt;=Person1!$C$3, Person1!$B$3+ROW(A74)-1, "")</f>
        <v/>
      </c>
      <c r="B76" s="1" t="str">
        <f>IF(Person1!$B$4+ROW(B74)-1&lt;=Person1!$C$4, Person1!$B$4+ROW(B74)-1, "")</f>
        <v/>
      </c>
      <c r="C76" s="1" t="str">
        <f>IF(Person1!$B$5+ROW(B74)-1&lt;=Person1!$C$5, Person1!$B$5+ROW(B74)-1, "")</f>
        <v/>
      </c>
      <c r="D76" s="1" t="str">
        <f>IF(Person1!$B$6+ROW(B74)-1&lt;=Person1!$C$6, Person1!$B$6+ROW(B74)-1, "")</f>
        <v/>
      </c>
      <c r="E76" s="1" t="str">
        <f>IF(Person1!$B$7+ROW(B74)-1&lt;=Person1!$C$7, Person1!$B$7+ROW(B74)-1, "")</f>
        <v/>
      </c>
      <c r="F76" s="1" t="str">
        <f>IF(Person1!$B$8+ROW(B74)-1&lt;=Person1!$C$8, Person1!$B$8+ROW(B74)-1, "")</f>
        <v/>
      </c>
      <c r="G76" s="1" t="str">
        <f>IF(Person1!$B$9+ROW(B74)-1&lt;=Person1!$C$9, Person1!$B$9+ROW(B74)-1, "")</f>
        <v/>
      </c>
      <c r="H76" s="1" t="str">
        <f>IF(Person1!$B$10+ROW(B74)-1&lt;=Person1!$C$10, Person1!$B$10+ROW(B74)-1, "")</f>
        <v/>
      </c>
      <c r="I76" s="1" t="str">
        <f>IF(Person1!$B$11+ROW(B74)-1&lt;=Person1!$C$11, Person1!$B$11+ROW(B74)-1, "")</f>
        <v/>
      </c>
      <c r="J76" s="1" t="str">
        <f>IF(Person1!$B$12+ROW(B74)-1&lt;=Person1!$C$12, Person1!$B$12+ROW(B74)-1, "")</f>
        <v/>
      </c>
      <c r="K76" s="1" t="str">
        <f>IF(Person1!$B$13+ROW(B74)-1&lt;=Person1!$C$13, Person1!$B$13+ROW(B74)-1, "")</f>
        <v/>
      </c>
      <c r="L76" s="1" t="str">
        <f>IF(Person1!$B$14+ROW(B74)-1&lt;=Person1!$C$14, Person1!$B$14+ROW(B74)-1, "")</f>
        <v/>
      </c>
      <c r="M76" s="1" t="str">
        <f>IF(Person1!$B$15+ROW(B74)-1&lt;=Person1!$C$15, Person1!$B$15+ROW(B74)-1, "")</f>
        <v/>
      </c>
      <c r="N76" s="1" t="str">
        <f>IF(Person1!$B$16+ROW(B74)-1&lt;=Person1!$C$16, Person1!$B$16+ROW(B74)-1, "")</f>
        <v/>
      </c>
      <c r="O76" s="1" t="str">
        <f>IF(Person1!$B$17+ROW(B74)-1&lt;=Person1!$C$17, Person1!$B$17+ROW(B74)-1, "")</f>
        <v/>
      </c>
      <c r="V76" s="1" t="str">
        <f>IF(Person1!$D$3+ROW(A74)-1&lt;=Person1!$E$3, Person1!$D$3+ROW(A74)-1, "")</f>
        <v/>
      </c>
      <c r="W76" s="1" t="str">
        <f>IF(Person1!$D$4+ROW(A74)-1&lt;=Person1!$E$4, Person1!$D$4+ROW(A74)-1, "")</f>
        <v/>
      </c>
      <c r="X76" s="1" t="str">
        <f>IF(Person1!$D$5+ROW(A74)-1&lt;=Person1!$E$5, Person1!$D$5+ROW(A74)-1, "")</f>
        <v/>
      </c>
      <c r="Y76" s="1" t="str">
        <f>IF(Person1!$D$6+ROW(A74)-1&lt;=Person1!$E$6, Person1!$D$6+ROW(A74)-1, "")</f>
        <v/>
      </c>
      <c r="Z76" s="1" t="str">
        <f>IF(Person1!$D$7+ROW(A74)-1&lt;=Person1!$E$7, Person1!$D$7+ROW(A74)-1, "")</f>
        <v/>
      </c>
      <c r="AA76" s="1" t="str">
        <f>IF(Person1!$D$8+ROW(A74)-1&lt;=Person1!$E$8, Person1!$D$8+ROW(A74)-1, "")</f>
        <v/>
      </c>
      <c r="AE76" s="1" t="str">
        <f>IF(Person1!$F$3+ROW(A74)-1&lt;=Person1!$G$3, Person1!$F$3+ROW(A74)-1, "")</f>
        <v/>
      </c>
      <c r="AF76" s="1" t="str">
        <f>IF(Person1!$F$4+ROW(A74)-1&lt;=Person1!$G$4, Person1!$F$4+ROW(A74)-1, "")</f>
        <v/>
      </c>
      <c r="AG76" s="1" t="str">
        <f>IF(Person1!$F$5+ROW(A74)-1&lt;=Person1!$G$5, Person1!$F$5+ROW(A74)-1, "")</f>
        <v/>
      </c>
      <c r="AH76" s="1" t="str">
        <f>IF(Person1!$F$6+ROW(A74)-1&lt;=Person1!$G$6, Person1!$F$6+ROW(A74)-1, "")</f>
        <v/>
      </c>
      <c r="AI76" s="1" t="str">
        <f>IF(Person1!$F$7+ROW(A74)-1&lt;=Person1!$G$7, Person1!$F$7+ROW(A74)-1, "")</f>
        <v/>
      </c>
    </row>
    <row r="77" spans="1:35" x14ac:dyDescent="0.3">
      <c r="A77" s="1" t="str">
        <f>IF(Person1!$B$3+ROW(A75)-1&lt;=Person1!$C$3, Person1!$B$3+ROW(A75)-1, "")</f>
        <v/>
      </c>
      <c r="B77" s="1" t="str">
        <f>IF(Person1!$B$4+ROW(B75)-1&lt;=Person1!$C$4, Person1!$B$4+ROW(B75)-1, "")</f>
        <v/>
      </c>
      <c r="C77" s="1" t="str">
        <f>IF(Person1!$B$5+ROW(B75)-1&lt;=Person1!$C$5, Person1!$B$5+ROW(B75)-1, "")</f>
        <v/>
      </c>
      <c r="D77" s="1" t="str">
        <f>IF(Person1!$B$6+ROW(B75)-1&lt;=Person1!$C$6, Person1!$B$6+ROW(B75)-1, "")</f>
        <v/>
      </c>
      <c r="E77" s="1" t="str">
        <f>IF(Person1!$B$7+ROW(B75)-1&lt;=Person1!$C$7, Person1!$B$7+ROW(B75)-1, "")</f>
        <v/>
      </c>
      <c r="F77" s="1" t="str">
        <f>IF(Person1!$B$8+ROW(B75)-1&lt;=Person1!$C$8, Person1!$B$8+ROW(B75)-1, "")</f>
        <v/>
      </c>
      <c r="G77" s="1" t="str">
        <f>IF(Person1!$B$9+ROW(B75)-1&lt;=Person1!$C$9, Person1!$B$9+ROW(B75)-1, "")</f>
        <v/>
      </c>
      <c r="H77" s="1" t="str">
        <f>IF(Person1!$B$10+ROW(B75)-1&lt;=Person1!$C$10, Person1!$B$10+ROW(B75)-1, "")</f>
        <v/>
      </c>
      <c r="I77" s="1" t="str">
        <f>IF(Person1!$B$11+ROW(B75)-1&lt;=Person1!$C$11, Person1!$B$11+ROW(B75)-1, "")</f>
        <v/>
      </c>
      <c r="J77" s="1" t="str">
        <f>IF(Person1!$B$12+ROW(B75)-1&lt;=Person1!$C$12, Person1!$B$12+ROW(B75)-1, "")</f>
        <v/>
      </c>
      <c r="K77" s="1" t="str">
        <f>IF(Person1!$B$13+ROW(B75)-1&lt;=Person1!$C$13, Person1!$B$13+ROW(B75)-1, "")</f>
        <v/>
      </c>
      <c r="L77" s="1" t="str">
        <f>IF(Person1!$B$14+ROW(B75)-1&lt;=Person1!$C$14, Person1!$B$14+ROW(B75)-1, "")</f>
        <v/>
      </c>
      <c r="M77" s="1" t="str">
        <f>IF(Person1!$B$15+ROW(B75)-1&lt;=Person1!$C$15, Person1!$B$15+ROW(B75)-1, "")</f>
        <v/>
      </c>
      <c r="N77" s="1" t="str">
        <f>IF(Person1!$B$16+ROW(B75)-1&lt;=Person1!$C$16, Person1!$B$16+ROW(B75)-1, "")</f>
        <v/>
      </c>
      <c r="O77" s="1" t="str">
        <f>IF(Person1!$B$17+ROW(B75)-1&lt;=Person1!$C$17, Person1!$B$17+ROW(B75)-1, "")</f>
        <v/>
      </c>
      <c r="V77" s="1" t="str">
        <f>IF(Person1!$D$3+ROW(A75)-1&lt;=Person1!$E$3, Person1!$D$3+ROW(A75)-1, "")</f>
        <v/>
      </c>
      <c r="W77" s="1" t="str">
        <f>IF(Person1!$D$4+ROW(A75)-1&lt;=Person1!$E$4, Person1!$D$4+ROW(A75)-1, "")</f>
        <v/>
      </c>
      <c r="X77" s="1" t="str">
        <f>IF(Person1!$D$5+ROW(A75)-1&lt;=Person1!$E$5, Person1!$D$5+ROW(A75)-1, "")</f>
        <v/>
      </c>
      <c r="Y77" s="1" t="str">
        <f>IF(Person1!$D$6+ROW(A75)-1&lt;=Person1!$E$6, Person1!$D$6+ROW(A75)-1, "")</f>
        <v/>
      </c>
      <c r="Z77" s="1" t="str">
        <f>IF(Person1!$D$7+ROW(A75)-1&lt;=Person1!$E$7, Person1!$D$7+ROW(A75)-1, "")</f>
        <v/>
      </c>
      <c r="AA77" s="1" t="str">
        <f>IF(Person1!$D$8+ROW(A75)-1&lt;=Person1!$E$8, Person1!$D$8+ROW(A75)-1, "")</f>
        <v/>
      </c>
      <c r="AE77" s="1" t="str">
        <f>IF(Person1!$F$3+ROW(A75)-1&lt;=Person1!$G$3, Person1!$F$3+ROW(A75)-1, "")</f>
        <v/>
      </c>
      <c r="AF77" s="1" t="str">
        <f>IF(Person1!$F$4+ROW(A75)-1&lt;=Person1!$G$4, Person1!$F$4+ROW(A75)-1, "")</f>
        <v/>
      </c>
      <c r="AG77" s="1" t="str">
        <f>IF(Person1!$F$5+ROW(A75)-1&lt;=Person1!$G$5, Person1!$F$5+ROW(A75)-1, "")</f>
        <v/>
      </c>
      <c r="AH77" s="1" t="str">
        <f>IF(Person1!$F$6+ROW(A75)-1&lt;=Person1!$G$6, Person1!$F$6+ROW(A75)-1, "")</f>
        <v/>
      </c>
      <c r="AI77" s="1" t="str">
        <f>IF(Person1!$F$7+ROW(A75)-1&lt;=Person1!$G$7, Person1!$F$7+ROW(A75)-1, "")</f>
        <v/>
      </c>
    </row>
    <row r="78" spans="1:35" x14ac:dyDescent="0.3">
      <c r="A78" s="1" t="str">
        <f>IF(Person1!$B$3+ROW(A76)-1&lt;=Person1!$C$3, Person1!$B$3+ROW(A76)-1, "")</f>
        <v/>
      </c>
      <c r="B78" s="1" t="str">
        <f>IF(Person1!$B$4+ROW(B76)-1&lt;=Person1!$C$4, Person1!$B$4+ROW(B76)-1, "")</f>
        <v/>
      </c>
      <c r="C78" s="1" t="str">
        <f>IF(Person1!$B$5+ROW(B76)-1&lt;=Person1!$C$5, Person1!$B$5+ROW(B76)-1, "")</f>
        <v/>
      </c>
      <c r="D78" s="1" t="str">
        <f>IF(Person1!$B$6+ROW(B76)-1&lt;=Person1!$C$6, Person1!$B$6+ROW(B76)-1, "")</f>
        <v/>
      </c>
      <c r="E78" s="1" t="str">
        <f>IF(Person1!$B$7+ROW(B76)-1&lt;=Person1!$C$7, Person1!$B$7+ROW(B76)-1, "")</f>
        <v/>
      </c>
      <c r="F78" s="1" t="str">
        <f>IF(Person1!$B$8+ROW(B76)-1&lt;=Person1!$C$8, Person1!$B$8+ROW(B76)-1, "")</f>
        <v/>
      </c>
      <c r="G78" s="1" t="str">
        <f>IF(Person1!$B$9+ROW(B76)-1&lt;=Person1!$C$9, Person1!$B$9+ROW(B76)-1, "")</f>
        <v/>
      </c>
      <c r="H78" s="1" t="str">
        <f>IF(Person1!$B$10+ROW(B76)-1&lt;=Person1!$C$10, Person1!$B$10+ROW(B76)-1, "")</f>
        <v/>
      </c>
      <c r="I78" s="1" t="str">
        <f>IF(Person1!$B$11+ROW(B76)-1&lt;=Person1!$C$11, Person1!$B$11+ROW(B76)-1, "")</f>
        <v/>
      </c>
      <c r="J78" s="1" t="str">
        <f>IF(Person1!$B$12+ROW(B76)-1&lt;=Person1!$C$12, Person1!$B$12+ROW(B76)-1, "")</f>
        <v/>
      </c>
      <c r="K78" s="1" t="str">
        <f>IF(Person1!$B$13+ROW(B76)-1&lt;=Person1!$C$13, Person1!$B$13+ROW(B76)-1, "")</f>
        <v/>
      </c>
      <c r="L78" s="1" t="str">
        <f>IF(Person1!$B$14+ROW(B76)-1&lt;=Person1!$C$14, Person1!$B$14+ROW(B76)-1, "")</f>
        <v/>
      </c>
      <c r="M78" s="1" t="str">
        <f>IF(Person1!$B$15+ROW(B76)-1&lt;=Person1!$C$15, Person1!$B$15+ROW(B76)-1, "")</f>
        <v/>
      </c>
      <c r="N78" s="1" t="str">
        <f>IF(Person1!$B$16+ROW(B76)-1&lt;=Person1!$C$16, Person1!$B$16+ROW(B76)-1, "")</f>
        <v/>
      </c>
      <c r="O78" s="1" t="str">
        <f>IF(Person1!$B$17+ROW(B76)-1&lt;=Person1!$C$17, Person1!$B$17+ROW(B76)-1, "")</f>
        <v/>
      </c>
      <c r="V78" s="1" t="str">
        <f>IF(Person1!$D$3+ROW(A76)-1&lt;=Person1!$E$3, Person1!$D$3+ROW(A76)-1, "")</f>
        <v/>
      </c>
      <c r="W78" s="1" t="str">
        <f>IF(Person1!$D$4+ROW(A76)-1&lt;=Person1!$E$4, Person1!$D$4+ROW(A76)-1, "")</f>
        <v/>
      </c>
      <c r="X78" s="1" t="str">
        <f>IF(Person1!$D$5+ROW(A76)-1&lt;=Person1!$E$5, Person1!$D$5+ROW(A76)-1, "")</f>
        <v/>
      </c>
      <c r="Y78" s="1" t="str">
        <f>IF(Person1!$D$6+ROW(A76)-1&lt;=Person1!$E$6, Person1!$D$6+ROW(A76)-1, "")</f>
        <v/>
      </c>
      <c r="Z78" s="1" t="str">
        <f>IF(Person1!$D$7+ROW(A76)-1&lt;=Person1!$E$7, Person1!$D$7+ROW(A76)-1, "")</f>
        <v/>
      </c>
      <c r="AA78" s="1" t="str">
        <f>IF(Person1!$D$8+ROW(A76)-1&lt;=Person1!$E$8, Person1!$D$8+ROW(A76)-1, "")</f>
        <v/>
      </c>
      <c r="AE78" s="1" t="str">
        <f>IF(Person1!$F$3+ROW(A76)-1&lt;=Person1!$G$3, Person1!$F$3+ROW(A76)-1, "")</f>
        <v/>
      </c>
      <c r="AF78" s="1" t="str">
        <f>IF(Person1!$F$4+ROW(A76)-1&lt;=Person1!$G$4, Person1!$F$4+ROW(A76)-1, "")</f>
        <v/>
      </c>
      <c r="AG78" s="1" t="str">
        <f>IF(Person1!$F$5+ROW(A76)-1&lt;=Person1!$G$5, Person1!$F$5+ROW(A76)-1, "")</f>
        <v/>
      </c>
      <c r="AH78" s="1" t="str">
        <f>IF(Person1!$F$6+ROW(A76)-1&lt;=Person1!$G$6, Person1!$F$6+ROW(A76)-1, "")</f>
        <v/>
      </c>
      <c r="AI78" s="1" t="str">
        <f>IF(Person1!$F$7+ROW(A76)-1&lt;=Person1!$G$7, Person1!$F$7+ROW(A76)-1, "")</f>
        <v/>
      </c>
    </row>
    <row r="79" spans="1:35" x14ac:dyDescent="0.3">
      <c r="A79" s="1" t="str">
        <f>IF(Person1!$B$3+ROW(A77)-1&lt;=Person1!$C$3, Person1!$B$3+ROW(A77)-1, "")</f>
        <v/>
      </c>
      <c r="B79" s="1" t="str">
        <f>IF(Person1!$B$4+ROW(B77)-1&lt;=Person1!$C$4, Person1!$B$4+ROW(B77)-1, "")</f>
        <v/>
      </c>
      <c r="C79" s="1" t="str">
        <f>IF(Person1!$B$5+ROW(B77)-1&lt;=Person1!$C$5, Person1!$B$5+ROW(B77)-1, "")</f>
        <v/>
      </c>
      <c r="D79" s="1" t="str">
        <f>IF(Person1!$B$6+ROW(B77)-1&lt;=Person1!$C$6, Person1!$B$6+ROW(B77)-1, "")</f>
        <v/>
      </c>
      <c r="E79" s="1" t="str">
        <f>IF(Person1!$B$7+ROW(B77)-1&lt;=Person1!$C$7, Person1!$B$7+ROW(B77)-1, "")</f>
        <v/>
      </c>
      <c r="F79" s="1" t="str">
        <f>IF(Person1!$B$8+ROW(B77)-1&lt;=Person1!$C$8, Person1!$B$8+ROW(B77)-1, "")</f>
        <v/>
      </c>
      <c r="G79" s="1" t="str">
        <f>IF(Person1!$B$9+ROW(B77)-1&lt;=Person1!$C$9, Person1!$B$9+ROW(B77)-1, "")</f>
        <v/>
      </c>
      <c r="H79" s="1" t="str">
        <f>IF(Person1!$B$10+ROW(B77)-1&lt;=Person1!$C$10, Person1!$B$10+ROW(B77)-1, "")</f>
        <v/>
      </c>
      <c r="I79" s="1" t="str">
        <f>IF(Person1!$B$11+ROW(B77)-1&lt;=Person1!$C$11, Person1!$B$11+ROW(B77)-1, "")</f>
        <v/>
      </c>
      <c r="J79" s="1" t="str">
        <f>IF(Person1!$B$12+ROW(B77)-1&lt;=Person1!$C$12, Person1!$B$12+ROW(B77)-1, "")</f>
        <v/>
      </c>
      <c r="K79" s="1" t="str">
        <f>IF(Person1!$B$13+ROW(B77)-1&lt;=Person1!$C$13, Person1!$B$13+ROW(B77)-1, "")</f>
        <v/>
      </c>
      <c r="L79" s="1" t="str">
        <f>IF(Person1!$B$14+ROW(B77)-1&lt;=Person1!$C$14, Person1!$B$14+ROW(B77)-1, "")</f>
        <v/>
      </c>
      <c r="M79" s="1" t="str">
        <f>IF(Person1!$B$15+ROW(B77)-1&lt;=Person1!$C$15, Person1!$B$15+ROW(B77)-1, "")</f>
        <v/>
      </c>
      <c r="N79" s="1" t="str">
        <f>IF(Person1!$B$16+ROW(B77)-1&lt;=Person1!$C$16, Person1!$B$16+ROW(B77)-1, "")</f>
        <v/>
      </c>
      <c r="O79" s="1" t="str">
        <f>IF(Person1!$B$17+ROW(B77)-1&lt;=Person1!$C$17, Person1!$B$17+ROW(B77)-1, "")</f>
        <v/>
      </c>
      <c r="V79" s="1" t="str">
        <f>IF(Person1!$D$3+ROW(A77)-1&lt;=Person1!$E$3, Person1!$D$3+ROW(A77)-1, "")</f>
        <v/>
      </c>
      <c r="W79" s="1" t="str">
        <f>IF(Person1!$D$4+ROW(A77)-1&lt;=Person1!$E$4, Person1!$D$4+ROW(A77)-1, "")</f>
        <v/>
      </c>
      <c r="X79" s="1" t="str">
        <f>IF(Person1!$D$5+ROW(A77)-1&lt;=Person1!$E$5, Person1!$D$5+ROW(A77)-1, "")</f>
        <v/>
      </c>
      <c r="Y79" s="1" t="str">
        <f>IF(Person1!$D$6+ROW(A77)-1&lt;=Person1!$E$6, Person1!$D$6+ROW(A77)-1, "")</f>
        <v/>
      </c>
      <c r="Z79" s="1" t="str">
        <f>IF(Person1!$D$7+ROW(A77)-1&lt;=Person1!$E$7, Person1!$D$7+ROW(A77)-1, "")</f>
        <v/>
      </c>
      <c r="AA79" s="1" t="str">
        <f>IF(Person1!$D$8+ROW(A77)-1&lt;=Person1!$E$8, Person1!$D$8+ROW(A77)-1, "")</f>
        <v/>
      </c>
      <c r="AE79" s="1" t="str">
        <f>IF(Person1!$F$3+ROW(A77)-1&lt;=Person1!$G$3, Person1!$F$3+ROW(A77)-1, "")</f>
        <v/>
      </c>
      <c r="AF79" s="1" t="str">
        <f>IF(Person1!$F$4+ROW(A77)-1&lt;=Person1!$G$4, Person1!$F$4+ROW(A77)-1, "")</f>
        <v/>
      </c>
      <c r="AG79" s="1" t="str">
        <f>IF(Person1!$F$5+ROW(A77)-1&lt;=Person1!$G$5, Person1!$F$5+ROW(A77)-1, "")</f>
        <v/>
      </c>
      <c r="AH79" s="1" t="str">
        <f>IF(Person1!$F$6+ROW(A77)-1&lt;=Person1!$G$6, Person1!$F$6+ROW(A77)-1, "")</f>
        <v/>
      </c>
      <c r="AI79" s="1" t="str">
        <f>IF(Person1!$F$7+ROW(A77)-1&lt;=Person1!$G$7, Person1!$F$7+ROW(A77)-1, "")</f>
        <v/>
      </c>
    </row>
    <row r="80" spans="1:35" x14ac:dyDescent="0.3">
      <c r="A80" s="1" t="str">
        <f>IF(Person1!$B$3+ROW(A78)-1&lt;=Person1!$C$3, Person1!$B$3+ROW(A78)-1, "")</f>
        <v/>
      </c>
      <c r="B80" s="1" t="str">
        <f>IF(Person1!$B$4+ROW(B78)-1&lt;=Person1!$C$4, Person1!$B$4+ROW(B78)-1, "")</f>
        <v/>
      </c>
      <c r="C80" s="1" t="str">
        <f>IF(Person1!$B$5+ROW(B78)-1&lt;=Person1!$C$5, Person1!$B$5+ROW(B78)-1, "")</f>
        <v/>
      </c>
      <c r="D80" s="1" t="str">
        <f>IF(Person1!$B$6+ROW(B78)-1&lt;=Person1!$C$6, Person1!$B$6+ROW(B78)-1, "")</f>
        <v/>
      </c>
      <c r="E80" s="1" t="str">
        <f>IF(Person1!$B$7+ROW(B78)-1&lt;=Person1!$C$7, Person1!$B$7+ROW(B78)-1, "")</f>
        <v/>
      </c>
      <c r="F80" s="1" t="str">
        <f>IF(Person1!$B$8+ROW(B78)-1&lt;=Person1!$C$8, Person1!$B$8+ROW(B78)-1, "")</f>
        <v/>
      </c>
      <c r="G80" s="1" t="str">
        <f>IF(Person1!$B$9+ROW(B78)-1&lt;=Person1!$C$9, Person1!$B$9+ROW(B78)-1, "")</f>
        <v/>
      </c>
      <c r="H80" s="1" t="str">
        <f>IF(Person1!$B$10+ROW(B78)-1&lt;=Person1!$C$10, Person1!$B$10+ROW(B78)-1, "")</f>
        <v/>
      </c>
      <c r="I80" s="1" t="str">
        <f>IF(Person1!$B$11+ROW(B78)-1&lt;=Person1!$C$11, Person1!$B$11+ROW(B78)-1, "")</f>
        <v/>
      </c>
      <c r="J80" s="1" t="str">
        <f>IF(Person1!$B$12+ROW(B78)-1&lt;=Person1!$C$12, Person1!$B$12+ROW(B78)-1, "")</f>
        <v/>
      </c>
      <c r="K80" s="1" t="str">
        <f>IF(Person1!$B$13+ROW(B78)-1&lt;=Person1!$C$13, Person1!$B$13+ROW(B78)-1, "")</f>
        <v/>
      </c>
      <c r="L80" s="1" t="str">
        <f>IF(Person1!$B$14+ROW(B78)-1&lt;=Person1!$C$14, Person1!$B$14+ROW(B78)-1, "")</f>
        <v/>
      </c>
      <c r="M80" s="1" t="str">
        <f>IF(Person1!$B$15+ROW(B78)-1&lt;=Person1!$C$15, Person1!$B$15+ROW(B78)-1, "")</f>
        <v/>
      </c>
      <c r="N80" s="1" t="str">
        <f>IF(Person1!$B$16+ROW(B78)-1&lt;=Person1!$C$16, Person1!$B$16+ROW(B78)-1, "")</f>
        <v/>
      </c>
      <c r="O80" s="1" t="str">
        <f>IF(Person1!$B$17+ROW(B78)-1&lt;=Person1!$C$17, Person1!$B$17+ROW(B78)-1, "")</f>
        <v/>
      </c>
      <c r="V80" s="1" t="str">
        <f>IF(Person1!$D$3+ROW(A78)-1&lt;=Person1!$E$3, Person1!$D$3+ROW(A78)-1, "")</f>
        <v/>
      </c>
      <c r="W80" s="1" t="str">
        <f>IF(Person1!$D$4+ROW(A78)-1&lt;=Person1!$E$4, Person1!$D$4+ROW(A78)-1, "")</f>
        <v/>
      </c>
      <c r="X80" s="1" t="str">
        <f>IF(Person1!$D$5+ROW(A78)-1&lt;=Person1!$E$5, Person1!$D$5+ROW(A78)-1, "")</f>
        <v/>
      </c>
      <c r="Y80" s="1" t="str">
        <f>IF(Person1!$D$6+ROW(A78)-1&lt;=Person1!$E$6, Person1!$D$6+ROW(A78)-1, "")</f>
        <v/>
      </c>
      <c r="Z80" s="1" t="str">
        <f>IF(Person1!$D$7+ROW(A78)-1&lt;=Person1!$E$7, Person1!$D$7+ROW(A78)-1, "")</f>
        <v/>
      </c>
      <c r="AA80" s="1" t="str">
        <f>IF(Person1!$D$8+ROW(A78)-1&lt;=Person1!$E$8, Person1!$D$8+ROW(A78)-1, "")</f>
        <v/>
      </c>
      <c r="AE80" s="1" t="str">
        <f>IF(Person1!$F$3+ROW(A78)-1&lt;=Person1!$G$3, Person1!$F$3+ROW(A78)-1, "")</f>
        <v/>
      </c>
      <c r="AF80" s="1" t="str">
        <f>IF(Person1!$F$4+ROW(A78)-1&lt;=Person1!$G$4, Person1!$F$4+ROW(A78)-1, "")</f>
        <v/>
      </c>
      <c r="AG80" s="1" t="str">
        <f>IF(Person1!$F$5+ROW(A78)-1&lt;=Person1!$G$5, Person1!$F$5+ROW(A78)-1, "")</f>
        <v/>
      </c>
      <c r="AH80" s="1" t="str">
        <f>IF(Person1!$F$6+ROW(A78)-1&lt;=Person1!$G$6, Person1!$F$6+ROW(A78)-1, "")</f>
        <v/>
      </c>
      <c r="AI80" s="1" t="str">
        <f>IF(Person1!$F$7+ROW(A78)-1&lt;=Person1!$G$7, Person1!$F$7+ROW(A78)-1, "")</f>
        <v/>
      </c>
    </row>
    <row r="81" spans="1:35" x14ac:dyDescent="0.3">
      <c r="A81" s="1" t="str">
        <f>IF(Person1!$B$3+ROW(A79)-1&lt;=Person1!$C$3, Person1!$B$3+ROW(A79)-1, "")</f>
        <v/>
      </c>
      <c r="B81" s="1" t="str">
        <f>IF(Person1!$B$4+ROW(B79)-1&lt;=Person1!$C$4, Person1!$B$4+ROW(B79)-1, "")</f>
        <v/>
      </c>
      <c r="C81" s="1" t="str">
        <f>IF(Person1!$B$5+ROW(B79)-1&lt;=Person1!$C$5, Person1!$B$5+ROW(B79)-1, "")</f>
        <v/>
      </c>
      <c r="D81" s="1" t="str">
        <f>IF(Person1!$B$6+ROW(B79)-1&lt;=Person1!$C$6, Person1!$B$6+ROW(B79)-1, "")</f>
        <v/>
      </c>
      <c r="E81" s="1" t="str">
        <f>IF(Person1!$B$7+ROW(B79)-1&lt;=Person1!$C$7, Person1!$B$7+ROW(B79)-1, "")</f>
        <v/>
      </c>
      <c r="F81" s="1" t="str">
        <f>IF(Person1!$B$8+ROW(B79)-1&lt;=Person1!$C$8, Person1!$B$8+ROW(B79)-1, "")</f>
        <v/>
      </c>
      <c r="G81" s="1" t="str">
        <f>IF(Person1!$B$9+ROW(B79)-1&lt;=Person1!$C$9, Person1!$B$9+ROW(B79)-1, "")</f>
        <v/>
      </c>
      <c r="H81" s="1" t="str">
        <f>IF(Person1!$B$10+ROW(B79)-1&lt;=Person1!$C$10, Person1!$B$10+ROW(B79)-1, "")</f>
        <v/>
      </c>
      <c r="I81" s="1" t="str">
        <f>IF(Person1!$B$11+ROW(B79)-1&lt;=Person1!$C$11, Person1!$B$11+ROW(B79)-1, "")</f>
        <v/>
      </c>
      <c r="J81" s="1" t="str">
        <f>IF(Person1!$B$12+ROW(B79)-1&lt;=Person1!$C$12, Person1!$B$12+ROW(B79)-1, "")</f>
        <v/>
      </c>
      <c r="K81" s="1" t="str">
        <f>IF(Person1!$B$13+ROW(B79)-1&lt;=Person1!$C$13, Person1!$B$13+ROW(B79)-1, "")</f>
        <v/>
      </c>
      <c r="L81" s="1" t="str">
        <f>IF(Person1!$B$14+ROW(B79)-1&lt;=Person1!$C$14, Person1!$B$14+ROW(B79)-1, "")</f>
        <v/>
      </c>
      <c r="M81" s="1" t="str">
        <f>IF(Person1!$B$15+ROW(B79)-1&lt;=Person1!$C$15, Person1!$B$15+ROW(B79)-1, "")</f>
        <v/>
      </c>
      <c r="N81" s="1" t="str">
        <f>IF(Person1!$B$16+ROW(B79)-1&lt;=Person1!$C$16, Person1!$B$16+ROW(B79)-1, "")</f>
        <v/>
      </c>
      <c r="O81" s="1" t="str">
        <f>IF(Person1!$B$17+ROW(B79)-1&lt;=Person1!$C$17, Person1!$B$17+ROW(B79)-1, "")</f>
        <v/>
      </c>
      <c r="V81" s="1" t="str">
        <f>IF(Person1!$D$3+ROW(A79)-1&lt;=Person1!$E$3, Person1!$D$3+ROW(A79)-1, "")</f>
        <v/>
      </c>
      <c r="W81" s="1" t="str">
        <f>IF(Person1!$D$4+ROW(A79)-1&lt;=Person1!$E$4, Person1!$D$4+ROW(A79)-1, "")</f>
        <v/>
      </c>
      <c r="X81" s="1" t="str">
        <f>IF(Person1!$D$5+ROW(A79)-1&lt;=Person1!$E$5, Person1!$D$5+ROW(A79)-1, "")</f>
        <v/>
      </c>
      <c r="Y81" s="1" t="str">
        <f>IF(Person1!$D$6+ROW(A79)-1&lt;=Person1!$E$6, Person1!$D$6+ROW(A79)-1, "")</f>
        <v/>
      </c>
      <c r="Z81" s="1" t="str">
        <f>IF(Person1!$D$7+ROW(A79)-1&lt;=Person1!$E$7, Person1!$D$7+ROW(A79)-1, "")</f>
        <v/>
      </c>
      <c r="AA81" s="1" t="str">
        <f>IF(Person1!$D$8+ROW(A79)-1&lt;=Person1!$E$8, Person1!$D$8+ROW(A79)-1, "")</f>
        <v/>
      </c>
      <c r="AE81" s="1" t="str">
        <f>IF(Person1!$F$3+ROW(A79)-1&lt;=Person1!$G$3, Person1!$F$3+ROW(A79)-1, "")</f>
        <v/>
      </c>
      <c r="AF81" s="1" t="str">
        <f>IF(Person1!$F$4+ROW(A79)-1&lt;=Person1!$G$4, Person1!$F$4+ROW(A79)-1, "")</f>
        <v/>
      </c>
      <c r="AG81" s="1" t="str">
        <f>IF(Person1!$F$5+ROW(A79)-1&lt;=Person1!$G$5, Person1!$F$5+ROW(A79)-1, "")</f>
        <v/>
      </c>
      <c r="AH81" s="1" t="str">
        <f>IF(Person1!$F$6+ROW(A79)-1&lt;=Person1!$G$6, Person1!$F$6+ROW(A79)-1, "")</f>
        <v/>
      </c>
      <c r="AI81" s="1" t="str">
        <f>IF(Person1!$F$7+ROW(A79)-1&lt;=Person1!$G$7, Person1!$F$7+ROW(A79)-1, "")</f>
        <v/>
      </c>
    </row>
    <row r="82" spans="1:35" x14ac:dyDescent="0.3">
      <c r="A82" s="1" t="str">
        <f>IF(Person1!$B$3+ROW(A80)-1&lt;=Person1!$C$3, Person1!$B$3+ROW(A80)-1, "")</f>
        <v/>
      </c>
      <c r="B82" s="1" t="str">
        <f>IF(Person1!$B$4+ROW(B80)-1&lt;=Person1!$C$4, Person1!$B$4+ROW(B80)-1, "")</f>
        <v/>
      </c>
      <c r="C82" s="1" t="str">
        <f>IF(Person1!$B$5+ROW(B80)-1&lt;=Person1!$C$5, Person1!$B$5+ROW(B80)-1, "")</f>
        <v/>
      </c>
      <c r="D82" s="1" t="str">
        <f>IF(Person1!$B$6+ROW(B80)-1&lt;=Person1!$C$6, Person1!$B$6+ROW(B80)-1, "")</f>
        <v/>
      </c>
      <c r="E82" s="1" t="str">
        <f>IF(Person1!$B$7+ROW(B80)-1&lt;=Person1!$C$7, Person1!$B$7+ROW(B80)-1, "")</f>
        <v/>
      </c>
      <c r="F82" s="1" t="str">
        <f>IF(Person1!$B$8+ROW(B80)-1&lt;=Person1!$C$8, Person1!$B$8+ROW(B80)-1, "")</f>
        <v/>
      </c>
      <c r="G82" s="1" t="str">
        <f>IF(Person1!$B$9+ROW(B80)-1&lt;=Person1!$C$9, Person1!$B$9+ROW(B80)-1, "")</f>
        <v/>
      </c>
      <c r="H82" s="1" t="str">
        <f>IF(Person1!$B$10+ROW(B80)-1&lt;=Person1!$C$10, Person1!$B$10+ROW(B80)-1, "")</f>
        <v/>
      </c>
      <c r="I82" s="1" t="str">
        <f>IF(Person1!$B$11+ROW(B80)-1&lt;=Person1!$C$11, Person1!$B$11+ROW(B80)-1, "")</f>
        <v/>
      </c>
      <c r="J82" s="1" t="str">
        <f>IF(Person1!$B$12+ROW(B80)-1&lt;=Person1!$C$12, Person1!$B$12+ROW(B80)-1, "")</f>
        <v/>
      </c>
      <c r="K82" s="1" t="str">
        <f>IF(Person1!$B$13+ROW(B80)-1&lt;=Person1!$C$13, Person1!$B$13+ROW(B80)-1, "")</f>
        <v/>
      </c>
      <c r="L82" s="1" t="str">
        <f>IF(Person1!$B$14+ROW(B80)-1&lt;=Person1!$C$14, Person1!$B$14+ROW(B80)-1, "")</f>
        <v/>
      </c>
      <c r="M82" s="1" t="str">
        <f>IF(Person1!$B$15+ROW(B80)-1&lt;=Person1!$C$15, Person1!$B$15+ROW(B80)-1, "")</f>
        <v/>
      </c>
      <c r="N82" s="1" t="str">
        <f>IF(Person1!$B$16+ROW(B80)-1&lt;=Person1!$C$16, Person1!$B$16+ROW(B80)-1, "")</f>
        <v/>
      </c>
      <c r="O82" s="1" t="str">
        <f>IF(Person1!$B$17+ROW(B80)-1&lt;=Person1!$C$17, Person1!$B$17+ROW(B80)-1, "")</f>
        <v/>
      </c>
      <c r="V82" s="1" t="str">
        <f>IF(Person1!$D$3+ROW(A80)-1&lt;=Person1!$E$3, Person1!$D$3+ROW(A80)-1, "")</f>
        <v/>
      </c>
      <c r="W82" s="1" t="str">
        <f>IF(Person1!$D$4+ROW(A80)-1&lt;=Person1!$E$4, Person1!$D$4+ROW(A80)-1, "")</f>
        <v/>
      </c>
      <c r="X82" s="1" t="str">
        <f>IF(Person1!$D$5+ROW(A80)-1&lt;=Person1!$E$5, Person1!$D$5+ROW(A80)-1, "")</f>
        <v/>
      </c>
      <c r="Y82" s="1" t="str">
        <f>IF(Person1!$D$6+ROW(A80)-1&lt;=Person1!$E$6, Person1!$D$6+ROW(A80)-1, "")</f>
        <v/>
      </c>
      <c r="Z82" s="1" t="str">
        <f>IF(Person1!$D$7+ROW(A80)-1&lt;=Person1!$E$7, Person1!$D$7+ROW(A80)-1, "")</f>
        <v/>
      </c>
      <c r="AA82" s="1" t="str">
        <f>IF(Person1!$D$8+ROW(A80)-1&lt;=Person1!$E$8, Person1!$D$8+ROW(A80)-1, "")</f>
        <v/>
      </c>
      <c r="AE82" s="1" t="str">
        <f>IF(Person1!$F$3+ROW(A80)-1&lt;=Person1!$G$3, Person1!$F$3+ROW(A80)-1, "")</f>
        <v/>
      </c>
      <c r="AF82" s="1" t="str">
        <f>IF(Person1!$F$4+ROW(A80)-1&lt;=Person1!$G$4, Person1!$F$4+ROW(A80)-1, "")</f>
        <v/>
      </c>
      <c r="AG82" s="1" t="str">
        <f>IF(Person1!$F$5+ROW(A80)-1&lt;=Person1!$G$5, Person1!$F$5+ROW(A80)-1, "")</f>
        <v/>
      </c>
      <c r="AH82" s="1" t="str">
        <f>IF(Person1!$F$6+ROW(A80)-1&lt;=Person1!$G$6, Person1!$F$6+ROW(A80)-1, "")</f>
        <v/>
      </c>
      <c r="AI82" s="1" t="str">
        <f>IF(Person1!$F$7+ROW(A80)-1&lt;=Person1!$G$7, Person1!$F$7+ROW(A80)-1, "")</f>
        <v/>
      </c>
    </row>
    <row r="83" spans="1:35" x14ac:dyDescent="0.3">
      <c r="A83" s="1" t="str">
        <f>IF(Person1!$B$3+ROW(A81)-1&lt;=Person1!$C$3, Person1!$B$3+ROW(A81)-1, "")</f>
        <v/>
      </c>
      <c r="B83" s="1" t="str">
        <f>IF(Person1!$B$4+ROW(B81)-1&lt;=Person1!$C$4, Person1!$B$4+ROW(B81)-1, "")</f>
        <v/>
      </c>
      <c r="C83" s="1" t="str">
        <f>IF(Person1!$B$5+ROW(B81)-1&lt;=Person1!$C$5, Person1!$B$5+ROW(B81)-1, "")</f>
        <v/>
      </c>
      <c r="D83" s="1" t="str">
        <f>IF(Person1!$B$6+ROW(B81)-1&lt;=Person1!$C$6, Person1!$B$6+ROW(B81)-1, "")</f>
        <v/>
      </c>
      <c r="E83" s="1" t="str">
        <f>IF(Person1!$B$7+ROW(B81)-1&lt;=Person1!$C$7, Person1!$B$7+ROW(B81)-1, "")</f>
        <v/>
      </c>
      <c r="F83" s="1" t="str">
        <f>IF(Person1!$B$8+ROW(B81)-1&lt;=Person1!$C$8, Person1!$B$8+ROW(B81)-1, "")</f>
        <v/>
      </c>
      <c r="G83" s="1" t="str">
        <f>IF(Person1!$B$9+ROW(B81)-1&lt;=Person1!$C$9, Person1!$B$9+ROW(B81)-1, "")</f>
        <v/>
      </c>
      <c r="H83" s="1" t="str">
        <f>IF(Person1!$B$10+ROW(B81)-1&lt;=Person1!$C$10, Person1!$B$10+ROW(B81)-1, "")</f>
        <v/>
      </c>
      <c r="I83" s="1" t="str">
        <f>IF(Person1!$B$11+ROW(B81)-1&lt;=Person1!$C$11, Person1!$B$11+ROW(B81)-1, "")</f>
        <v/>
      </c>
      <c r="J83" s="1" t="str">
        <f>IF(Person1!$B$12+ROW(B81)-1&lt;=Person1!$C$12, Person1!$B$12+ROW(B81)-1, "")</f>
        <v/>
      </c>
      <c r="K83" s="1" t="str">
        <f>IF(Person1!$B$13+ROW(B81)-1&lt;=Person1!$C$13, Person1!$B$13+ROW(B81)-1, "")</f>
        <v/>
      </c>
      <c r="L83" s="1" t="str">
        <f>IF(Person1!$B$14+ROW(B81)-1&lt;=Person1!$C$14, Person1!$B$14+ROW(B81)-1, "")</f>
        <v/>
      </c>
      <c r="M83" s="1" t="str">
        <f>IF(Person1!$B$15+ROW(B81)-1&lt;=Person1!$C$15, Person1!$B$15+ROW(B81)-1, "")</f>
        <v/>
      </c>
      <c r="N83" s="1" t="str">
        <f>IF(Person1!$B$16+ROW(B81)-1&lt;=Person1!$C$16, Person1!$B$16+ROW(B81)-1, "")</f>
        <v/>
      </c>
      <c r="O83" s="1" t="str">
        <f>IF(Person1!$B$17+ROW(B81)-1&lt;=Person1!$C$17, Person1!$B$17+ROW(B81)-1, "")</f>
        <v/>
      </c>
      <c r="V83" s="1" t="str">
        <f>IF(Person1!$D$3+ROW(A81)-1&lt;=Person1!$E$3, Person1!$D$3+ROW(A81)-1, "")</f>
        <v/>
      </c>
      <c r="W83" s="1" t="str">
        <f>IF(Person1!$D$4+ROW(A81)-1&lt;=Person1!$E$4, Person1!$D$4+ROW(A81)-1, "")</f>
        <v/>
      </c>
      <c r="X83" s="1" t="str">
        <f>IF(Person1!$D$5+ROW(A81)-1&lt;=Person1!$E$5, Person1!$D$5+ROW(A81)-1, "")</f>
        <v/>
      </c>
      <c r="Y83" s="1" t="str">
        <f>IF(Person1!$D$6+ROW(A81)-1&lt;=Person1!$E$6, Person1!$D$6+ROW(A81)-1, "")</f>
        <v/>
      </c>
      <c r="Z83" s="1" t="str">
        <f>IF(Person1!$D$7+ROW(A81)-1&lt;=Person1!$E$7, Person1!$D$7+ROW(A81)-1, "")</f>
        <v/>
      </c>
      <c r="AA83" s="1" t="str">
        <f>IF(Person1!$D$8+ROW(A81)-1&lt;=Person1!$E$8, Person1!$D$8+ROW(A81)-1, "")</f>
        <v/>
      </c>
      <c r="AE83" s="1" t="str">
        <f>IF(Person1!$F$3+ROW(A81)-1&lt;=Person1!$G$3, Person1!$F$3+ROW(A81)-1, "")</f>
        <v/>
      </c>
      <c r="AF83" s="1" t="str">
        <f>IF(Person1!$F$4+ROW(A81)-1&lt;=Person1!$G$4, Person1!$F$4+ROW(A81)-1, "")</f>
        <v/>
      </c>
      <c r="AG83" s="1" t="str">
        <f>IF(Person1!$F$5+ROW(A81)-1&lt;=Person1!$G$5, Person1!$F$5+ROW(A81)-1, "")</f>
        <v/>
      </c>
      <c r="AH83" s="1" t="str">
        <f>IF(Person1!$F$6+ROW(A81)-1&lt;=Person1!$G$6, Person1!$F$6+ROW(A81)-1, "")</f>
        <v/>
      </c>
      <c r="AI83" s="1" t="str">
        <f>IF(Person1!$F$7+ROW(A81)-1&lt;=Person1!$G$7, Person1!$F$7+ROW(A81)-1, "")</f>
        <v/>
      </c>
    </row>
    <row r="84" spans="1:35" x14ac:dyDescent="0.3">
      <c r="A84" s="1" t="str">
        <f>IF(Person1!$B$3+ROW(A82)-1&lt;=Person1!$C$3, Person1!$B$3+ROW(A82)-1, "")</f>
        <v/>
      </c>
      <c r="B84" s="1" t="str">
        <f>IF(Person1!$B$4+ROW(B82)-1&lt;=Person1!$C$4, Person1!$B$4+ROW(B82)-1, "")</f>
        <v/>
      </c>
      <c r="C84" s="1" t="str">
        <f>IF(Person1!$B$5+ROW(B82)-1&lt;=Person1!$C$5, Person1!$B$5+ROW(B82)-1, "")</f>
        <v/>
      </c>
      <c r="D84" s="1" t="str">
        <f>IF(Person1!$B$6+ROW(B82)-1&lt;=Person1!$C$6, Person1!$B$6+ROW(B82)-1, "")</f>
        <v/>
      </c>
      <c r="E84" s="1" t="str">
        <f>IF(Person1!$B$7+ROW(B82)-1&lt;=Person1!$C$7, Person1!$B$7+ROW(B82)-1, "")</f>
        <v/>
      </c>
      <c r="F84" s="1" t="str">
        <f>IF(Person1!$B$8+ROW(B82)-1&lt;=Person1!$C$8, Person1!$B$8+ROW(B82)-1, "")</f>
        <v/>
      </c>
      <c r="G84" s="1" t="str">
        <f>IF(Person1!$B$9+ROW(B82)-1&lt;=Person1!$C$9, Person1!$B$9+ROW(B82)-1, "")</f>
        <v/>
      </c>
      <c r="H84" s="1" t="str">
        <f>IF(Person1!$B$10+ROW(B82)-1&lt;=Person1!$C$10, Person1!$B$10+ROW(B82)-1, "")</f>
        <v/>
      </c>
      <c r="I84" s="1" t="str">
        <f>IF(Person1!$B$11+ROW(B82)-1&lt;=Person1!$C$11, Person1!$B$11+ROW(B82)-1, "")</f>
        <v/>
      </c>
      <c r="J84" s="1" t="str">
        <f>IF(Person1!$B$12+ROW(B82)-1&lt;=Person1!$C$12, Person1!$B$12+ROW(B82)-1, "")</f>
        <v/>
      </c>
      <c r="K84" s="1" t="str">
        <f>IF(Person1!$B$13+ROW(B82)-1&lt;=Person1!$C$13, Person1!$B$13+ROW(B82)-1, "")</f>
        <v/>
      </c>
      <c r="L84" s="1" t="str">
        <f>IF(Person1!$B$14+ROW(B82)-1&lt;=Person1!$C$14, Person1!$B$14+ROW(B82)-1, "")</f>
        <v/>
      </c>
      <c r="M84" s="1" t="str">
        <f>IF(Person1!$B$15+ROW(B82)-1&lt;=Person1!$C$15, Person1!$B$15+ROW(B82)-1, "")</f>
        <v/>
      </c>
      <c r="N84" s="1" t="str">
        <f>IF(Person1!$B$16+ROW(B82)-1&lt;=Person1!$C$16, Person1!$B$16+ROW(B82)-1, "")</f>
        <v/>
      </c>
      <c r="O84" s="1" t="str">
        <f>IF(Person1!$B$17+ROW(B82)-1&lt;=Person1!$C$17, Person1!$B$17+ROW(B82)-1, "")</f>
        <v/>
      </c>
      <c r="V84" s="1" t="str">
        <f>IF(Person1!$D$3+ROW(A82)-1&lt;=Person1!$E$3, Person1!$D$3+ROW(A82)-1, "")</f>
        <v/>
      </c>
      <c r="W84" s="1" t="str">
        <f>IF(Person1!$D$4+ROW(A82)-1&lt;=Person1!$E$4, Person1!$D$4+ROW(A82)-1, "")</f>
        <v/>
      </c>
      <c r="X84" s="1" t="str">
        <f>IF(Person1!$D$5+ROW(A82)-1&lt;=Person1!$E$5, Person1!$D$5+ROW(A82)-1, "")</f>
        <v/>
      </c>
      <c r="Y84" s="1" t="str">
        <f>IF(Person1!$D$6+ROW(A82)-1&lt;=Person1!$E$6, Person1!$D$6+ROW(A82)-1, "")</f>
        <v/>
      </c>
      <c r="Z84" s="1" t="str">
        <f>IF(Person1!$D$7+ROW(A82)-1&lt;=Person1!$E$7, Person1!$D$7+ROW(A82)-1, "")</f>
        <v/>
      </c>
      <c r="AA84" s="1" t="str">
        <f>IF(Person1!$D$8+ROW(A82)-1&lt;=Person1!$E$8, Person1!$D$8+ROW(A82)-1, "")</f>
        <v/>
      </c>
      <c r="AE84" s="1" t="str">
        <f>IF(Person1!$F$3+ROW(A82)-1&lt;=Person1!$G$3, Person1!$F$3+ROW(A82)-1, "")</f>
        <v/>
      </c>
      <c r="AF84" s="1" t="str">
        <f>IF(Person1!$F$4+ROW(A82)-1&lt;=Person1!$G$4, Person1!$F$4+ROW(A82)-1, "")</f>
        <v/>
      </c>
      <c r="AG84" s="1" t="str">
        <f>IF(Person1!$F$5+ROW(A82)-1&lt;=Person1!$G$5, Person1!$F$5+ROW(A82)-1, "")</f>
        <v/>
      </c>
      <c r="AH84" s="1" t="str">
        <f>IF(Person1!$F$6+ROW(A82)-1&lt;=Person1!$G$6, Person1!$F$6+ROW(A82)-1, "")</f>
        <v/>
      </c>
      <c r="AI84" s="1" t="str">
        <f>IF(Person1!$F$7+ROW(A82)-1&lt;=Person1!$G$7, Person1!$F$7+ROW(A82)-1, "")</f>
        <v/>
      </c>
    </row>
    <row r="85" spans="1:35" x14ac:dyDescent="0.3">
      <c r="A85" s="1" t="str">
        <f>IF(Person1!$B$3+ROW(A83)-1&lt;=Person1!$C$3, Person1!$B$3+ROW(A83)-1, "")</f>
        <v/>
      </c>
      <c r="B85" s="1" t="str">
        <f>IF(Person1!$B$4+ROW(B83)-1&lt;=Person1!$C$4, Person1!$B$4+ROW(B83)-1, "")</f>
        <v/>
      </c>
      <c r="C85" s="1" t="str">
        <f>IF(Person1!$B$5+ROW(B83)-1&lt;=Person1!$C$5, Person1!$B$5+ROW(B83)-1, "")</f>
        <v/>
      </c>
      <c r="D85" s="1" t="str">
        <f>IF(Person1!$B$6+ROW(B83)-1&lt;=Person1!$C$6, Person1!$B$6+ROW(B83)-1, "")</f>
        <v/>
      </c>
      <c r="E85" s="1" t="str">
        <f>IF(Person1!$B$7+ROW(B83)-1&lt;=Person1!$C$7, Person1!$B$7+ROW(B83)-1, "")</f>
        <v/>
      </c>
      <c r="F85" s="1" t="str">
        <f>IF(Person1!$B$8+ROW(B83)-1&lt;=Person1!$C$8, Person1!$B$8+ROW(B83)-1, "")</f>
        <v/>
      </c>
      <c r="G85" s="1" t="str">
        <f>IF(Person1!$B$9+ROW(B83)-1&lt;=Person1!$C$9, Person1!$B$9+ROW(B83)-1, "")</f>
        <v/>
      </c>
      <c r="H85" s="1" t="str">
        <f>IF(Person1!$B$10+ROW(B83)-1&lt;=Person1!$C$10, Person1!$B$10+ROW(B83)-1, "")</f>
        <v/>
      </c>
      <c r="I85" s="1" t="str">
        <f>IF(Person1!$B$11+ROW(B83)-1&lt;=Person1!$C$11, Person1!$B$11+ROW(B83)-1, "")</f>
        <v/>
      </c>
      <c r="J85" s="1" t="str">
        <f>IF(Person1!$B$12+ROW(B83)-1&lt;=Person1!$C$12, Person1!$B$12+ROW(B83)-1, "")</f>
        <v/>
      </c>
      <c r="K85" s="1" t="str">
        <f>IF(Person1!$B$13+ROW(B83)-1&lt;=Person1!$C$13, Person1!$B$13+ROW(B83)-1, "")</f>
        <v/>
      </c>
      <c r="L85" s="1" t="str">
        <f>IF(Person1!$B$14+ROW(B83)-1&lt;=Person1!$C$14, Person1!$B$14+ROW(B83)-1, "")</f>
        <v/>
      </c>
      <c r="M85" s="1" t="str">
        <f>IF(Person1!$B$15+ROW(B83)-1&lt;=Person1!$C$15, Person1!$B$15+ROW(B83)-1, "")</f>
        <v/>
      </c>
      <c r="N85" s="1" t="str">
        <f>IF(Person1!$B$16+ROW(B83)-1&lt;=Person1!$C$16, Person1!$B$16+ROW(B83)-1, "")</f>
        <v/>
      </c>
      <c r="O85" s="1" t="str">
        <f>IF(Person1!$B$17+ROW(B83)-1&lt;=Person1!$C$17, Person1!$B$17+ROW(B83)-1, "")</f>
        <v/>
      </c>
      <c r="V85" s="1" t="str">
        <f>IF(Person1!$D$3+ROW(A83)-1&lt;=Person1!$E$3, Person1!$D$3+ROW(A83)-1, "")</f>
        <v/>
      </c>
      <c r="W85" s="1" t="str">
        <f>IF(Person1!$D$4+ROW(A83)-1&lt;=Person1!$E$4, Person1!$D$4+ROW(A83)-1, "")</f>
        <v/>
      </c>
      <c r="X85" s="1" t="str">
        <f>IF(Person1!$D$5+ROW(A83)-1&lt;=Person1!$E$5, Person1!$D$5+ROW(A83)-1, "")</f>
        <v/>
      </c>
      <c r="Y85" s="1" t="str">
        <f>IF(Person1!$D$6+ROW(A83)-1&lt;=Person1!$E$6, Person1!$D$6+ROW(A83)-1, "")</f>
        <v/>
      </c>
      <c r="Z85" s="1" t="str">
        <f>IF(Person1!$D$7+ROW(A83)-1&lt;=Person1!$E$7, Person1!$D$7+ROW(A83)-1, "")</f>
        <v/>
      </c>
      <c r="AA85" s="1" t="str">
        <f>IF(Person1!$D$8+ROW(A83)-1&lt;=Person1!$E$8, Person1!$D$8+ROW(A83)-1, "")</f>
        <v/>
      </c>
      <c r="AE85" s="1" t="str">
        <f>IF(Person1!$F$3+ROW(A83)-1&lt;=Person1!$G$3, Person1!$F$3+ROW(A83)-1, "")</f>
        <v/>
      </c>
      <c r="AF85" s="1" t="str">
        <f>IF(Person1!$F$4+ROW(A83)-1&lt;=Person1!$G$4, Person1!$F$4+ROW(A83)-1, "")</f>
        <v/>
      </c>
      <c r="AG85" s="1" t="str">
        <f>IF(Person1!$F$5+ROW(A83)-1&lt;=Person1!$G$5, Person1!$F$5+ROW(A83)-1, "")</f>
        <v/>
      </c>
      <c r="AH85" s="1" t="str">
        <f>IF(Person1!$F$6+ROW(A83)-1&lt;=Person1!$G$6, Person1!$F$6+ROW(A83)-1, "")</f>
        <v/>
      </c>
      <c r="AI85" s="1" t="str">
        <f>IF(Person1!$F$7+ROW(A83)-1&lt;=Person1!$G$7, Person1!$F$7+ROW(A83)-1, "")</f>
        <v/>
      </c>
    </row>
    <row r="86" spans="1:35" x14ac:dyDescent="0.3">
      <c r="A86" s="1" t="str">
        <f>IF(Person1!$B$3+ROW(A84)-1&lt;=Person1!$C$3, Person1!$B$3+ROW(A84)-1, "")</f>
        <v/>
      </c>
      <c r="B86" s="1" t="str">
        <f>IF(Person1!$B$4+ROW(B84)-1&lt;=Person1!$C$4, Person1!$B$4+ROW(B84)-1, "")</f>
        <v/>
      </c>
      <c r="C86" s="1" t="str">
        <f>IF(Person1!$B$5+ROW(B84)-1&lt;=Person1!$C$5, Person1!$B$5+ROW(B84)-1, "")</f>
        <v/>
      </c>
      <c r="D86" s="1" t="str">
        <f>IF(Person1!$B$6+ROW(B84)-1&lt;=Person1!$C$6, Person1!$B$6+ROW(B84)-1, "")</f>
        <v/>
      </c>
      <c r="E86" s="1" t="str">
        <f>IF(Person1!$B$7+ROW(B84)-1&lt;=Person1!$C$7, Person1!$B$7+ROW(B84)-1, "")</f>
        <v/>
      </c>
      <c r="F86" s="1" t="str">
        <f>IF(Person1!$B$8+ROW(B84)-1&lt;=Person1!$C$8, Person1!$B$8+ROW(B84)-1, "")</f>
        <v/>
      </c>
      <c r="G86" s="1" t="str">
        <f>IF(Person1!$B$9+ROW(B84)-1&lt;=Person1!$C$9, Person1!$B$9+ROW(B84)-1, "")</f>
        <v/>
      </c>
      <c r="H86" s="1" t="str">
        <f>IF(Person1!$B$10+ROW(B84)-1&lt;=Person1!$C$10, Person1!$B$10+ROW(B84)-1, "")</f>
        <v/>
      </c>
      <c r="I86" s="1" t="str">
        <f>IF(Person1!$B$11+ROW(B84)-1&lt;=Person1!$C$11, Person1!$B$11+ROW(B84)-1, "")</f>
        <v/>
      </c>
      <c r="J86" s="1" t="str">
        <f>IF(Person1!$B$12+ROW(B84)-1&lt;=Person1!$C$12, Person1!$B$12+ROW(B84)-1, "")</f>
        <v/>
      </c>
      <c r="K86" s="1" t="str">
        <f>IF(Person1!$B$13+ROW(B84)-1&lt;=Person1!$C$13, Person1!$B$13+ROW(B84)-1, "")</f>
        <v/>
      </c>
      <c r="L86" s="1" t="str">
        <f>IF(Person1!$B$14+ROW(B84)-1&lt;=Person1!$C$14, Person1!$B$14+ROW(B84)-1, "")</f>
        <v/>
      </c>
      <c r="M86" s="1" t="str">
        <f>IF(Person1!$B$15+ROW(B84)-1&lt;=Person1!$C$15, Person1!$B$15+ROW(B84)-1, "")</f>
        <v/>
      </c>
      <c r="N86" s="1" t="str">
        <f>IF(Person1!$B$16+ROW(B84)-1&lt;=Person1!$C$16, Person1!$B$16+ROW(B84)-1, "")</f>
        <v/>
      </c>
      <c r="O86" s="1" t="str">
        <f>IF(Person1!$B$17+ROW(B84)-1&lt;=Person1!$C$17, Person1!$B$17+ROW(B84)-1, "")</f>
        <v/>
      </c>
      <c r="V86" s="1" t="str">
        <f>IF(Person1!$D$3+ROW(A84)-1&lt;=Person1!$E$3, Person1!$D$3+ROW(A84)-1, "")</f>
        <v/>
      </c>
      <c r="W86" s="1" t="str">
        <f>IF(Person1!$D$4+ROW(A84)-1&lt;=Person1!$E$4, Person1!$D$4+ROW(A84)-1, "")</f>
        <v/>
      </c>
      <c r="X86" s="1" t="str">
        <f>IF(Person1!$D$5+ROW(A84)-1&lt;=Person1!$E$5, Person1!$D$5+ROW(A84)-1, "")</f>
        <v/>
      </c>
      <c r="Y86" s="1" t="str">
        <f>IF(Person1!$D$6+ROW(A84)-1&lt;=Person1!$E$6, Person1!$D$6+ROW(A84)-1, "")</f>
        <v/>
      </c>
      <c r="Z86" s="1" t="str">
        <f>IF(Person1!$D$7+ROW(A84)-1&lt;=Person1!$E$7, Person1!$D$7+ROW(A84)-1, "")</f>
        <v/>
      </c>
      <c r="AA86" s="1" t="str">
        <f>IF(Person1!$D$8+ROW(A84)-1&lt;=Person1!$E$8, Person1!$D$8+ROW(A84)-1, "")</f>
        <v/>
      </c>
      <c r="AE86" s="1" t="str">
        <f>IF(Person1!$F$3+ROW(A84)-1&lt;=Person1!$G$3, Person1!$F$3+ROW(A84)-1, "")</f>
        <v/>
      </c>
      <c r="AF86" s="1" t="str">
        <f>IF(Person1!$F$4+ROW(A84)-1&lt;=Person1!$G$4, Person1!$F$4+ROW(A84)-1, "")</f>
        <v/>
      </c>
      <c r="AG86" s="1" t="str">
        <f>IF(Person1!$F$5+ROW(A84)-1&lt;=Person1!$G$5, Person1!$F$5+ROW(A84)-1, "")</f>
        <v/>
      </c>
      <c r="AH86" s="1" t="str">
        <f>IF(Person1!$F$6+ROW(A84)-1&lt;=Person1!$G$6, Person1!$F$6+ROW(A84)-1, "")</f>
        <v/>
      </c>
      <c r="AI86" s="1" t="str">
        <f>IF(Person1!$F$7+ROW(A84)-1&lt;=Person1!$G$7, Person1!$F$7+ROW(A84)-1, "")</f>
        <v/>
      </c>
    </row>
    <row r="87" spans="1:35" x14ac:dyDescent="0.3">
      <c r="A87" s="1" t="str">
        <f>IF(Person1!$B$3+ROW(A85)-1&lt;=Person1!$C$3, Person1!$B$3+ROW(A85)-1, "")</f>
        <v/>
      </c>
      <c r="B87" s="1" t="str">
        <f>IF(Person1!$B$4+ROW(B85)-1&lt;=Person1!$C$4, Person1!$B$4+ROW(B85)-1, "")</f>
        <v/>
      </c>
      <c r="C87" s="1" t="str">
        <f>IF(Person1!$B$5+ROW(B85)-1&lt;=Person1!$C$5, Person1!$B$5+ROW(B85)-1, "")</f>
        <v/>
      </c>
      <c r="D87" s="1" t="str">
        <f>IF(Person1!$B$6+ROW(B85)-1&lt;=Person1!$C$6, Person1!$B$6+ROW(B85)-1, "")</f>
        <v/>
      </c>
      <c r="E87" s="1" t="str">
        <f>IF(Person1!$B$7+ROW(B85)-1&lt;=Person1!$C$7, Person1!$B$7+ROW(B85)-1, "")</f>
        <v/>
      </c>
      <c r="F87" s="1" t="str">
        <f>IF(Person1!$B$8+ROW(B85)-1&lt;=Person1!$C$8, Person1!$B$8+ROW(B85)-1, "")</f>
        <v/>
      </c>
      <c r="G87" s="1" t="str">
        <f>IF(Person1!$B$9+ROW(B85)-1&lt;=Person1!$C$9, Person1!$B$9+ROW(B85)-1, "")</f>
        <v/>
      </c>
      <c r="H87" s="1" t="str">
        <f>IF(Person1!$B$10+ROW(B85)-1&lt;=Person1!$C$10, Person1!$B$10+ROW(B85)-1, "")</f>
        <v/>
      </c>
      <c r="I87" s="1" t="str">
        <f>IF(Person1!$B$11+ROW(B85)-1&lt;=Person1!$C$11, Person1!$B$11+ROW(B85)-1, "")</f>
        <v/>
      </c>
      <c r="J87" s="1" t="str">
        <f>IF(Person1!$B$12+ROW(B85)-1&lt;=Person1!$C$12, Person1!$B$12+ROW(B85)-1, "")</f>
        <v/>
      </c>
      <c r="K87" s="1" t="str">
        <f>IF(Person1!$B$13+ROW(B85)-1&lt;=Person1!$C$13, Person1!$B$13+ROW(B85)-1, "")</f>
        <v/>
      </c>
      <c r="L87" s="1" t="str">
        <f>IF(Person1!$B$14+ROW(B85)-1&lt;=Person1!$C$14, Person1!$B$14+ROW(B85)-1, "")</f>
        <v/>
      </c>
      <c r="M87" s="1" t="str">
        <f>IF(Person1!$B$15+ROW(B85)-1&lt;=Person1!$C$15, Person1!$B$15+ROW(B85)-1, "")</f>
        <v/>
      </c>
      <c r="N87" s="1" t="str">
        <f>IF(Person1!$B$16+ROW(B85)-1&lt;=Person1!$C$16, Person1!$B$16+ROW(B85)-1, "")</f>
        <v/>
      </c>
      <c r="O87" s="1" t="str">
        <f>IF(Person1!$B$17+ROW(B85)-1&lt;=Person1!$C$17, Person1!$B$17+ROW(B85)-1, "")</f>
        <v/>
      </c>
      <c r="V87" s="1" t="str">
        <f>IF(Person1!$D$3+ROW(A85)-1&lt;=Person1!$E$3, Person1!$D$3+ROW(A85)-1, "")</f>
        <v/>
      </c>
      <c r="W87" s="1" t="str">
        <f>IF(Person1!$D$4+ROW(A85)-1&lt;=Person1!$E$4, Person1!$D$4+ROW(A85)-1, "")</f>
        <v/>
      </c>
      <c r="X87" s="1" t="str">
        <f>IF(Person1!$D$5+ROW(A85)-1&lt;=Person1!$E$5, Person1!$D$5+ROW(A85)-1, "")</f>
        <v/>
      </c>
      <c r="Y87" s="1" t="str">
        <f>IF(Person1!$D$6+ROW(A85)-1&lt;=Person1!$E$6, Person1!$D$6+ROW(A85)-1, "")</f>
        <v/>
      </c>
      <c r="Z87" s="1" t="str">
        <f>IF(Person1!$D$7+ROW(A85)-1&lt;=Person1!$E$7, Person1!$D$7+ROW(A85)-1, "")</f>
        <v/>
      </c>
      <c r="AA87" s="1" t="str">
        <f>IF(Person1!$D$8+ROW(A85)-1&lt;=Person1!$E$8, Person1!$D$8+ROW(A85)-1, "")</f>
        <v/>
      </c>
      <c r="AE87" s="1" t="str">
        <f>IF(Person1!$F$3+ROW(A85)-1&lt;=Person1!$G$3, Person1!$F$3+ROW(A85)-1, "")</f>
        <v/>
      </c>
      <c r="AF87" s="1" t="str">
        <f>IF(Person1!$F$4+ROW(A85)-1&lt;=Person1!$G$4, Person1!$F$4+ROW(A85)-1, "")</f>
        <v/>
      </c>
      <c r="AG87" s="1" t="str">
        <f>IF(Person1!$F$5+ROW(A85)-1&lt;=Person1!$G$5, Person1!$F$5+ROW(A85)-1, "")</f>
        <v/>
      </c>
      <c r="AH87" s="1" t="str">
        <f>IF(Person1!$F$6+ROW(A85)-1&lt;=Person1!$G$6, Person1!$F$6+ROW(A85)-1, "")</f>
        <v/>
      </c>
      <c r="AI87" s="1" t="str">
        <f>IF(Person1!$F$7+ROW(A85)-1&lt;=Person1!$G$7, Person1!$F$7+ROW(A85)-1, "")</f>
        <v/>
      </c>
    </row>
    <row r="88" spans="1:35" x14ac:dyDescent="0.3">
      <c r="A88" s="1" t="str">
        <f>IF(Person1!$B$3+ROW(A86)-1&lt;=Person1!$C$3, Person1!$B$3+ROW(A86)-1, "")</f>
        <v/>
      </c>
      <c r="B88" s="1" t="str">
        <f>IF(Person1!$B$4+ROW(B86)-1&lt;=Person1!$C$4, Person1!$B$4+ROW(B86)-1, "")</f>
        <v/>
      </c>
      <c r="C88" s="1" t="str">
        <f>IF(Person1!$B$5+ROW(B86)-1&lt;=Person1!$C$5, Person1!$B$5+ROW(B86)-1, "")</f>
        <v/>
      </c>
      <c r="D88" s="1" t="str">
        <f>IF(Person1!$B$6+ROW(B86)-1&lt;=Person1!$C$6, Person1!$B$6+ROW(B86)-1, "")</f>
        <v/>
      </c>
      <c r="E88" s="1" t="str">
        <f>IF(Person1!$B$7+ROW(B86)-1&lt;=Person1!$C$7, Person1!$B$7+ROW(B86)-1, "")</f>
        <v/>
      </c>
      <c r="F88" s="1" t="str">
        <f>IF(Person1!$B$8+ROW(B86)-1&lt;=Person1!$C$8, Person1!$B$8+ROW(B86)-1, "")</f>
        <v/>
      </c>
      <c r="G88" s="1" t="str">
        <f>IF(Person1!$B$9+ROW(B86)-1&lt;=Person1!$C$9, Person1!$B$9+ROW(B86)-1, "")</f>
        <v/>
      </c>
      <c r="H88" s="1" t="str">
        <f>IF(Person1!$B$10+ROW(B86)-1&lt;=Person1!$C$10, Person1!$B$10+ROW(B86)-1, "")</f>
        <v/>
      </c>
      <c r="I88" s="1" t="str">
        <f>IF(Person1!$B$11+ROW(B86)-1&lt;=Person1!$C$11, Person1!$B$11+ROW(B86)-1, "")</f>
        <v/>
      </c>
      <c r="J88" s="1" t="str">
        <f>IF(Person1!$B$12+ROW(B86)-1&lt;=Person1!$C$12, Person1!$B$12+ROW(B86)-1, "")</f>
        <v/>
      </c>
      <c r="K88" s="1" t="str">
        <f>IF(Person1!$B$13+ROW(B86)-1&lt;=Person1!$C$13, Person1!$B$13+ROW(B86)-1, "")</f>
        <v/>
      </c>
      <c r="L88" s="1" t="str">
        <f>IF(Person1!$B$14+ROW(B86)-1&lt;=Person1!$C$14, Person1!$B$14+ROW(B86)-1, "")</f>
        <v/>
      </c>
      <c r="M88" s="1" t="str">
        <f>IF(Person1!$B$15+ROW(B86)-1&lt;=Person1!$C$15, Person1!$B$15+ROW(B86)-1, "")</f>
        <v/>
      </c>
      <c r="N88" s="1" t="str">
        <f>IF(Person1!$B$16+ROW(B86)-1&lt;=Person1!$C$16, Person1!$B$16+ROW(B86)-1, "")</f>
        <v/>
      </c>
      <c r="O88" s="1" t="str">
        <f>IF(Person1!$B$17+ROW(B86)-1&lt;=Person1!$C$17, Person1!$B$17+ROW(B86)-1, "")</f>
        <v/>
      </c>
      <c r="V88" s="1" t="str">
        <f>IF(Person1!$D$3+ROW(A86)-1&lt;=Person1!$E$3, Person1!$D$3+ROW(A86)-1, "")</f>
        <v/>
      </c>
      <c r="W88" s="1" t="str">
        <f>IF(Person1!$D$4+ROW(A86)-1&lt;=Person1!$E$4, Person1!$D$4+ROW(A86)-1, "")</f>
        <v/>
      </c>
      <c r="X88" s="1" t="str">
        <f>IF(Person1!$D$5+ROW(A86)-1&lt;=Person1!$E$5, Person1!$D$5+ROW(A86)-1, "")</f>
        <v/>
      </c>
      <c r="Y88" s="1" t="str">
        <f>IF(Person1!$D$6+ROW(A86)-1&lt;=Person1!$E$6, Person1!$D$6+ROW(A86)-1, "")</f>
        <v/>
      </c>
      <c r="Z88" s="1" t="str">
        <f>IF(Person1!$D$7+ROW(A86)-1&lt;=Person1!$E$7, Person1!$D$7+ROW(A86)-1, "")</f>
        <v/>
      </c>
      <c r="AA88" s="1" t="str">
        <f>IF(Person1!$D$8+ROW(A86)-1&lt;=Person1!$E$8, Person1!$D$8+ROW(A86)-1, "")</f>
        <v/>
      </c>
      <c r="AE88" s="1" t="str">
        <f>IF(Person1!$F$3+ROW(A86)-1&lt;=Person1!$G$3, Person1!$F$3+ROW(A86)-1, "")</f>
        <v/>
      </c>
      <c r="AF88" s="1" t="str">
        <f>IF(Person1!$F$4+ROW(A86)-1&lt;=Person1!$G$4, Person1!$F$4+ROW(A86)-1, "")</f>
        <v/>
      </c>
      <c r="AG88" s="1" t="str">
        <f>IF(Person1!$F$5+ROW(A86)-1&lt;=Person1!$G$5, Person1!$F$5+ROW(A86)-1, "")</f>
        <v/>
      </c>
      <c r="AH88" s="1" t="str">
        <f>IF(Person1!$F$6+ROW(A86)-1&lt;=Person1!$G$6, Person1!$F$6+ROW(A86)-1, "")</f>
        <v/>
      </c>
      <c r="AI88" s="1" t="str">
        <f>IF(Person1!$F$7+ROW(A86)-1&lt;=Person1!$G$7, Person1!$F$7+ROW(A86)-1, "")</f>
        <v/>
      </c>
    </row>
    <row r="89" spans="1:35" x14ac:dyDescent="0.3">
      <c r="A89" s="1" t="str">
        <f>IF(Person1!$B$3+ROW(A87)-1&lt;=Person1!$C$3, Person1!$B$3+ROW(A87)-1, "")</f>
        <v/>
      </c>
      <c r="B89" s="1" t="str">
        <f>IF(Person1!$B$4+ROW(B87)-1&lt;=Person1!$C$4, Person1!$B$4+ROW(B87)-1, "")</f>
        <v/>
      </c>
      <c r="C89" s="1" t="str">
        <f>IF(Person1!$B$5+ROW(B87)-1&lt;=Person1!$C$5, Person1!$B$5+ROW(B87)-1, "")</f>
        <v/>
      </c>
      <c r="D89" s="1" t="str">
        <f>IF(Person1!$B$6+ROW(B87)-1&lt;=Person1!$C$6, Person1!$B$6+ROW(B87)-1, "")</f>
        <v/>
      </c>
      <c r="E89" s="1" t="str">
        <f>IF(Person1!$B$7+ROW(B87)-1&lt;=Person1!$C$7, Person1!$B$7+ROW(B87)-1, "")</f>
        <v/>
      </c>
      <c r="F89" s="1" t="str">
        <f>IF(Person1!$B$8+ROW(B87)-1&lt;=Person1!$C$8, Person1!$B$8+ROW(B87)-1, "")</f>
        <v/>
      </c>
      <c r="G89" s="1" t="str">
        <f>IF(Person1!$B$9+ROW(B87)-1&lt;=Person1!$C$9, Person1!$B$9+ROW(B87)-1, "")</f>
        <v/>
      </c>
      <c r="H89" s="1" t="str">
        <f>IF(Person1!$B$10+ROW(B87)-1&lt;=Person1!$C$10, Person1!$B$10+ROW(B87)-1, "")</f>
        <v/>
      </c>
      <c r="I89" s="1" t="str">
        <f>IF(Person1!$B$11+ROW(B87)-1&lt;=Person1!$C$11, Person1!$B$11+ROW(B87)-1, "")</f>
        <v/>
      </c>
      <c r="J89" s="1" t="str">
        <f>IF(Person1!$B$12+ROW(B87)-1&lt;=Person1!$C$12, Person1!$B$12+ROW(B87)-1, "")</f>
        <v/>
      </c>
      <c r="K89" s="1" t="str">
        <f>IF(Person1!$B$13+ROW(B87)-1&lt;=Person1!$C$13, Person1!$B$13+ROW(B87)-1, "")</f>
        <v/>
      </c>
      <c r="L89" s="1" t="str">
        <f>IF(Person1!$B$14+ROW(B87)-1&lt;=Person1!$C$14, Person1!$B$14+ROW(B87)-1, "")</f>
        <v/>
      </c>
      <c r="M89" s="1" t="str">
        <f>IF(Person1!$B$15+ROW(B87)-1&lt;=Person1!$C$15, Person1!$B$15+ROW(B87)-1, "")</f>
        <v/>
      </c>
      <c r="N89" s="1" t="str">
        <f>IF(Person1!$B$16+ROW(B87)-1&lt;=Person1!$C$16, Person1!$B$16+ROW(B87)-1, "")</f>
        <v/>
      </c>
      <c r="O89" s="1" t="str">
        <f>IF(Person1!$B$17+ROW(B87)-1&lt;=Person1!$C$17, Person1!$B$17+ROW(B87)-1, "")</f>
        <v/>
      </c>
      <c r="V89" s="1" t="str">
        <f>IF(Person1!$D$3+ROW(A87)-1&lt;=Person1!$E$3, Person1!$D$3+ROW(A87)-1, "")</f>
        <v/>
      </c>
      <c r="W89" s="1" t="str">
        <f>IF(Person1!$D$4+ROW(A87)-1&lt;=Person1!$E$4, Person1!$D$4+ROW(A87)-1, "")</f>
        <v/>
      </c>
      <c r="X89" s="1" t="str">
        <f>IF(Person1!$D$5+ROW(A87)-1&lt;=Person1!$E$5, Person1!$D$5+ROW(A87)-1, "")</f>
        <v/>
      </c>
      <c r="Y89" s="1" t="str">
        <f>IF(Person1!$D$6+ROW(A87)-1&lt;=Person1!$E$6, Person1!$D$6+ROW(A87)-1, "")</f>
        <v/>
      </c>
      <c r="Z89" s="1" t="str">
        <f>IF(Person1!$D$7+ROW(A87)-1&lt;=Person1!$E$7, Person1!$D$7+ROW(A87)-1, "")</f>
        <v/>
      </c>
      <c r="AA89" s="1" t="str">
        <f>IF(Person1!$D$8+ROW(A87)-1&lt;=Person1!$E$8, Person1!$D$8+ROW(A87)-1, "")</f>
        <v/>
      </c>
      <c r="AE89" s="1" t="str">
        <f>IF(Person1!$F$3+ROW(A87)-1&lt;=Person1!$G$3, Person1!$F$3+ROW(A87)-1, "")</f>
        <v/>
      </c>
      <c r="AF89" s="1" t="str">
        <f>IF(Person1!$F$4+ROW(A87)-1&lt;=Person1!$G$4, Person1!$F$4+ROW(A87)-1, "")</f>
        <v/>
      </c>
      <c r="AG89" s="1" t="str">
        <f>IF(Person1!$F$5+ROW(A87)-1&lt;=Person1!$G$5, Person1!$F$5+ROW(A87)-1, "")</f>
        <v/>
      </c>
      <c r="AH89" s="1" t="str">
        <f>IF(Person1!$F$6+ROW(A87)-1&lt;=Person1!$G$6, Person1!$F$6+ROW(A87)-1, "")</f>
        <v/>
      </c>
      <c r="AI89" s="1" t="str">
        <f>IF(Person1!$F$7+ROW(A87)-1&lt;=Person1!$G$7, Person1!$F$7+ROW(A87)-1, "")</f>
        <v/>
      </c>
    </row>
    <row r="90" spans="1:35" x14ac:dyDescent="0.3">
      <c r="A90" s="1" t="str">
        <f>IF(Person1!$B$3+ROW(A88)-1&lt;=Person1!$C$3, Person1!$B$3+ROW(A88)-1, "")</f>
        <v/>
      </c>
      <c r="B90" s="1" t="str">
        <f>IF(Person1!$B$4+ROW(B88)-1&lt;=Person1!$C$4, Person1!$B$4+ROW(B88)-1, "")</f>
        <v/>
      </c>
      <c r="C90" s="1" t="str">
        <f>IF(Person1!$B$5+ROW(B88)-1&lt;=Person1!$C$5, Person1!$B$5+ROW(B88)-1, "")</f>
        <v/>
      </c>
      <c r="D90" s="1" t="str">
        <f>IF(Person1!$B$6+ROW(B88)-1&lt;=Person1!$C$6, Person1!$B$6+ROW(B88)-1, "")</f>
        <v/>
      </c>
      <c r="E90" s="1" t="str">
        <f>IF(Person1!$B$7+ROW(B88)-1&lt;=Person1!$C$7, Person1!$B$7+ROW(B88)-1, "")</f>
        <v/>
      </c>
      <c r="F90" s="1" t="str">
        <f>IF(Person1!$B$8+ROW(B88)-1&lt;=Person1!$C$8, Person1!$B$8+ROW(B88)-1, "")</f>
        <v/>
      </c>
      <c r="G90" s="1" t="str">
        <f>IF(Person1!$B$9+ROW(B88)-1&lt;=Person1!$C$9, Person1!$B$9+ROW(B88)-1, "")</f>
        <v/>
      </c>
      <c r="H90" s="1" t="str">
        <f>IF(Person1!$B$10+ROW(B88)-1&lt;=Person1!$C$10, Person1!$B$10+ROW(B88)-1, "")</f>
        <v/>
      </c>
      <c r="I90" s="1" t="str">
        <f>IF(Person1!$B$11+ROW(B88)-1&lt;=Person1!$C$11, Person1!$B$11+ROW(B88)-1, "")</f>
        <v/>
      </c>
      <c r="J90" s="1" t="str">
        <f>IF(Person1!$B$12+ROW(B88)-1&lt;=Person1!$C$12, Person1!$B$12+ROW(B88)-1, "")</f>
        <v/>
      </c>
      <c r="K90" s="1" t="str">
        <f>IF(Person1!$B$13+ROW(B88)-1&lt;=Person1!$C$13, Person1!$B$13+ROW(B88)-1, "")</f>
        <v/>
      </c>
      <c r="L90" s="1" t="str">
        <f>IF(Person1!$B$14+ROW(B88)-1&lt;=Person1!$C$14, Person1!$B$14+ROW(B88)-1, "")</f>
        <v/>
      </c>
      <c r="M90" s="1" t="str">
        <f>IF(Person1!$B$15+ROW(B88)-1&lt;=Person1!$C$15, Person1!$B$15+ROW(B88)-1, "")</f>
        <v/>
      </c>
      <c r="N90" s="1" t="str">
        <f>IF(Person1!$B$16+ROW(B88)-1&lt;=Person1!$C$16, Person1!$B$16+ROW(B88)-1, "")</f>
        <v/>
      </c>
      <c r="O90" s="1" t="str">
        <f>IF(Person1!$B$17+ROW(B88)-1&lt;=Person1!$C$17, Person1!$B$17+ROW(B88)-1, "")</f>
        <v/>
      </c>
      <c r="V90" s="1" t="str">
        <f>IF(Person1!$D$3+ROW(A88)-1&lt;=Person1!$E$3, Person1!$D$3+ROW(A88)-1, "")</f>
        <v/>
      </c>
      <c r="W90" s="1" t="str">
        <f>IF(Person1!$D$4+ROW(A88)-1&lt;=Person1!$E$4, Person1!$D$4+ROW(A88)-1, "")</f>
        <v/>
      </c>
      <c r="X90" s="1" t="str">
        <f>IF(Person1!$D$5+ROW(A88)-1&lt;=Person1!$E$5, Person1!$D$5+ROW(A88)-1, "")</f>
        <v/>
      </c>
      <c r="Y90" s="1" t="str">
        <f>IF(Person1!$D$6+ROW(A88)-1&lt;=Person1!$E$6, Person1!$D$6+ROW(A88)-1, "")</f>
        <v/>
      </c>
      <c r="Z90" s="1" t="str">
        <f>IF(Person1!$D$7+ROW(A88)-1&lt;=Person1!$E$7, Person1!$D$7+ROW(A88)-1, "")</f>
        <v/>
      </c>
      <c r="AA90" s="1" t="str">
        <f>IF(Person1!$D$8+ROW(A88)-1&lt;=Person1!$E$8, Person1!$D$8+ROW(A88)-1, "")</f>
        <v/>
      </c>
      <c r="AE90" s="1" t="str">
        <f>IF(Person1!$F$3+ROW(A88)-1&lt;=Person1!$G$3, Person1!$F$3+ROW(A88)-1, "")</f>
        <v/>
      </c>
      <c r="AF90" s="1" t="str">
        <f>IF(Person1!$F$4+ROW(A88)-1&lt;=Person1!$G$4, Person1!$F$4+ROW(A88)-1, "")</f>
        <v/>
      </c>
      <c r="AG90" s="1" t="str">
        <f>IF(Person1!$F$5+ROW(A88)-1&lt;=Person1!$G$5, Person1!$F$5+ROW(A88)-1, "")</f>
        <v/>
      </c>
      <c r="AH90" s="1" t="str">
        <f>IF(Person1!$F$6+ROW(A88)-1&lt;=Person1!$G$6, Person1!$F$6+ROW(A88)-1, "")</f>
        <v/>
      </c>
      <c r="AI90" s="1" t="str">
        <f>IF(Person1!$F$7+ROW(A88)-1&lt;=Person1!$G$7, Person1!$F$7+ROW(A88)-1, "")</f>
        <v/>
      </c>
    </row>
    <row r="91" spans="1:35" x14ac:dyDescent="0.3">
      <c r="A91" s="1" t="str">
        <f>IF(Person1!$B$3+ROW(A89)-1&lt;=Person1!$C$3, Person1!$B$3+ROW(A89)-1, "")</f>
        <v/>
      </c>
      <c r="B91" s="1" t="str">
        <f>IF(Person1!$B$4+ROW(B89)-1&lt;=Person1!$C$4, Person1!$B$4+ROW(B89)-1, "")</f>
        <v/>
      </c>
      <c r="C91" s="1" t="str">
        <f>IF(Person1!$B$5+ROW(B89)-1&lt;=Person1!$C$5, Person1!$B$5+ROW(B89)-1, "")</f>
        <v/>
      </c>
      <c r="D91" s="1" t="str">
        <f>IF(Person1!$B$6+ROW(B89)-1&lt;=Person1!$C$6, Person1!$B$6+ROW(B89)-1, "")</f>
        <v/>
      </c>
      <c r="E91" s="1" t="str">
        <f>IF(Person1!$B$7+ROW(B89)-1&lt;=Person1!$C$7, Person1!$B$7+ROW(B89)-1, "")</f>
        <v/>
      </c>
      <c r="F91" s="1" t="str">
        <f>IF(Person1!$B$8+ROW(B89)-1&lt;=Person1!$C$8, Person1!$B$8+ROW(B89)-1, "")</f>
        <v/>
      </c>
      <c r="G91" s="1" t="str">
        <f>IF(Person1!$B$9+ROW(B89)-1&lt;=Person1!$C$9, Person1!$B$9+ROW(B89)-1, "")</f>
        <v/>
      </c>
      <c r="H91" s="1" t="str">
        <f>IF(Person1!$B$10+ROW(B89)-1&lt;=Person1!$C$10, Person1!$B$10+ROW(B89)-1, "")</f>
        <v/>
      </c>
      <c r="I91" s="1" t="str">
        <f>IF(Person1!$B$11+ROW(B89)-1&lt;=Person1!$C$11, Person1!$B$11+ROW(B89)-1, "")</f>
        <v/>
      </c>
      <c r="J91" s="1" t="str">
        <f>IF(Person1!$B$12+ROW(B89)-1&lt;=Person1!$C$12, Person1!$B$12+ROW(B89)-1, "")</f>
        <v/>
      </c>
      <c r="K91" s="1" t="str">
        <f>IF(Person1!$B$13+ROW(B89)-1&lt;=Person1!$C$13, Person1!$B$13+ROW(B89)-1, "")</f>
        <v/>
      </c>
      <c r="L91" s="1" t="str">
        <f>IF(Person1!$B$14+ROW(B89)-1&lt;=Person1!$C$14, Person1!$B$14+ROW(B89)-1, "")</f>
        <v/>
      </c>
      <c r="M91" s="1" t="str">
        <f>IF(Person1!$B$15+ROW(B89)-1&lt;=Person1!$C$15, Person1!$B$15+ROW(B89)-1, "")</f>
        <v/>
      </c>
      <c r="N91" s="1" t="str">
        <f>IF(Person1!$B$16+ROW(B89)-1&lt;=Person1!$C$16, Person1!$B$16+ROW(B89)-1, "")</f>
        <v/>
      </c>
      <c r="O91" s="1" t="str">
        <f>IF(Person1!$B$17+ROW(B89)-1&lt;=Person1!$C$17, Person1!$B$17+ROW(B89)-1, "")</f>
        <v/>
      </c>
      <c r="V91" s="1" t="str">
        <f>IF(Person1!$D$3+ROW(A89)-1&lt;=Person1!$E$3, Person1!$D$3+ROW(A89)-1, "")</f>
        <v/>
      </c>
      <c r="W91" s="1" t="str">
        <f>IF(Person1!$D$4+ROW(A89)-1&lt;=Person1!$E$4, Person1!$D$4+ROW(A89)-1, "")</f>
        <v/>
      </c>
      <c r="X91" s="1" t="str">
        <f>IF(Person1!$D$5+ROW(A89)-1&lt;=Person1!$E$5, Person1!$D$5+ROW(A89)-1, "")</f>
        <v/>
      </c>
      <c r="Y91" s="1" t="str">
        <f>IF(Person1!$D$6+ROW(A89)-1&lt;=Person1!$E$6, Person1!$D$6+ROW(A89)-1, "")</f>
        <v/>
      </c>
      <c r="Z91" s="1" t="str">
        <f>IF(Person1!$D$7+ROW(A89)-1&lt;=Person1!$E$7, Person1!$D$7+ROW(A89)-1, "")</f>
        <v/>
      </c>
      <c r="AA91" s="1" t="str">
        <f>IF(Person1!$D$8+ROW(A89)-1&lt;=Person1!$E$8, Person1!$D$8+ROW(A89)-1, "")</f>
        <v/>
      </c>
      <c r="AE91" s="1" t="str">
        <f>IF(Person1!$F$3+ROW(A89)-1&lt;=Person1!$G$3, Person1!$F$3+ROW(A89)-1, "")</f>
        <v/>
      </c>
      <c r="AF91" s="1" t="str">
        <f>IF(Person1!$F$4+ROW(A89)-1&lt;=Person1!$G$4, Person1!$F$4+ROW(A89)-1, "")</f>
        <v/>
      </c>
      <c r="AG91" s="1" t="str">
        <f>IF(Person1!$F$5+ROW(A89)-1&lt;=Person1!$G$5, Person1!$F$5+ROW(A89)-1, "")</f>
        <v/>
      </c>
      <c r="AH91" s="1" t="str">
        <f>IF(Person1!$F$6+ROW(A89)-1&lt;=Person1!$G$6, Person1!$F$6+ROW(A89)-1, "")</f>
        <v/>
      </c>
      <c r="AI91" s="1" t="str">
        <f>IF(Person1!$F$7+ROW(A89)-1&lt;=Person1!$G$7, Person1!$F$7+ROW(A89)-1, "")</f>
        <v/>
      </c>
    </row>
    <row r="92" spans="1:35" x14ac:dyDescent="0.3">
      <c r="A92" s="1" t="str">
        <f>IF(Person1!$B$3+ROW(A90)-1&lt;=Person1!$C$3, Person1!$B$3+ROW(A90)-1, "")</f>
        <v/>
      </c>
      <c r="B92" s="1" t="str">
        <f>IF(Person1!$B$4+ROW(B90)-1&lt;=Person1!$C$4, Person1!$B$4+ROW(B90)-1, "")</f>
        <v/>
      </c>
      <c r="C92" s="1" t="str">
        <f>IF(Person1!$B$5+ROW(B90)-1&lt;=Person1!$C$5, Person1!$B$5+ROW(B90)-1, "")</f>
        <v/>
      </c>
      <c r="D92" s="1" t="str">
        <f>IF(Person1!$B$6+ROW(B90)-1&lt;=Person1!$C$6, Person1!$B$6+ROW(B90)-1, "")</f>
        <v/>
      </c>
      <c r="E92" s="1" t="str">
        <f>IF(Person1!$B$7+ROW(B90)-1&lt;=Person1!$C$7, Person1!$B$7+ROW(B90)-1, "")</f>
        <v/>
      </c>
      <c r="F92" s="1" t="str">
        <f>IF(Person1!$B$8+ROW(B90)-1&lt;=Person1!$C$8, Person1!$B$8+ROW(B90)-1, "")</f>
        <v/>
      </c>
      <c r="G92" s="1" t="str">
        <f>IF(Person1!$B$9+ROW(B90)-1&lt;=Person1!$C$9, Person1!$B$9+ROW(B90)-1, "")</f>
        <v/>
      </c>
      <c r="H92" s="1" t="str">
        <f>IF(Person1!$B$10+ROW(B90)-1&lt;=Person1!$C$10, Person1!$B$10+ROW(B90)-1, "")</f>
        <v/>
      </c>
      <c r="I92" s="1" t="str">
        <f>IF(Person1!$B$11+ROW(B90)-1&lt;=Person1!$C$11, Person1!$B$11+ROW(B90)-1, "")</f>
        <v/>
      </c>
      <c r="J92" s="1" t="str">
        <f>IF(Person1!$B$12+ROW(B90)-1&lt;=Person1!$C$12, Person1!$B$12+ROW(B90)-1, "")</f>
        <v/>
      </c>
      <c r="K92" s="1" t="str">
        <f>IF(Person1!$B$13+ROW(B90)-1&lt;=Person1!$C$13, Person1!$B$13+ROW(B90)-1, "")</f>
        <v/>
      </c>
      <c r="L92" s="1" t="str">
        <f>IF(Person1!$B$14+ROW(B90)-1&lt;=Person1!$C$14, Person1!$B$14+ROW(B90)-1, "")</f>
        <v/>
      </c>
      <c r="M92" s="1" t="str">
        <f>IF(Person1!$B$15+ROW(B90)-1&lt;=Person1!$C$15, Person1!$B$15+ROW(B90)-1, "")</f>
        <v/>
      </c>
      <c r="N92" s="1" t="str">
        <f>IF(Person1!$B$16+ROW(B90)-1&lt;=Person1!$C$16, Person1!$B$16+ROW(B90)-1, "")</f>
        <v/>
      </c>
      <c r="O92" s="1" t="str">
        <f>IF(Person1!$B$17+ROW(B90)-1&lt;=Person1!$C$17, Person1!$B$17+ROW(B90)-1, "")</f>
        <v/>
      </c>
      <c r="V92" s="1" t="str">
        <f>IF(Person1!$D$3+ROW(A90)-1&lt;=Person1!$E$3, Person1!$D$3+ROW(A90)-1, "")</f>
        <v/>
      </c>
      <c r="W92" s="1" t="str">
        <f>IF(Person1!$D$4+ROW(A90)-1&lt;=Person1!$E$4, Person1!$D$4+ROW(A90)-1, "")</f>
        <v/>
      </c>
      <c r="X92" s="1" t="str">
        <f>IF(Person1!$D$5+ROW(A90)-1&lt;=Person1!$E$5, Person1!$D$5+ROW(A90)-1, "")</f>
        <v/>
      </c>
      <c r="Y92" s="1" t="str">
        <f>IF(Person1!$D$6+ROW(A90)-1&lt;=Person1!$E$6, Person1!$D$6+ROW(A90)-1, "")</f>
        <v/>
      </c>
      <c r="Z92" s="1" t="str">
        <f>IF(Person1!$D$7+ROW(A90)-1&lt;=Person1!$E$7, Person1!$D$7+ROW(A90)-1, "")</f>
        <v/>
      </c>
      <c r="AA92" s="1" t="str">
        <f>IF(Person1!$D$8+ROW(A90)-1&lt;=Person1!$E$8, Person1!$D$8+ROW(A90)-1, "")</f>
        <v/>
      </c>
      <c r="AE92" s="1" t="str">
        <f>IF(Person1!$F$3+ROW(A90)-1&lt;=Person1!$G$3, Person1!$F$3+ROW(A90)-1, "")</f>
        <v/>
      </c>
      <c r="AF92" s="1" t="str">
        <f>IF(Person1!$F$4+ROW(A90)-1&lt;=Person1!$G$4, Person1!$F$4+ROW(A90)-1, "")</f>
        <v/>
      </c>
      <c r="AG92" s="1" t="str">
        <f>IF(Person1!$F$5+ROW(A90)-1&lt;=Person1!$G$5, Person1!$F$5+ROW(A90)-1, "")</f>
        <v/>
      </c>
      <c r="AH92" s="1" t="str">
        <f>IF(Person1!$F$6+ROW(A90)-1&lt;=Person1!$G$6, Person1!$F$6+ROW(A90)-1, "")</f>
        <v/>
      </c>
      <c r="AI92" s="1" t="str">
        <f>IF(Person1!$F$7+ROW(A90)-1&lt;=Person1!$G$7, Person1!$F$7+ROW(A90)-1, "")</f>
        <v/>
      </c>
    </row>
    <row r="93" spans="1:35" x14ac:dyDescent="0.3">
      <c r="A93" s="1" t="str">
        <f>IF(Person1!$B$3+ROW(A91)-1&lt;=Person1!$C$3, Person1!$B$3+ROW(A91)-1, "")</f>
        <v/>
      </c>
      <c r="B93" s="1" t="str">
        <f>IF(Person1!$B$4+ROW(B91)-1&lt;=Person1!$C$4, Person1!$B$4+ROW(B91)-1, "")</f>
        <v/>
      </c>
      <c r="C93" s="1" t="str">
        <f>IF(Person1!$B$5+ROW(B91)-1&lt;=Person1!$C$5, Person1!$B$5+ROW(B91)-1, "")</f>
        <v/>
      </c>
      <c r="D93" s="1" t="str">
        <f>IF(Person1!$B$6+ROW(B91)-1&lt;=Person1!$C$6, Person1!$B$6+ROW(B91)-1, "")</f>
        <v/>
      </c>
      <c r="E93" s="1" t="str">
        <f>IF(Person1!$B$7+ROW(B91)-1&lt;=Person1!$C$7, Person1!$B$7+ROW(B91)-1, "")</f>
        <v/>
      </c>
      <c r="F93" s="1" t="str">
        <f>IF(Person1!$B$8+ROW(B91)-1&lt;=Person1!$C$8, Person1!$B$8+ROW(B91)-1, "")</f>
        <v/>
      </c>
      <c r="G93" s="1" t="str">
        <f>IF(Person1!$B$9+ROW(B91)-1&lt;=Person1!$C$9, Person1!$B$9+ROW(B91)-1, "")</f>
        <v/>
      </c>
      <c r="H93" s="1" t="str">
        <f>IF(Person1!$B$10+ROW(B91)-1&lt;=Person1!$C$10, Person1!$B$10+ROW(B91)-1, "")</f>
        <v/>
      </c>
      <c r="I93" s="1" t="str">
        <f>IF(Person1!$B$11+ROW(B91)-1&lt;=Person1!$C$11, Person1!$B$11+ROW(B91)-1, "")</f>
        <v/>
      </c>
      <c r="J93" s="1" t="str">
        <f>IF(Person1!$B$12+ROW(B91)-1&lt;=Person1!$C$12, Person1!$B$12+ROW(B91)-1, "")</f>
        <v/>
      </c>
      <c r="K93" s="1" t="str">
        <f>IF(Person1!$B$13+ROW(B91)-1&lt;=Person1!$C$13, Person1!$B$13+ROW(B91)-1, "")</f>
        <v/>
      </c>
      <c r="L93" s="1" t="str">
        <f>IF(Person1!$B$14+ROW(B91)-1&lt;=Person1!$C$14, Person1!$B$14+ROW(B91)-1, "")</f>
        <v/>
      </c>
      <c r="M93" s="1" t="str">
        <f>IF(Person1!$B$15+ROW(B91)-1&lt;=Person1!$C$15, Person1!$B$15+ROW(B91)-1, "")</f>
        <v/>
      </c>
      <c r="N93" s="1" t="str">
        <f>IF(Person1!$B$16+ROW(B91)-1&lt;=Person1!$C$16, Person1!$B$16+ROW(B91)-1, "")</f>
        <v/>
      </c>
      <c r="O93" s="1" t="str">
        <f>IF(Person1!$B$17+ROW(B91)-1&lt;=Person1!$C$17, Person1!$B$17+ROW(B91)-1, "")</f>
        <v/>
      </c>
      <c r="V93" s="1" t="str">
        <f>IF(Person1!$D$3+ROW(A91)-1&lt;=Person1!$E$3, Person1!$D$3+ROW(A91)-1, "")</f>
        <v/>
      </c>
      <c r="W93" s="1" t="str">
        <f>IF(Person1!$D$4+ROW(A91)-1&lt;=Person1!$E$4, Person1!$D$4+ROW(A91)-1, "")</f>
        <v/>
      </c>
      <c r="X93" s="1" t="str">
        <f>IF(Person1!$D$5+ROW(A91)-1&lt;=Person1!$E$5, Person1!$D$5+ROW(A91)-1, "")</f>
        <v/>
      </c>
      <c r="Y93" s="1" t="str">
        <f>IF(Person1!$D$6+ROW(A91)-1&lt;=Person1!$E$6, Person1!$D$6+ROW(A91)-1, "")</f>
        <v/>
      </c>
      <c r="Z93" s="1" t="str">
        <f>IF(Person1!$D$7+ROW(A91)-1&lt;=Person1!$E$7, Person1!$D$7+ROW(A91)-1, "")</f>
        <v/>
      </c>
      <c r="AA93" s="1" t="str">
        <f>IF(Person1!$D$8+ROW(A91)-1&lt;=Person1!$E$8, Person1!$D$8+ROW(A91)-1, "")</f>
        <v/>
      </c>
      <c r="AE93" s="1" t="str">
        <f>IF(Person1!$F$3+ROW(A91)-1&lt;=Person1!$G$3, Person1!$F$3+ROW(A91)-1, "")</f>
        <v/>
      </c>
      <c r="AF93" s="1" t="str">
        <f>IF(Person1!$F$4+ROW(A91)-1&lt;=Person1!$G$4, Person1!$F$4+ROW(A91)-1, "")</f>
        <v/>
      </c>
      <c r="AG93" s="1" t="str">
        <f>IF(Person1!$F$5+ROW(A91)-1&lt;=Person1!$G$5, Person1!$F$5+ROW(A91)-1, "")</f>
        <v/>
      </c>
      <c r="AH93" s="1" t="str">
        <f>IF(Person1!$F$6+ROW(A91)-1&lt;=Person1!$G$6, Person1!$F$6+ROW(A91)-1, "")</f>
        <v/>
      </c>
      <c r="AI93" s="1" t="str">
        <f>IF(Person1!$F$7+ROW(A91)-1&lt;=Person1!$G$7, Person1!$F$7+ROW(A91)-1, "")</f>
        <v/>
      </c>
    </row>
    <row r="94" spans="1:35" x14ac:dyDescent="0.3">
      <c r="A94" s="1" t="str">
        <f>IF(Person1!$B$3+ROW(A92)-1&lt;=Person1!$C$3, Person1!$B$3+ROW(A92)-1, "")</f>
        <v/>
      </c>
      <c r="B94" s="1" t="str">
        <f>IF(Person1!$B$4+ROW(B92)-1&lt;=Person1!$C$4, Person1!$B$4+ROW(B92)-1, "")</f>
        <v/>
      </c>
      <c r="C94" s="1" t="str">
        <f>IF(Person1!$B$5+ROW(B92)-1&lt;=Person1!$C$5, Person1!$B$5+ROW(B92)-1, "")</f>
        <v/>
      </c>
      <c r="D94" s="1" t="str">
        <f>IF(Person1!$B$6+ROW(B92)-1&lt;=Person1!$C$6, Person1!$B$6+ROW(B92)-1, "")</f>
        <v/>
      </c>
      <c r="E94" s="1" t="str">
        <f>IF(Person1!$B$7+ROW(B92)-1&lt;=Person1!$C$7, Person1!$B$7+ROW(B92)-1, "")</f>
        <v/>
      </c>
      <c r="F94" s="1" t="str">
        <f>IF(Person1!$B$8+ROW(B92)-1&lt;=Person1!$C$8, Person1!$B$8+ROW(B92)-1, "")</f>
        <v/>
      </c>
      <c r="G94" s="1" t="str">
        <f>IF(Person1!$B$9+ROW(B92)-1&lt;=Person1!$C$9, Person1!$B$9+ROW(B92)-1, "")</f>
        <v/>
      </c>
      <c r="H94" s="1" t="str">
        <f>IF(Person1!$B$10+ROW(B92)-1&lt;=Person1!$C$10, Person1!$B$10+ROW(B92)-1, "")</f>
        <v/>
      </c>
      <c r="I94" s="1" t="str">
        <f>IF(Person1!$B$11+ROW(B92)-1&lt;=Person1!$C$11, Person1!$B$11+ROW(B92)-1, "")</f>
        <v/>
      </c>
      <c r="J94" s="1" t="str">
        <f>IF(Person1!$B$12+ROW(B92)-1&lt;=Person1!$C$12, Person1!$B$12+ROW(B92)-1, "")</f>
        <v/>
      </c>
      <c r="K94" s="1" t="str">
        <f>IF(Person1!$B$13+ROW(B92)-1&lt;=Person1!$C$13, Person1!$B$13+ROW(B92)-1, "")</f>
        <v/>
      </c>
      <c r="L94" s="1" t="str">
        <f>IF(Person1!$B$14+ROW(B92)-1&lt;=Person1!$C$14, Person1!$B$14+ROW(B92)-1, "")</f>
        <v/>
      </c>
      <c r="M94" s="1" t="str">
        <f>IF(Person1!$B$15+ROW(B92)-1&lt;=Person1!$C$15, Person1!$B$15+ROW(B92)-1, "")</f>
        <v/>
      </c>
      <c r="N94" s="1" t="str">
        <f>IF(Person1!$B$16+ROW(B92)-1&lt;=Person1!$C$16, Person1!$B$16+ROW(B92)-1, "")</f>
        <v/>
      </c>
      <c r="O94" s="1" t="str">
        <f>IF(Person1!$B$17+ROW(B92)-1&lt;=Person1!$C$17, Person1!$B$17+ROW(B92)-1, "")</f>
        <v/>
      </c>
      <c r="V94" s="1" t="str">
        <f>IF(Person1!$D$3+ROW(A92)-1&lt;=Person1!$E$3, Person1!$D$3+ROW(A92)-1, "")</f>
        <v/>
      </c>
      <c r="W94" s="1" t="str">
        <f>IF(Person1!$D$4+ROW(A92)-1&lt;=Person1!$E$4, Person1!$D$4+ROW(A92)-1, "")</f>
        <v/>
      </c>
      <c r="X94" s="1" t="str">
        <f>IF(Person1!$D$5+ROW(A92)-1&lt;=Person1!$E$5, Person1!$D$5+ROW(A92)-1, "")</f>
        <v/>
      </c>
      <c r="Y94" s="1" t="str">
        <f>IF(Person1!$D$6+ROW(A92)-1&lt;=Person1!$E$6, Person1!$D$6+ROW(A92)-1, "")</f>
        <v/>
      </c>
      <c r="Z94" s="1" t="str">
        <f>IF(Person1!$D$7+ROW(A92)-1&lt;=Person1!$E$7, Person1!$D$7+ROW(A92)-1, "")</f>
        <v/>
      </c>
      <c r="AA94" s="1" t="str">
        <f>IF(Person1!$D$8+ROW(A92)-1&lt;=Person1!$E$8, Person1!$D$8+ROW(A92)-1, "")</f>
        <v/>
      </c>
      <c r="AE94" s="1" t="str">
        <f>IF(Person1!$F$3+ROW(A92)-1&lt;=Person1!$G$3, Person1!$F$3+ROW(A92)-1, "")</f>
        <v/>
      </c>
      <c r="AF94" s="1" t="str">
        <f>IF(Person1!$F$4+ROW(A92)-1&lt;=Person1!$G$4, Person1!$F$4+ROW(A92)-1, "")</f>
        <v/>
      </c>
      <c r="AG94" s="1" t="str">
        <f>IF(Person1!$F$5+ROW(A92)-1&lt;=Person1!$G$5, Person1!$F$5+ROW(A92)-1, "")</f>
        <v/>
      </c>
      <c r="AH94" s="1" t="str">
        <f>IF(Person1!$F$6+ROW(A92)-1&lt;=Person1!$G$6, Person1!$F$6+ROW(A92)-1, "")</f>
        <v/>
      </c>
      <c r="AI94" s="1" t="str">
        <f>IF(Person1!$F$7+ROW(A92)-1&lt;=Person1!$G$7, Person1!$F$7+ROW(A92)-1, "")</f>
        <v/>
      </c>
    </row>
    <row r="95" spans="1:35" x14ac:dyDescent="0.3">
      <c r="A95" s="1" t="str">
        <f>IF(Person1!$B$3+ROW(A93)-1&lt;=Person1!$C$3, Person1!$B$3+ROW(A93)-1, "")</f>
        <v/>
      </c>
      <c r="B95" s="1" t="str">
        <f>IF(Person1!$B$4+ROW(B93)-1&lt;=Person1!$C$4, Person1!$B$4+ROW(B93)-1, "")</f>
        <v/>
      </c>
      <c r="C95" s="1" t="str">
        <f>IF(Person1!$B$5+ROW(B93)-1&lt;=Person1!$C$5, Person1!$B$5+ROW(B93)-1, "")</f>
        <v/>
      </c>
      <c r="D95" s="1" t="str">
        <f>IF(Person1!$B$6+ROW(B93)-1&lt;=Person1!$C$6, Person1!$B$6+ROW(B93)-1, "")</f>
        <v/>
      </c>
      <c r="E95" s="1" t="str">
        <f>IF(Person1!$B$7+ROW(B93)-1&lt;=Person1!$C$7, Person1!$B$7+ROW(B93)-1, "")</f>
        <v/>
      </c>
      <c r="F95" s="1" t="str">
        <f>IF(Person1!$B$8+ROW(B93)-1&lt;=Person1!$C$8, Person1!$B$8+ROW(B93)-1, "")</f>
        <v/>
      </c>
      <c r="G95" s="1" t="str">
        <f>IF(Person1!$B$9+ROW(B93)-1&lt;=Person1!$C$9, Person1!$B$9+ROW(B93)-1, "")</f>
        <v/>
      </c>
      <c r="H95" s="1" t="str">
        <f>IF(Person1!$B$10+ROW(B93)-1&lt;=Person1!$C$10, Person1!$B$10+ROW(B93)-1, "")</f>
        <v/>
      </c>
      <c r="I95" s="1" t="str">
        <f>IF(Person1!$B$11+ROW(B93)-1&lt;=Person1!$C$11, Person1!$B$11+ROW(B93)-1, "")</f>
        <v/>
      </c>
      <c r="J95" s="1" t="str">
        <f>IF(Person1!$B$12+ROW(B93)-1&lt;=Person1!$C$12, Person1!$B$12+ROW(B93)-1, "")</f>
        <v/>
      </c>
      <c r="K95" s="1" t="str">
        <f>IF(Person1!$B$13+ROW(B93)-1&lt;=Person1!$C$13, Person1!$B$13+ROW(B93)-1, "")</f>
        <v/>
      </c>
      <c r="L95" s="1" t="str">
        <f>IF(Person1!$B$14+ROW(B93)-1&lt;=Person1!$C$14, Person1!$B$14+ROW(B93)-1, "")</f>
        <v/>
      </c>
      <c r="M95" s="1" t="str">
        <f>IF(Person1!$B$15+ROW(B93)-1&lt;=Person1!$C$15, Person1!$B$15+ROW(B93)-1, "")</f>
        <v/>
      </c>
      <c r="N95" s="1" t="str">
        <f>IF(Person1!$B$16+ROW(B93)-1&lt;=Person1!$C$16, Person1!$B$16+ROW(B93)-1, "")</f>
        <v/>
      </c>
      <c r="O95" s="1" t="str">
        <f>IF(Person1!$B$17+ROW(B93)-1&lt;=Person1!$C$17, Person1!$B$17+ROW(B93)-1, "")</f>
        <v/>
      </c>
      <c r="V95" s="1" t="str">
        <f>IF(Person1!$D$3+ROW(A93)-1&lt;=Person1!$E$3, Person1!$D$3+ROW(A93)-1, "")</f>
        <v/>
      </c>
      <c r="W95" s="1" t="str">
        <f>IF(Person1!$D$4+ROW(A93)-1&lt;=Person1!$E$4, Person1!$D$4+ROW(A93)-1, "")</f>
        <v/>
      </c>
      <c r="X95" s="1" t="str">
        <f>IF(Person1!$D$5+ROW(A93)-1&lt;=Person1!$E$5, Person1!$D$5+ROW(A93)-1, "")</f>
        <v/>
      </c>
      <c r="Y95" s="1" t="str">
        <f>IF(Person1!$D$6+ROW(A93)-1&lt;=Person1!$E$6, Person1!$D$6+ROW(A93)-1, "")</f>
        <v/>
      </c>
      <c r="Z95" s="1" t="str">
        <f>IF(Person1!$D$7+ROW(A93)-1&lt;=Person1!$E$7, Person1!$D$7+ROW(A93)-1, "")</f>
        <v/>
      </c>
      <c r="AA95" s="1" t="str">
        <f>IF(Person1!$D$8+ROW(A93)-1&lt;=Person1!$E$8, Person1!$D$8+ROW(A93)-1, "")</f>
        <v/>
      </c>
      <c r="AE95" s="1" t="str">
        <f>IF(Person1!$F$3+ROW(A93)-1&lt;=Person1!$G$3, Person1!$F$3+ROW(A93)-1, "")</f>
        <v/>
      </c>
      <c r="AF95" s="1" t="str">
        <f>IF(Person1!$F$4+ROW(A93)-1&lt;=Person1!$G$4, Person1!$F$4+ROW(A93)-1, "")</f>
        <v/>
      </c>
      <c r="AG95" s="1" t="str">
        <f>IF(Person1!$F$5+ROW(A93)-1&lt;=Person1!$G$5, Person1!$F$5+ROW(A93)-1, "")</f>
        <v/>
      </c>
      <c r="AH95" s="1" t="str">
        <f>IF(Person1!$F$6+ROW(A93)-1&lt;=Person1!$G$6, Person1!$F$6+ROW(A93)-1, "")</f>
        <v/>
      </c>
      <c r="AI95" s="1" t="str">
        <f>IF(Person1!$F$7+ROW(A93)-1&lt;=Person1!$G$7, Person1!$F$7+ROW(A93)-1, "")</f>
        <v/>
      </c>
    </row>
    <row r="96" spans="1:35" x14ac:dyDescent="0.3">
      <c r="A96" s="1" t="str">
        <f>IF(Person1!$B$3+ROW(A94)-1&lt;=Person1!$C$3, Person1!$B$3+ROW(A94)-1, "")</f>
        <v/>
      </c>
      <c r="B96" s="1" t="str">
        <f>IF(Person1!$B$4+ROW(B94)-1&lt;=Person1!$C$4, Person1!$B$4+ROW(B94)-1, "")</f>
        <v/>
      </c>
      <c r="C96" s="1" t="str">
        <f>IF(Person1!$B$5+ROW(B94)-1&lt;=Person1!$C$5, Person1!$B$5+ROW(B94)-1, "")</f>
        <v/>
      </c>
      <c r="D96" s="1" t="str">
        <f>IF(Person1!$B$6+ROW(B94)-1&lt;=Person1!$C$6, Person1!$B$6+ROW(B94)-1, "")</f>
        <v/>
      </c>
      <c r="E96" s="1" t="str">
        <f>IF(Person1!$B$7+ROW(B94)-1&lt;=Person1!$C$7, Person1!$B$7+ROW(B94)-1, "")</f>
        <v/>
      </c>
      <c r="F96" s="1" t="str">
        <f>IF(Person1!$B$8+ROW(B94)-1&lt;=Person1!$C$8, Person1!$B$8+ROW(B94)-1, "")</f>
        <v/>
      </c>
      <c r="G96" s="1" t="str">
        <f>IF(Person1!$B$9+ROW(B94)-1&lt;=Person1!$C$9, Person1!$B$9+ROW(B94)-1, "")</f>
        <v/>
      </c>
      <c r="H96" s="1" t="str">
        <f>IF(Person1!$B$10+ROW(B94)-1&lt;=Person1!$C$10, Person1!$B$10+ROW(B94)-1, "")</f>
        <v/>
      </c>
      <c r="I96" s="1" t="str">
        <f>IF(Person1!$B$11+ROW(B94)-1&lt;=Person1!$C$11, Person1!$B$11+ROW(B94)-1, "")</f>
        <v/>
      </c>
      <c r="J96" s="1" t="str">
        <f>IF(Person1!$B$12+ROW(B94)-1&lt;=Person1!$C$12, Person1!$B$12+ROW(B94)-1, "")</f>
        <v/>
      </c>
      <c r="K96" s="1" t="str">
        <f>IF(Person1!$B$13+ROW(B94)-1&lt;=Person1!$C$13, Person1!$B$13+ROW(B94)-1, "")</f>
        <v/>
      </c>
      <c r="L96" s="1" t="str">
        <f>IF(Person1!$B$14+ROW(B94)-1&lt;=Person1!$C$14, Person1!$B$14+ROW(B94)-1, "")</f>
        <v/>
      </c>
      <c r="M96" s="1" t="str">
        <f>IF(Person1!$B$15+ROW(B94)-1&lt;=Person1!$C$15, Person1!$B$15+ROW(B94)-1, "")</f>
        <v/>
      </c>
      <c r="N96" s="1" t="str">
        <f>IF(Person1!$B$16+ROW(B94)-1&lt;=Person1!$C$16, Person1!$B$16+ROW(B94)-1, "")</f>
        <v/>
      </c>
      <c r="O96" s="1" t="str">
        <f>IF(Person1!$B$17+ROW(B94)-1&lt;=Person1!$C$17, Person1!$B$17+ROW(B94)-1, "")</f>
        <v/>
      </c>
      <c r="V96" s="1" t="str">
        <f>IF(Person1!$D$3+ROW(A94)-1&lt;=Person1!$E$3, Person1!$D$3+ROW(A94)-1, "")</f>
        <v/>
      </c>
      <c r="W96" s="1" t="str">
        <f>IF(Person1!$D$4+ROW(A94)-1&lt;=Person1!$E$4, Person1!$D$4+ROW(A94)-1, "")</f>
        <v/>
      </c>
      <c r="X96" s="1" t="str">
        <f>IF(Person1!$D$5+ROW(A94)-1&lt;=Person1!$E$5, Person1!$D$5+ROW(A94)-1, "")</f>
        <v/>
      </c>
      <c r="Y96" s="1" t="str">
        <f>IF(Person1!$D$6+ROW(A94)-1&lt;=Person1!$E$6, Person1!$D$6+ROW(A94)-1, "")</f>
        <v/>
      </c>
      <c r="Z96" s="1" t="str">
        <f>IF(Person1!$D$7+ROW(A94)-1&lt;=Person1!$E$7, Person1!$D$7+ROW(A94)-1, "")</f>
        <v/>
      </c>
      <c r="AA96" s="1" t="str">
        <f>IF(Person1!$D$8+ROW(A94)-1&lt;=Person1!$E$8, Person1!$D$8+ROW(A94)-1, "")</f>
        <v/>
      </c>
      <c r="AE96" s="1" t="str">
        <f>IF(Person1!$F$3+ROW(A94)-1&lt;=Person1!$G$3, Person1!$F$3+ROW(A94)-1, "")</f>
        <v/>
      </c>
      <c r="AF96" s="1" t="str">
        <f>IF(Person1!$F$4+ROW(A94)-1&lt;=Person1!$G$4, Person1!$F$4+ROW(A94)-1, "")</f>
        <v/>
      </c>
      <c r="AG96" s="1" t="str">
        <f>IF(Person1!$F$5+ROW(A94)-1&lt;=Person1!$G$5, Person1!$F$5+ROW(A94)-1, "")</f>
        <v/>
      </c>
      <c r="AH96" s="1" t="str">
        <f>IF(Person1!$F$6+ROW(A94)-1&lt;=Person1!$G$6, Person1!$F$6+ROW(A94)-1, "")</f>
        <v/>
      </c>
      <c r="AI96" s="1" t="str">
        <f>IF(Person1!$F$7+ROW(A94)-1&lt;=Person1!$G$7, Person1!$F$7+ROW(A94)-1, "")</f>
        <v/>
      </c>
    </row>
    <row r="97" spans="1:35" x14ac:dyDescent="0.3">
      <c r="A97" s="1" t="str">
        <f>IF(Person1!$B$3+ROW(A95)-1&lt;=Person1!$C$3, Person1!$B$3+ROW(A95)-1, "")</f>
        <v/>
      </c>
      <c r="B97" s="1" t="str">
        <f>IF(Person1!$B$4+ROW(B95)-1&lt;=Person1!$C$4, Person1!$B$4+ROW(B95)-1, "")</f>
        <v/>
      </c>
      <c r="C97" s="1" t="str">
        <f>IF(Person1!$B$5+ROW(B95)-1&lt;=Person1!$C$5, Person1!$B$5+ROW(B95)-1, "")</f>
        <v/>
      </c>
      <c r="D97" s="1" t="str">
        <f>IF(Person1!$B$6+ROW(B95)-1&lt;=Person1!$C$6, Person1!$B$6+ROW(B95)-1, "")</f>
        <v/>
      </c>
      <c r="E97" s="1" t="str">
        <f>IF(Person1!$B$7+ROW(B95)-1&lt;=Person1!$C$7, Person1!$B$7+ROW(B95)-1, "")</f>
        <v/>
      </c>
      <c r="F97" s="1" t="str">
        <f>IF(Person1!$B$8+ROW(B95)-1&lt;=Person1!$C$8, Person1!$B$8+ROW(B95)-1, "")</f>
        <v/>
      </c>
      <c r="G97" s="1" t="str">
        <f>IF(Person1!$B$9+ROW(B95)-1&lt;=Person1!$C$9, Person1!$B$9+ROW(B95)-1, "")</f>
        <v/>
      </c>
      <c r="H97" s="1" t="str">
        <f>IF(Person1!$B$10+ROW(B95)-1&lt;=Person1!$C$10, Person1!$B$10+ROW(B95)-1, "")</f>
        <v/>
      </c>
      <c r="I97" s="1" t="str">
        <f>IF(Person1!$B$11+ROW(B95)-1&lt;=Person1!$C$11, Person1!$B$11+ROW(B95)-1, "")</f>
        <v/>
      </c>
      <c r="J97" s="1" t="str">
        <f>IF(Person1!$B$12+ROW(B95)-1&lt;=Person1!$C$12, Person1!$B$12+ROW(B95)-1, "")</f>
        <v/>
      </c>
      <c r="K97" s="1" t="str">
        <f>IF(Person1!$B$13+ROW(B95)-1&lt;=Person1!$C$13, Person1!$B$13+ROW(B95)-1, "")</f>
        <v/>
      </c>
      <c r="L97" s="1" t="str">
        <f>IF(Person1!$B$14+ROW(B95)-1&lt;=Person1!$C$14, Person1!$B$14+ROW(B95)-1, "")</f>
        <v/>
      </c>
      <c r="M97" s="1" t="str">
        <f>IF(Person1!$B$15+ROW(B95)-1&lt;=Person1!$C$15, Person1!$B$15+ROW(B95)-1, "")</f>
        <v/>
      </c>
      <c r="N97" s="1" t="str">
        <f>IF(Person1!$B$16+ROW(B95)-1&lt;=Person1!$C$16, Person1!$B$16+ROW(B95)-1, "")</f>
        <v/>
      </c>
      <c r="O97" s="1" t="str">
        <f>IF(Person1!$B$17+ROW(B95)-1&lt;=Person1!$C$17, Person1!$B$17+ROW(B95)-1, "")</f>
        <v/>
      </c>
      <c r="V97" s="1" t="str">
        <f>IF(Person1!$D$3+ROW(A95)-1&lt;=Person1!$E$3, Person1!$D$3+ROW(A95)-1, "")</f>
        <v/>
      </c>
      <c r="W97" s="1" t="str">
        <f>IF(Person1!$D$4+ROW(A95)-1&lt;=Person1!$E$4, Person1!$D$4+ROW(A95)-1, "")</f>
        <v/>
      </c>
      <c r="X97" s="1" t="str">
        <f>IF(Person1!$D$5+ROW(A95)-1&lt;=Person1!$E$5, Person1!$D$5+ROW(A95)-1, "")</f>
        <v/>
      </c>
      <c r="Y97" s="1" t="str">
        <f>IF(Person1!$D$6+ROW(A95)-1&lt;=Person1!$E$6, Person1!$D$6+ROW(A95)-1, "")</f>
        <v/>
      </c>
      <c r="Z97" s="1" t="str">
        <f>IF(Person1!$D$7+ROW(A95)-1&lt;=Person1!$E$7, Person1!$D$7+ROW(A95)-1, "")</f>
        <v/>
      </c>
      <c r="AA97" s="1" t="str">
        <f>IF(Person1!$D$8+ROW(A95)-1&lt;=Person1!$E$8, Person1!$D$8+ROW(A95)-1, "")</f>
        <v/>
      </c>
      <c r="AE97" s="1" t="str">
        <f>IF(Person1!$F$3+ROW(A95)-1&lt;=Person1!$G$3, Person1!$F$3+ROW(A95)-1, "")</f>
        <v/>
      </c>
      <c r="AF97" s="1" t="str">
        <f>IF(Person1!$F$4+ROW(A95)-1&lt;=Person1!$G$4, Person1!$F$4+ROW(A95)-1, "")</f>
        <v/>
      </c>
      <c r="AG97" s="1" t="str">
        <f>IF(Person1!$F$5+ROW(A95)-1&lt;=Person1!$G$5, Person1!$F$5+ROW(A95)-1, "")</f>
        <v/>
      </c>
      <c r="AH97" s="1" t="str">
        <f>IF(Person1!$F$6+ROW(A95)-1&lt;=Person1!$G$6, Person1!$F$6+ROW(A95)-1, "")</f>
        <v/>
      </c>
      <c r="AI97" s="1" t="str">
        <f>IF(Person1!$F$7+ROW(A95)-1&lt;=Person1!$G$7, Person1!$F$7+ROW(A95)-1, "")</f>
        <v/>
      </c>
    </row>
    <row r="98" spans="1:35" x14ac:dyDescent="0.3">
      <c r="A98" s="1" t="str">
        <f>IF(Person1!$B$3+ROW(A96)-1&lt;=Person1!$C$3, Person1!$B$3+ROW(A96)-1, "")</f>
        <v/>
      </c>
      <c r="B98" s="1" t="str">
        <f>IF(Person1!$B$4+ROW(B96)-1&lt;=Person1!$C$4, Person1!$B$4+ROW(B96)-1, "")</f>
        <v/>
      </c>
      <c r="C98" s="1" t="str">
        <f>IF(Person1!$B$5+ROW(B96)-1&lt;=Person1!$C$5, Person1!$B$5+ROW(B96)-1, "")</f>
        <v/>
      </c>
      <c r="D98" s="1" t="str">
        <f>IF(Person1!$B$6+ROW(B96)-1&lt;=Person1!$C$6, Person1!$B$6+ROW(B96)-1, "")</f>
        <v/>
      </c>
      <c r="E98" s="1" t="str">
        <f>IF(Person1!$B$7+ROW(B96)-1&lt;=Person1!$C$7, Person1!$B$7+ROW(B96)-1, "")</f>
        <v/>
      </c>
      <c r="F98" s="1" t="str">
        <f>IF(Person1!$B$8+ROW(B96)-1&lt;=Person1!$C$8, Person1!$B$8+ROW(B96)-1, "")</f>
        <v/>
      </c>
      <c r="G98" s="1" t="str">
        <f>IF(Person1!$B$9+ROW(B96)-1&lt;=Person1!$C$9, Person1!$B$9+ROW(B96)-1, "")</f>
        <v/>
      </c>
      <c r="H98" s="1" t="str">
        <f>IF(Person1!$B$10+ROW(B96)-1&lt;=Person1!$C$10, Person1!$B$10+ROW(B96)-1, "")</f>
        <v/>
      </c>
      <c r="I98" s="1" t="str">
        <f>IF(Person1!$B$11+ROW(B96)-1&lt;=Person1!$C$11, Person1!$B$11+ROW(B96)-1, "")</f>
        <v/>
      </c>
      <c r="J98" s="1" t="str">
        <f>IF(Person1!$B$12+ROW(B96)-1&lt;=Person1!$C$12, Person1!$B$12+ROW(B96)-1, "")</f>
        <v/>
      </c>
      <c r="K98" s="1" t="str">
        <f>IF(Person1!$B$13+ROW(B96)-1&lt;=Person1!$C$13, Person1!$B$13+ROW(B96)-1, "")</f>
        <v/>
      </c>
      <c r="L98" s="1" t="str">
        <f>IF(Person1!$B$14+ROW(B96)-1&lt;=Person1!$C$14, Person1!$B$14+ROW(B96)-1, "")</f>
        <v/>
      </c>
      <c r="M98" s="1" t="str">
        <f>IF(Person1!$B$15+ROW(B96)-1&lt;=Person1!$C$15, Person1!$B$15+ROW(B96)-1, "")</f>
        <v/>
      </c>
      <c r="N98" s="1" t="str">
        <f>IF(Person1!$B$16+ROW(B96)-1&lt;=Person1!$C$16, Person1!$B$16+ROW(B96)-1, "")</f>
        <v/>
      </c>
      <c r="O98" s="1" t="str">
        <f>IF(Person1!$B$17+ROW(B96)-1&lt;=Person1!$C$17, Person1!$B$17+ROW(B96)-1, "")</f>
        <v/>
      </c>
      <c r="V98" s="1" t="str">
        <f>IF(Person1!$D$3+ROW(A96)-1&lt;=Person1!$E$3, Person1!$D$3+ROW(A96)-1, "")</f>
        <v/>
      </c>
      <c r="W98" s="1" t="str">
        <f>IF(Person1!$D$4+ROW(A96)-1&lt;=Person1!$E$4, Person1!$D$4+ROW(A96)-1, "")</f>
        <v/>
      </c>
      <c r="X98" s="1"/>
      <c r="Y98" s="1" t="str">
        <f>IF(Person1!$D$6+ROW(A96)-1&lt;=Person1!$E$6, Person1!$D$6+ROW(A96)-1, "")</f>
        <v/>
      </c>
      <c r="Z98" s="1" t="str">
        <f>IF(Person1!$D$7+ROW(A96)-1&lt;=Person1!$E$7, Person1!$D$7+ROW(A96)-1, "")</f>
        <v/>
      </c>
      <c r="AA98" s="1" t="str">
        <f>IF(Person1!$D$8+ROW(A96)-1&lt;=Person1!$E$8, Person1!$D$8+ROW(A96)-1, "")</f>
        <v/>
      </c>
      <c r="AE98" s="1" t="str">
        <f>IF(Person1!$F$3+ROW(A96)-1&lt;=Person1!$G$3, Person1!$F$3+ROW(A96)-1, "")</f>
        <v/>
      </c>
      <c r="AF98" s="1" t="str">
        <f>IF(Person1!$F$4+ROW(A96)-1&lt;=Person1!$G$4, Person1!$F$4+ROW(A96)-1, "")</f>
        <v/>
      </c>
      <c r="AG98" s="1" t="str">
        <f>IF(Person1!$F$5+ROW(A96)-1&lt;=Person1!$G$5, Person1!$F$5+ROW(A96)-1, "")</f>
        <v/>
      </c>
      <c r="AH98" s="1" t="str">
        <f>IF(Person1!$F$6+ROW(A96)-1&lt;=Person1!$G$6, Person1!$F$6+ROW(A96)-1, "")</f>
        <v/>
      </c>
      <c r="AI98" s="1" t="str">
        <f>IF(Person1!$F$7+ROW(A96)-1&lt;=Person1!$G$7, Person1!$F$7+ROW(A96)-1, "")</f>
        <v/>
      </c>
    </row>
    <row r="99" spans="1:35" x14ac:dyDescent="0.3">
      <c r="A99" s="1" t="str">
        <f>IF(Person1!$B$3+ROW(A97)-1&lt;=Person1!$C$3, Person1!$B$3+ROW(A97)-1, "")</f>
        <v/>
      </c>
      <c r="B99" s="1" t="str">
        <f>IF(Person1!$B$4+ROW(B97)-1&lt;=Person1!$C$4, Person1!$B$4+ROW(B97)-1, "")</f>
        <v/>
      </c>
      <c r="C99" s="1" t="str">
        <f>IF(Person1!$B$5+ROW(B97)-1&lt;=Person1!$C$5, Person1!$B$5+ROW(B97)-1, "")</f>
        <v/>
      </c>
      <c r="D99" s="1" t="str">
        <f>IF(Person1!$B$6+ROW(B97)-1&lt;=Person1!$C$6, Person1!$B$6+ROW(B97)-1, "")</f>
        <v/>
      </c>
      <c r="E99" s="1" t="str">
        <f>IF(Person1!$B$7+ROW(B97)-1&lt;=Person1!$C$7, Person1!$B$7+ROW(B97)-1, "")</f>
        <v/>
      </c>
      <c r="F99" s="1" t="str">
        <f>IF(Person1!$B$8+ROW(B97)-1&lt;=Person1!$C$8, Person1!$B$8+ROW(B97)-1, "")</f>
        <v/>
      </c>
      <c r="G99" s="1" t="str">
        <f>IF(Person1!$B$9+ROW(B97)-1&lt;=Person1!$C$9, Person1!$B$9+ROW(B97)-1, "")</f>
        <v/>
      </c>
      <c r="H99" s="1" t="str">
        <f>IF(Person1!$B$10+ROW(B97)-1&lt;=Person1!$C$10, Person1!$B$10+ROW(B97)-1, "")</f>
        <v/>
      </c>
      <c r="I99" s="1" t="str">
        <f>IF(Person1!$B$11+ROW(B97)-1&lt;=Person1!$C$11, Person1!$B$11+ROW(B97)-1, "")</f>
        <v/>
      </c>
      <c r="J99" s="1" t="str">
        <f>IF(Person1!$B$12+ROW(B97)-1&lt;=Person1!$C$12, Person1!$B$12+ROW(B97)-1, "")</f>
        <v/>
      </c>
      <c r="K99" s="1" t="str">
        <f>IF(Person1!$B$13+ROW(B97)-1&lt;=Person1!$C$13, Person1!$B$13+ROW(B97)-1, "")</f>
        <v/>
      </c>
      <c r="L99" s="1" t="str">
        <f>IF(Person1!$B$14+ROW(B97)-1&lt;=Person1!$C$14, Person1!$B$14+ROW(B97)-1, "")</f>
        <v/>
      </c>
      <c r="M99" s="1" t="str">
        <f>IF(Person1!$B$15+ROW(B97)-1&lt;=Person1!$C$15, Person1!$B$15+ROW(B97)-1, "")</f>
        <v/>
      </c>
      <c r="N99" s="1" t="str">
        <f>IF(Person1!$B$16+ROW(B97)-1&lt;=Person1!$C$16, Person1!$B$16+ROW(B97)-1, "")</f>
        <v/>
      </c>
      <c r="O99" s="1" t="str">
        <f>IF(Person1!$B$17+ROW(B97)-1&lt;=Person1!$C$17, Person1!$B$17+ROW(B97)-1, "")</f>
        <v/>
      </c>
      <c r="V99" s="1"/>
      <c r="W99" s="1"/>
      <c r="X99" s="1"/>
      <c r="Y99" s="1"/>
      <c r="Z99" s="1"/>
      <c r="AA99" s="1" t="str">
        <f>IF(Person1!$D$8+ROW(A97)-1&lt;=Person1!$E$8, Person1!$D$8+ROW(A97)-1, "")</f>
        <v/>
      </c>
      <c r="AE99" s="1" t="str">
        <f>IF(Person1!$F$3+ROW(A97)-1&lt;=Person1!$G$3, Person1!$F$3+ROW(A97)-1, "")</f>
        <v/>
      </c>
      <c r="AF99" s="1" t="str">
        <f>IF(Person1!$F$4+ROW(A97)-1&lt;=Person1!$G$4, Person1!$F$4+ROW(A97)-1, "")</f>
        <v/>
      </c>
      <c r="AG99" s="1" t="str">
        <f>IF(Person1!$F$5+ROW(A97)-1&lt;=Person1!$G$5, Person1!$F$5+ROW(A97)-1, "")</f>
        <v/>
      </c>
      <c r="AH99" s="1" t="str">
        <f>IF(Person1!$F$6+ROW(A97)-1&lt;=Person1!$G$6, Person1!$F$6+ROW(A97)-1, "")</f>
        <v/>
      </c>
      <c r="AI99" s="1" t="str">
        <f>IF(Person1!$F$7+ROW(A97)-1&lt;=Person1!$G$7, Person1!$F$7+ROW(A97)-1, "")</f>
        <v/>
      </c>
    </row>
    <row r="100" spans="1:35" x14ac:dyDescent="0.3">
      <c r="A100" s="1" t="str">
        <f>IF(Person1!$B$3+ROW(A98)-1&lt;=Person1!$C$3, Person1!$B$3+ROW(A98)-1, "")</f>
        <v/>
      </c>
      <c r="B100" s="1" t="str">
        <f>IF(Person1!$B$4+ROW(B98)-1&lt;=Person1!$C$4, Person1!$B$4+ROW(B98)-1, "")</f>
        <v/>
      </c>
      <c r="C100" s="1" t="str">
        <f>IF(Person1!$B$5+ROW(B98)-1&lt;=Person1!$C$5, Person1!$B$5+ROW(B98)-1, "")</f>
        <v/>
      </c>
      <c r="D100" s="1" t="str">
        <f>IF(Person1!$B$6+ROW(B98)-1&lt;=Person1!$C$6, Person1!$B$6+ROW(B98)-1, "")</f>
        <v/>
      </c>
      <c r="E100" s="1" t="str">
        <f>IF(Person1!$B$7+ROW(B98)-1&lt;=Person1!$C$7, Person1!$B$7+ROW(B98)-1, "")</f>
        <v/>
      </c>
      <c r="F100" s="1" t="str">
        <f>IF(Person1!$B$8+ROW(B98)-1&lt;=Person1!$C$8, Person1!$B$8+ROW(B98)-1, "")</f>
        <v/>
      </c>
      <c r="G100" s="1" t="str">
        <f>IF(Person1!$B$9+ROW(B98)-1&lt;=Person1!$C$9, Person1!$B$9+ROW(B98)-1, "")</f>
        <v/>
      </c>
      <c r="H100" s="1"/>
      <c r="I100" s="1" t="str">
        <f>IF(Person1!$B$11+ROW(B98)-1&lt;=Person1!$C$11, Person1!$B$11+ROW(B98)-1, "")</f>
        <v/>
      </c>
      <c r="J100" s="1" t="str">
        <f>IF(Person1!$B$12+ROW(B98)-1&lt;=Person1!$C$12, Person1!$B$12+ROW(B98)-1, "")</f>
        <v/>
      </c>
      <c r="K100" s="1" t="str">
        <f>IF(Person1!$B$13+ROW(B98)-1&lt;=Person1!$C$13, Person1!$B$13+ROW(B98)-1, "")</f>
        <v/>
      </c>
      <c r="L100" s="1" t="str">
        <f>IF(Person1!$B$14+ROW(B98)-1&lt;=Person1!$C$14, Person1!$B$14+ROW(B98)-1, "")</f>
        <v/>
      </c>
      <c r="M100" s="1" t="str">
        <f>IF(Person1!$B$15+ROW(B98)-1&lt;=Person1!$C$15, Person1!$B$15+ROW(B98)-1, "")</f>
        <v/>
      </c>
      <c r="N100" s="1" t="str">
        <f>IF(Person1!$B$16+ROW(B98)-1&lt;=Person1!$C$16, Person1!$B$16+ROW(B98)-1, "")</f>
        <v/>
      </c>
      <c r="O100" s="1" t="str">
        <f>IF(Person1!$B$17+ROW(B98)-1&lt;=Person1!$C$17, Person1!$B$17+ROW(B98)-1, "")</f>
        <v/>
      </c>
      <c r="AE100" s="1" t="str">
        <f>IF(Person1!$F$3+ROW(A98)-1&lt;=Person1!$G$3, Person1!$F$3+ROW(A98)-1, "")</f>
        <v/>
      </c>
      <c r="AF100" s="1" t="str">
        <f>IF(Person1!$F$4+ROW(A98)-1&lt;=Person1!$G$4, Person1!$F$4+ROW(A98)-1, "")</f>
        <v/>
      </c>
      <c r="AG100" s="1" t="str">
        <f>IF(Person1!$F$5+ROW(A98)-1&lt;=Person1!$G$5, Person1!$F$5+ROW(A98)-1, "")</f>
        <v/>
      </c>
      <c r="AH100" s="1" t="str">
        <f>IF(Person1!$F$6+ROW(A98)-1&lt;=Person1!$G$6, Person1!$F$6+ROW(A98)-1, "")</f>
        <v/>
      </c>
      <c r="AI100" s="1" t="str">
        <f>IF(Person1!$F$7+ROW(A98)-1&lt;=Person1!$G$7, Person1!$F$7+ROW(A98)-1, "")</f>
        <v/>
      </c>
    </row>
    <row r="101" spans="1:35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 t="str">
        <f>IF(Person1!$B$16+ROW(B99)-1&lt;=Person1!$C$16, Person1!$B$16+ROW(B99)-1, "")</f>
        <v/>
      </c>
      <c r="O101" s="1" t="str">
        <f>IF(Person1!$B$17+ROW(B99)-1&lt;=Person1!$C$17, Person1!$B$17+ROW(B99)-1, "")</f>
        <v/>
      </c>
      <c r="AE101" s="1" t="str">
        <f>IF(Person1!$F$3+ROW(A99)-1&lt;=Person1!$G$3, Person1!$F$3+ROW(A99)-1, "")</f>
        <v/>
      </c>
      <c r="AF101" s="1" t="str">
        <f>IF(Person1!$F$4+ROW(A99)-1&lt;=Person1!$G$4, Person1!$F$4+ROW(A99)-1, "")</f>
        <v/>
      </c>
      <c r="AG101" s="1" t="str">
        <f>IF(Person1!$F$5+ROW(A99)-1&lt;=Person1!$G$5, Person1!$F$5+ROW(A99)-1, "")</f>
        <v/>
      </c>
      <c r="AH101" s="1" t="str">
        <f>IF(Person1!$F$6+ROW(A99)-1&lt;=Person1!$G$6, Person1!$F$6+ROW(A99)-1, "")</f>
        <v/>
      </c>
      <c r="AI101" s="1" t="str">
        <f>IF(Person1!$F$7+ROW(A99)-1&lt;=Person1!$G$7, Person1!$F$7+ROW(A99)-1, "")</f>
        <v/>
      </c>
    </row>
    <row r="102" spans="1:35" x14ac:dyDescent="0.3">
      <c r="O102" s="1" t="str">
        <f>IF(Person1!$B$17+ROW(B100)-1&lt;=Person1!$C$17, Person1!$B$17+ROW(B100)-1, "")</f>
        <v/>
      </c>
      <c r="AE102" s="1" t="str">
        <f>IF(Person1!$F$3+ROW(A100)-1&lt;=Person1!$G$3, Person1!$F$3+ROW(A100)-1, "")</f>
        <v/>
      </c>
      <c r="AF102" s="1" t="str">
        <f>IF(Person1!$F$4+ROW(A100)-1&lt;=Person1!$G$4, Person1!$F$4+ROW(A100)-1, "")</f>
        <v/>
      </c>
      <c r="AG102" s="1" t="str">
        <f>IF(Person1!$F$5+ROW(A100)-1&lt;=Person1!$G$5, Person1!$F$5+ROW(A100)-1, "")</f>
        <v/>
      </c>
      <c r="AI102" s="1" t="str">
        <f>IF(Person1!$F$7+ROW(A100)-1&lt;=Person1!$G$7, Person1!$F$7+ROW(A100)-1, "")</f>
        <v/>
      </c>
    </row>
    <row r="103" spans="1:35" x14ac:dyDescent="0.3">
      <c r="O103" s="1" t="str">
        <f>IF(Person1!$B$17+ROW(B101)-1&lt;=Person1!$C$17, Person1!$B$17+ROW(B101)-1, "")</f>
        <v/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ECED5-3914-42C9-B4CD-2E24D8BF90F0}">
  <sheetPr codeName="Tabelle10"/>
  <dimension ref="A1:C20"/>
  <sheetViews>
    <sheetView workbookViewId="0">
      <selection activeCell="E10" sqref="E10"/>
    </sheetView>
  </sheetViews>
  <sheetFormatPr baseColWidth="10" defaultRowHeight="14.4" x14ac:dyDescent="0.3"/>
  <cols>
    <col min="1" max="1" width="15.33203125" bestFit="1" customWidth="1"/>
  </cols>
  <sheetData>
    <row r="1" spans="1:3" x14ac:dyDescent="0.3">
      <c r="B1" s="52" t="s">
        <v>5</v>
      </c>
      <c r="C1" s="53"/>
    </row>
    <row r="2" spans="1:3" x14ac:dyDescent="0.3">
      <c r="B2" s="28" t="s">
        <v>3</v>
      </c>
      <c r="C2" s="29" t="s">
        <v>2</v>
      </c>
    </row>
    <row r="3" spans="1:3" x14ac:dyDescent="0.3">
      <c r="A3" s="48" t="s">
        <v>46</v>
      </c>
      <c r="B3" s="38">
        <v>46111</v>
      </c>
      <c r="C3" s="42">
        <v>46123</v>
      </c>
    </row>
    <row r="4" spans="1:3" x14ac:dyDescent="0.3">
      <c r="A4" s="48" t="s">
        <v>47</v>
      </c>
      <c r="B4" s="38">
        <v>46168</v>
      </c>
      <c r="C4" s="42">
        <v>46168</v>
      </c>
    </row>
    <row r="5" spans="1:3" x14ac:dyDescent="0.3">
      <c r="A5" s="48" t="s">
        <v>48</v>
      </c>
      <c r="B5" s="38">
        <v>46223</v>
      </c>
      <c r="C5" s="42">
        <v>46266</v>
      </c>
    </row>
    <row r="6" spans="1:3" x14ac:dyDescent="0.3">
      <c r="A6" s="48" t="s">
        <v>49</v>
      </c>
      <c r="B6" s="38">
        <v>46312</v>
      </c>
      <c r="C6" s="42">
        <v>46326</v>
      </c>
    </row>
    <row r="7" spans="1:3" x14ac:dyDescent="0.3">
      <c r="A7" s="48" t="s">
        <v>50</v>
      </c>
      <c r="B7" s="38">
        <v>46379</v>
      </c>
      <c r="C7" s="42">
        <v>46387</v>
      </c>
    </row>
    <row r="8" spans="1:3" x14ac:dyDescent="0.3">
      <c r="A8" s="48"/>
      <c r="B8" s="40"/>
      <c r="C8" s="35"/>
    </row>
    <row r="9" spans="1:3" x14ac:dyDescent="0.3">
      <c r="A9" s="48"/>
      <c r="B9" s="40"/>
      <c r="C9" s="35"/>
    </row>
    <row r="10" spans="1:3" x14ac:dyDescent="0.3">
      <c r="A10" s="48"/>
      <c r="B10" s="40"/>
      <c r="C10" s="35"/>
    </row>
    <row r="11" spans="1:3" x14ac:dyDescent="0.3">
      <c r="A11" s="48"/>
      <c r="B11" s="40"/>
      <c r="C11" s="35"/>
    </row>
    <row r="12" spans="1:3" x14ac:dyDescent="0.3">
      <c r="A12" s="48"/>
      <c r="B12" s="40"/>
      <c r="C12" s="35"/>
    </row>
    <row r="13" spans="1:3" x14ac:dyDescent="0.3">
      <c r="A13" s="48"/>
      <c r="B13" s="40"/>
      <c r="C13" s="35"/>
    </row>
    <row r="14" spans="1:3" x14ac:dyDescent="0.3">
      <c r="A14" s="48"/>
      <c r="B14" s="40"/>
      <c r="C14" s="35"/>
    </row>
    <row r="15" spans="1:3" x14ac:dyDescent="0.3">
      <c r="A15" s="48"/>
      <c r="B15" s="40"/>
      <c r="C15" s="35"/>
    </row>
    <row r="16" spans="1:3" x14ac:dyDescent="0.3">
      <c r="A16" s="48"/>
      <c r="B16" s="40"/>
      <c r="C16" s="35"/>
    </row>
    <row r="17" spans="1:3" ht="15" thickBot="1" x14ac:dyDescent="0.35">
      <c r="A17" s="48"/>
      <c r="B17" s="43"/>
      <c r="C17" s="44"/>
    </row>
    <row r="18" spans="1:3" x14ac:dyDescent="0.3">
      <c r="B18" s="32"/>
      <c r="C18" s="32"/>
    </row>
    <row r="19" spans="1:3" x14ac:dyDescent="0.3">
      <c r="B19" s="32"/>
      <c r="C19" s="32"/>
    </row>
    <row r="20" spans="1:3" x14ac:dyDescent="0.3">
      <c r="B20" s="32"/>
      <c r="C20" s="32"/>
    </row>
  </sheetData>
  <sheetProtection password="CFF0" sheet="1" objects="1" scenarios="1"/>
  <mergeCells count="1">
    <mergeCell ref="B1:C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B525-71FD-4E71-A567-59E900861150}">
  <sheetPr codeName="Tabelle11"/>
  <dimension ref="A1:AC330"/>
  <sheetViews>
    <sheetView workbookViewId="0">
      <selection activeCell="A10" sqref="A10"/>
    </sheetView>
  </sheetViews>
  <sheetFormatPr baseColWidth="10" defaultRowHeight="14.4" x14ac:dyDescent="0.3"/>
  <sheetData>
    <row r="1" spans="1:29" x14ac:dyDescent="0.3">
      <c r="A1" t="s">
        <v>6</v>
      </c>
    </row>
    <row r="2" spans="1:29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</row>
    <row r="3" spans="1:29" x14ac:dyDescent="0.3">
      <c r="A3" s="1">
        <f>IF(Ferien!$B$3+ROW(A1)-1&lt;=Ferien!$C$3, Ferien!$B$3+ROW(A1)-1, "")</f>
        <v>46111</v>
      </c>
      <c r="B3" s="1">
        <f>IF(Ferien!$B$4+ROW(B1)-1&lt;=Ferien!$C$4, Ferien!$B$4+ROW(B1)-1, "")</f>
        <v>46168</v>
      </c>
      <c r="C3" s="1">
        <f>IF(Ferien!$B$5+ROW(B1)-1&lt;=Ferien!$C$5, Ferien!$B$5+ROW(B1)-1, "")</f>
        <v>46223</v>
      </c>
      <c r="D3" s="1">
        <f>IF(Ferien!$B$6+ROW(B1)-1&lt;=Ferien!$C$6, Ferien!$B$6+ROW(B1)-1, "")</f>
        <v>46312</v>
      </c>
      <c r="E3" s="1">
        <f>IF(Ferien!$B$7+ROW(B1)-1&lt;=Ferien!$C$7, Ferien!$B$7+ROW(B1)-1, "")</f>
        <v>46379</v>
      </c>
      <c r="F3" s="1">
        <f>IF(Ferien!$B$8+ROW(B1)-1&lt;=Ferien!$C$8, Ferien!$B$8+ROW(B1)-1, "")</f>
        <v>0</v>
      </c>
      <c r="G3" s="1">
        <f>IF(Ferien!$B$9+ROW(B1)-1&lt;=Ferien!$C$9, Ferien!$B$9+ROW(B1)-1, "")</f>
        <v>0</v>
      </c>
      <c r="H3" s="1">
        <f>IF(Ferien!$B$10+ROW(B1)-1&lt;=Ferien!$C$10, Ferien!$B$10+ROW(B1)-1, "")</f>
        <v>0</v>
      </c>
      <c r="I3" s="1">
        <f>IF(Ferien!$B$11+ROW(B1)-1&lt;=Ferien!$C$11, Ferien!$B$11+ROW(B1)-1, "")</f>
        <v>0</v>
      </c>
      <c r="J3" s="1">
        <f>IF(Ferien!$B$12+ROW(B1)-1&lt;=Ferien!$C$12, Ferien!$B$12+ROW(B1)-1, "")</f>
        <v>0</v>
      </c>
      <c r="K3" s="1">
        <f>IF(Ferien!$B$13+ROW(B1)-1&lt;=Ferien!$C$13, Ferien!$B$13+ROW(B1)-1, "")</f>
        <v>0</v>
      </c>
      <c r="L3" s="1">
        <f>IF(Ferien!$B$14+ROW(B1)-1&lt;=Ferien!$C$14, Ferien!$B$14+ROW(B1)-1, "")</f>
        <v>0</v>
      </c>
      <c r="M3" s="1">
        <f>IF(Ferien!$B$15+ROW(B1)-1&lt;=Ferien!$C$15, Ferien!$B$15+ROW(B1)-1, "")</f>
        <v>0</v>
      </c>
      <c r="N3" s="1">
        <f>IF(Ferien!$B$16+ROW(B1)-1&lt;=Ferien!$C$16, Ferien!$B$16+ROW(B1)-1, "")</f>
        <v>0</v>
      </c>
      <c r="O3" s="1">
        <f>IF(Ferien!$B$17+ROW(B1)-1&lt;=Ferien!$C$17, Ferien!$B$17+ROW(B1)-1, "")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3">
      <c r="A4" s="1">
        <f>IF(Ferien!$B$3+ROW(A2)-1&lt;=Ferien!$C$3, Ferien!$B$3+ROW(A2)-1, "")</f>
        <v>46112</v>
      </c>
      <c r="B4" s="1" t="str">
        <f>IF(Ferien!$B$4+ROW(B2)-1&lt;=Ferien!$C$4, Ferien!$B$4+ROW(B2)-1, "")</f>
        <v/>
      </c>
      <c r="C4" s="1">
        <f>IF(Ferien!$B$5+ROW(B2)-1&lt;=Ferien!$C$5, Ferien!$B$5+ROW(B2)-1, "")</f>
        <v>46224</v>
      </c>
      <c r="D4" s="1">
        <f>IF(Ferien!$B$6+ROW(B2)-1&lt;=Ferien!$C$6, Ferien!$B$6+ROW(B2)-1, "")</f>
        <v>46313</v>
      </c>
      <c r="E4" s="1">
        <f>IF(Ferien!$B$7+ROW(B2)-1&lt;=Ferien!$C$7, Ferien!$B$7+ROW(B2)-1, "")</f>
        <v>46380</v>
      </c>
      <c r="F4" s="1" t="str">
        <f>IF(Ferien!$B$8+ROW(B2)-1&lt;=Ferien!$C$8, Ferien!$B$8+ROW(B2)-1, "")</f>
        <v/>
      </c>
      <c r="G4" s="1" t="str">
        <f>IF(Ferien!$B$9+ROW(B2)-1&lt;=Ferien!$C$9, Ferien!$B$9+ROW(B2)-1, "")</f>
        <v/>
      </c>
      <c r="H4" s="1" t="str">
        <f>IF(Ferien!$B$10+ROW(B2)-1&lt;=Ferien!$C$10, Ferien!$B$10+ROW(B2)-1, "")</f>
        <v/>
      </c>
      <c r="I4" s="1" t="str">
        <f>IF(Ferien!$B$11+ROW(B2)-1&lt;=Ferien!$C$11, Ferien!$B$11+ROW(B2)-1, "")</f>
        <v/>
      </c>
      <c r="J4" s="1" t="str">
        <f>IF(Ferien!$B$12+ROW(B2)-1&lt;=Ferien!$C$12, Ferien!$B$12+ROW(B2)-1, "")</f>
        <v/>
      </c>
      <c r="K4" s="1" t="str">
        <f>IF(Ferien!$B$13+ROW(B2)-1&lt;=Ferien!$C$13, Ferien!$B$13+ROW(B2)-1, "")</f>
        <v/>
      </c>
      <c r="L4" s="1" t="str">
        <f>IF(Ferien!$B$14+ROW(B2)-1&lt;=Ferien!$C$14, Ferien!$B$14+ROW(B2)-1, "")</f>
        <v/>
      </c>
      <c r="M4" s="1" t="str">
        <f>IF(Ferien!$B$15+ROW(B2)-1&lt;=Ferien!$C$15, Ferien!$B$15+ROW(B2)-1, "")</f>
        <v/>
      </c>
      <c r="N4" s="1" t="str">
        <f>IF(Ferien!$B$16+ROW(B2)-1&lt;=Ferien!$C$16, Ferien!$B$16+ROW(B2)-1, "")</f>
        <v/>
      </c>
      <c r="O4" s="1" t="str">
        <f>IF(Ferien!$B$17+ROW(B2)-1&lt;=Ferien!$C$17, Ferien!$B$17+ROW(B2)-1, "")</f>
        <v/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3">
      <c r="A5" s="1">
        <f>IF(Ferien!$B$3+ROW(A3)-1&lt;=Ferien!$C$3, Ferien!$B$3+ROW(A3)-1, "")</f>
        <v>46113</v>
      </c>
      <c r="B5" s="1" t="str">
        <f>IF(Ferien!$B$4+ROW(B3)-1&lt;=Ferien!$C$4, Ferien!$B$4+ROW(B3)-1, "")</f>
        <v/>
      </c>
      <c r="C5" s="1">
        <f>IF(Ferien!$B$5+ROW(B3)-1&lt;=Ferien!$C$5, Ferien!$B$5+ROW(B3)-1, "")</f>
        <v>46225</v>
      </c>
      <c r="D5" s="1">
        <f>IF(Ferien!$B$6+ROW(B3)-1&lt;=Ferien!$C$6, Ferien!$B$6+ROW(B3)-1, "")</f>
        <v>46314</v>
      </c>
      <c r="E5" s="1">
        <f>IF(Ferien!$B$7+ROW(B3)-1&lt;=Ferien!$C$7, Ferien!$B$7+ROW(B3)-1, "")</f>
        <v>46381</v>
      </c>
      <c r="F5" s="1" t="str">
        <f>IF(Ferien!$B$8+ROW(B3)-1&lt;=Ferien!$C$8, Ferien!$B$8+ROW(B3)-1, "")</f>
        <v/>
      </c>
      <c r="G5" s="1" t="str">
        <f>IF(Ferien!$B$9+ROW(B3)-1&lt;=Ferien!$C$9, Ferien!$B$9+ROW(B3)-1, "")</f>
        <v/>
      </c>
      <c r="H5" s="1" t="str">
        <f>IF(Ferien!$B$10+ROW(B3)-1&lt;=Ferien!$C$10, Ferien!$B$10+ROW(B3)-1, "")</f>
        <v/>
      </c>
      <c r="I5" s="1" t="str">
        <f>IF(Ferien!$B$11+ROW(B3)-1&lt;=Ferien!$C$11, Ferien!$B$11+ROW(B3)-1, "")</f>
        <v/>
      </c>
      <c r="J5" s="1" t="str">
        <f>IF(Ferien!$B$12+ROW(B3)-1&lt;=Ferien!$C$12, Ferien!$B$12+ROW(B3)-1, "")</f>
        <v/>
      </c>
      <c r="K5" s="1" t="str">
        <f>IF(Ferien!$B$13+ROW(B3)-1&lt;=Ferien!$C$13, Ferien!$B$13+ROW(B3)-1, "")</f>
        <v/>
      </c>
      <c r="L5" s="1" t="str">
        <f>IF(Ferien!$B$14+ROW(B3)-1&lt;=Ferien!$C$14, Ferien!$B$14+ROW(B3)-1, "")</f>
        <v/>
      </c>
      <c r="M5" s="1" t="str">
        <f>IF(Ferien!$B$15+ROW(B3)-1&lt;=Ferien!$C$15, Ferien!$B$15+ROW(B3)-1, "")</f>
        <v/>
      </c>
      <c r="N5" s="1" t="str">
        <f>IF(Ferien!$B$16+ROW(B3)-1&lt;=Ferien!$C$16, Ferien!$B$16+ROW(B3)-1, "")</f>
        <v/>
      </c>
      <c r="O5" s="1" t="str">
        <f>IF(Ferien!$B$17+ROW(B3)-1&lt;=Ferien!$C$17, Ferien!$B$17+ROW(B3)-1, "")</f>
        <v/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3">
      <c r="A6" s="1">
        <f>IF(Ferien!$B$3+ROW(A4)-1&lt;=Ferien!$C$3, Ferien!$B$3+ROW(A4)-1, "")</f>
        <v>46114</v>
      </c>
      <c r="B6" s="1" t="str">
        <f>IF(Ferien!$B$4+ROW(B4)-1&lt;=Ferien!$C$4, Ferien!$B$4+ROW(B4)-1, "")</f>
        <v/>
      </c>
      <c r="C6" s="1">
        <f>IF(Ferien!$B$5+ROW(B4)-1&lt;=Ferien!$C$5, Ferien!$B$5+ROW(B4)-1, "")</f>
        <v>46226</v>
      </c>
      <c r="D6" s="1">
        <f>IF(Ferien!$B$6+ROW(B4)-1&lt;=Ferien!$C$6, Ferien!$B$6+ROW(B4)-1, "")</f>
        <v>46315</v>
      </c>
      <c r="E6" s="1">
        <f>IF(Ferien!$B$7+ROW(B4)-1&lt;=Ferien!$C$7, Ferien!$B$7+ROW(B4)-1, "")</f>
        <v>46382</v>
      </c>
      <c r="F6" s="1" t="str">
        <f>IF(Ferien!$B$8+ROW(B4)-1&lt;=Ferien!$C$8, Ferien!$B$8+ROW(B4)-1, "")</f>
        <v/>
      </c>
      <c r="G6" s="1" t="str">
        <f>IF(Ferien!$B$9+ROW(B4)-1&lt;=Ferien!$C$9, Ferien!$B$9+ROW(B4)-1, "")</f>
        <v/>
      </c>
      <c r="H6" s="1" t="str">
        <f>IF(Ferien!$B$10+ROW(B4)-1&lt;=Ferien!$C$10, Ferien!$B$10+ROW(B4)-1, "")</f>
        <v/>
      </c>
      <c r="I6" s="1" t="str">
        <f>IF(Ferien!$B$11+ROW(B4)-1&lt;=Ferien!$C$11, Ferien!$B$11+ROW(B4)-1, "")</f>
        <v/>
      </c>
      <c r="J6" s="1" t="str">
        <f>IF(Ferien!$B$12+ROW(B4)-1&lt;=Ferien!$C$12, Ferien!$B$12+ROW(B4)-1, "")</f>
        <v/>
      </c>
      <c r="K6" s="1" t="str">
        <f>IF(Ferien!$B$13+ROW(B4)-1&lt;=Ferien!$C$13, Ferien!$B$13+ROW(B4)-1, "")</f>
        <v/>
      </c>
      <c r="L6" s="1" t="str">
        <f>IF(Ferien!$B$14+ROW(B4)-1&lt;=Ferien!$C$14, Ferien!$B$14+ROW(B4)-1, "")</f>
        <v/>
      </c>
      <c r="M6" s="1" t="str">
        <f>IF(Ferien!$B$15+ROW(B4)-1&lt;=Ferien!$C$15, Ferien!$B$15+ROW(B4)-1, "")</f>
        <v/>
      </c>
      <c r="N6" s="1" t="str">
        <f>IF(Ferien!$B$16+ROW(B4)-1&lt;=Ferien!$C$16, Ferien!$B$16+ROW(B4)-1, "")</f>
        <v/>
      </c>
      <c r="O6" s="1" t="str">
        <f>IF(Ferien!$B$17+ROW(B4)-1&lt;=Ferien!$C$17, Ferien!$B$17+ROW(B4)-1, "")</f>
        <v/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3">
      <c r="A7" s="1">
        <f>IF(Ferien!$B$3+ROW(A5)-1&lt;=Ferien!$C$3, Ferien!$B$3+ROW(A5)-1, "")</f>
        <v>46115</v>
      </c>
      <c r="B7" s="1" t="str">
        <f>IF(Ferien!$B$4+ROW(B5)-1&lt;=Ferien!$C$4, Ferien!$B$4+ROW(B5)-1, "")</f>
        <v/>
      </c>
      <c r="C7" s="1">
        <f>IF(Ferien!$B$5+ROW(B5)-1&lt;=Ferien!$C$5, Ferien!$B$5+ROW(B5)-1, "")</f>
        <v>46227</v>
      </c>
      <c r="D7" s="1">
        <f>IF(Ferien!$B$6+ROW(B5)-1&lt;=Ferien!$C$6, Ferien!$B$6+ROW(B5)-1, "")</f>
        <v>46316</v>
      </c>
      <c r="E7" s="1">
        <f>IF(Ferien!$B$7+ROW(B5)-1&lt;=Ferien!$C$7, Ferien!$B$7+ROW(B5)-1, "")</f>
        <v>46383</v>
      </c>
      <c r="F7" s="1" t="str">
        <f>IF(Ferien!$B$8+ROW(B5)-1&lt;=Ferien!$C$8, Ferien!$B$8+ROW(B5)-1, "")</f>
        <v/>
      </c>
      <c r="G7" s="1" t="str">
        <f>IF(Ferien!$B$9+ROW(B5)-1&lt;=Ferien!$C$9, Ferien!$B$9+ROW(B5)-1, "")</f>
        <v/>
      </c>
      <c r="H7" s="1" t="str">
        <f>IF(Ferien!$B$10+ROW(B5)-1&lt;=Ferien!$C$10, Ferien!$B$10+ROW(B5)-1, "")</f>
        <v/>
      </c>
      <c r="I7" s="1" t="str">
        <f>IF(Ferien!$B$11+ROW(B5)-1&lt;=Ferien!$C$11, Ferien!$B$11+ROW(B5)-1, "")</f>
        <v/>
      </c>
      <c r="J7" s="1" t="str">
        <f>IF(Ferien!$B$12+ROW(B5)-1&lt;=Ferien!$C$12, Ferien!$B$12+ROW(B5)-1, "")</f>
        <v/>
      </c>
      <c r="K7" s="1" t="str">
        <f>IF(Ferien!$B$13+ROW(B5)-1&lt;=Ferien!$C$13, Ferien!$B$13+ROW(B5)-1, "")</f>
        <v/>
      </c>
      <c r="L7" s="1" t="str">
        <f>IF(Ferien!$B$14+ROW(B5)-1&lt;=Ferien!$C$14, Ferien!$B$14+ROW(B5)-1, "")</f>
        <v/>
      </c>
      <c r="M7" s="1" t="str">
        <f>IF(Ferien!$B$15+ROW(B5)-1&lt;=Ferien!$C$15, Ferien!$B$15+ROW(B5)-1, "")</f>
        <v/>
      </c>
      <c r="N7" s="1" t="str">
        <f>IF(Ferien!$B$16+ROW(B5)-1&lt;=Ferien!$C$16, Ferien!$B$16+ROW(B5)-1, "")</f>
        <v/>
      </c>
      <c r="O7" s="1" t="str">
        <f>IF(Ferien!$B$17+ROW(B5)-1&lt;=Ferien!$C$17, Ferien!$B$17+ROW(B5)-1, "")</f>
        <v/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3">
      <c r="A8" s="1">
        <f>IF(Ferien!$B$3+ROW(A6)-1&lt;=Ferien!$C$3, Ferien!$B$3+ROW(A6)-1, "")</f>
        <v>46116</v>
      </c>
      <c r="B8" s="1" t="str">
        <f>IF(Ferien!$B$4+ROW(B6)-1&lt;=Ferien!$C$4, Ferien!$B$4+ROW(B6)-1, "")</f>
        <v/>
      </c>
      <c r="C8" s="1">
        <f>IF(Ferien!$B$5+ROW(B6)-1&lt;=Ferien!$C$5, Ferien!$B$5+ROW(B6)-1, "")</f>
        <v>46228</v>
      </c>
      <c r="D8" s="1">
        <f>IF(Ferien!$B$6+ROW(B6)-1&lt;=Ferien!$C$6, Ferien!$B$6+ROW(B6)-1, "")</f>
        <v>46317</v>
      </c>
      <c r="E8" s="1">
        <f>IF(Ferien!$B$7+ROW(B6)-1&lt;=Ferien!$C$7, Ferien!$B$7+ROW(B6)-1, "")</f>
        <v>46384</v>
      </c>
      <c r="F8" s="1" t="str">
        <f>IF(Ferien!$B$8+ROW(B6)-1&lt;=Ferien!$C$8, Ferien!$B$8+ROW(B6)-1, "")</f>
        <v/>
      </c>
      <c r="G8" s="1" t="str">
        <f>IF(Ferien!$B$9+ROW(B6)-1&lt;=Ferien!$C$9, Ferien!$B$9+ROW(B6)-1, "")</f>
        <v/>
      </c>
      <c r="H8" s="1" t="str">
        <f>IF(Ferien!$B$10+ROW(B6)-1&lt;=Ferien!$C$10, Ferien!$B$10+ROW(B6)-1, "")</f>
        <v/>
      </c>
      <c r="I8" s="1" t="str">
        <f>IF(Ferien!$B$11+ROW(B6)-1&lt;=Ferien!$C$11, Ferien!$B$11+ROW(B6)-1, "")</f>
        <v/>
      </c>
      <c r="J8" s="1" t="str">
        <f>IF(Ferien!$B$12+ROW(B6)-1&lt;=Ferien!$C$12, Ferien!$B$12+ROW(B6)-1, "")</f>
        <v/>
      </c>
      <c r="K8" s="1" t="str">
        <f>IF(Ferien!$B$13+ROW(B6)-1&lt;=Ferien!$C$13, Ferien!$B$13+ROW(B6)-1, "")</f>
        <v/>
      </c>
      <c r="L8" s="1" t="str">
        <f>IF(Ferien!$B$14+ROW(B6)-1&lt;=Ferien!$C$14, Ferien!$B$14+ROW(B6)-1, "")</f>
        <v/>
      </c>
      <c r="M8" s="1" t="str">
        <f>IF(Ferien!$B$15+ROW(B6)-1&lt;=Ferien!$C$15, Ferien!$B$15+ROW(B6)-1, "")</f>
        <v/>
      </c>
      <c r="N8" s="1" t="str">
        <f>IF(Ferien!$B$16+ROW(B6)-1&lt;=Ferien!$C$16, Ferien!$B$16+ROW(B6)-1, "")</f>
        <v/>
      </c>
      <c r="O8" s="1" t="str">
        <f>IF(Ferien!$B$17+ROW(B6)-1&lt;=Ferien!$C$17, Ferien!$B$17+ROW(B6)-1, "")</f>
        <v/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3">
      <c r="A9" s="1">
        <f>IF(Ferien!$B$3+ROW(A7)-1&lt;=Ferien!$C$3, Ferien!$B$3+ROW(A7)-1, "")</f>
        <v>46117</v>
      </c>
      <c r="B9" s="1" t="str">
        <f>IF(Ferien!$B$4+ROW(B7)-1&lt;=Ferien!$C$4, Ferien!$B$4+ROW(B7)-1, "")</f>
        <v/>
      </c>
      <c r="C9" s="1">
        <f>IF(Ferien!$B$5+ROW(B7)-1&lt;=Ferien!$C$5, Ferien!$B$5+ROW(B7)-1, "")</f>
        <v>46229</v>
      </c>
      <c r="D9" s="1">
        <f>IF(Ferien!$B$6+ROW(B7)-1&lt;=Ferien!$C$6, Ferien!$B$6+ROW(B7)-1, "")</f>
        <v>46318</v>
      </c>
      <c r="E9" s="1">
        <f>IF(Ferien!$B$7+ROW(B7)-1&lt;=Ferien!$C$7, Ferien!$B$7+ROW(B7)-1, "")</f>
        <v>46385</v>
      </c>
      <c r="F9" s="1" t="str">
        <f>IF(Ferien!$B$8+ROW(B7)-1&lt;=Ferien!$C$8, Ferien!$B$8+ROW(B7)-1, "")</f>
        <v/>
      </c>
      <c r="G9" s="1" t="str">
        <f>IF(Ferien!$B$9+ROW(B7)-1&lt;=Ferien!$C$9, Ferien!$B$9+ROW(B7)-1, "")</f>
        <v/>
      </c>
      <c r="H9" s="1" t="str">
        <f>IF(Ferien!$B$10+ROW(B7)-1&lt;=Ferien!$C$10, Ferien!$B$10+ROW(B7)-1, "")</f>
        <v/>
      </c>
      <c r="I9" s="1" t="str">
        <f>IF(Ferien!$B$11+ROW(B7)-1&lt;=Ferien!$C$11, Ferien!$B$11+ROW(B7)-1, "")</f>
        <v/>
      </c>
      <c r="J9" s="1" t="str">
        <f>IF(Ferien!$B$12+ROW(B7)-1&lt;=Ferien!$C$12, Ferien!$B$12+ROW(B7)-1, "")</f>
        <v/>
      </c>
      <c r="K9" s="1" t="str">
        <f>IF(Ferien!$B$13+ROW(B7)-1&lt;=Ferien!$C$13, Ferien!$B$13+ROW(B7)-1, "")</f>
        <v/>
      </c>
      <c r="L9" s="1" t="str">
        <f>IF(Ferien!$B$14+ROW(B7)-1&lt;=Ferien!$C$14, Ferien!$B$14+ROW(B7)-1, "")</f>
        <v/>
      </c>
      <c r="M9" s="1" t="str">
        <f>IF(Ferien!$B$15+ROW(B7)-1&lt;=Ferien!$C$15, Ferien!$B$15+ROW(B7)-1, "")</f>
        <v/>
      </c>
      <c r="N9" s="1" t="str">
        <f>IF(Ferien!$B$16+ROW(B7)-1&lt;=Ferien!$C$16, Ferien!$B$16+ROW(B7)-1, "")</f>
        <v/>
      </c>
      <c r="O9" s="1" t="str">
        <f>IF(Ferien!$B$17+ROW(B7)-1&lt;=Ferien!$C$17, Ferien!$B$17+ROW(B7)-1, "")</f>
        <v/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3">
      <c r="A10" s="1">
        <f>IF(Ferien!$B$3+ROW(A8)-1&lt;=Ferien!$C$3, Ferien!$B$3+ROW(A8)-1, "")</f>
        <v>46118</v>
      </c>
      <c r="B10" s="1" t="str">
        <f>IF(Ferien!$B$4+ROW(B8)-1&lt;=Ferien!$C$4, Ferien!$B$4+ROW(B8)-1, "")</f>
        <v/>
      </c>
      <c r="C10" s="1">
        <f>IF(Ferien!$B$5+ROW(B8)-1&lt;=Ferien!$C$5, Ferien!$B$5+ROW(B8)-1, "")</f>
        <v>46230</v>
      </c>
      <c r="D10" s="1">
        <f>IF(Ferien!$B$6+ROW(B8)-1&lt;=Ferien!$C$6, Ferien!$B$6+ROW(B8)-1, "")</f>
        <v>46319</v>
      </c>
      <c r="E10" s="1">
        <f>IF(Ferien!$B$7+ROW(B8)-1&lt;=Ferien!$C$7, Ferien!$B$7+ROW(B8)-1, "")</f>
        <v>46386</v>
      </c>
      <c r="F10" s="1" t="str">
        <f>IF(Ferien!$B$8+ROW(B8)-1&lt;=Ferien!$C$8, Ferien!$B$8+ROW(B8)-1, "")</f>
        <v/>
      </c>
      <c r="G10" s="1" t="str">
        <f>IF(Ferien!$B$9+ROW(B8)-1&lt;=Ferien!$C$9, Ferien!$B$9+ROW(B8)-1, "")</f>
        <v/>
      </c>
      <c r="H10" s="1" t="str">
        <f>IF(Ferien!$B$10+ROW(B8)-1&lt;=Ferien!$C$10, Ferien!$B$10+ROW(B8)-1, "")</f>
        <v/>
      </c>
      <c r="I10" s="1" t="str">
        <f>IF(Ferien!$B$11+ROW(B8)-1&lt;=Ferien!$C$11, Ferien!$B$11+ROW(B8)-1, "")</f>
        <v/>
      </c>
      <c r="J10" s="1" t="str">
        <f>IF(Ferien!$B$12+ROW(B8)-1&lt;=Ferien!$C$12, Ferien!$B$12+ROW(B8)-1, "")</f>
        <v/>
      </c>
      <c r="K10" s="1" t="str">
        <f>IF(Ferien!$B$13+ROW(B8)-1&lt;=Ferien!$C$13, Ferien!$B$13+ROW(B8)-1, "")</f>
        <v/>
      </c>
      <c r="L10" s="1" t="str">
        <f>IF(Ferien!$B$14+ROW(B8)-1&lt;=Ferien!$C$14, Ferien!$B$14+ROW(B8)-1, "")</f>
        <v/>
      </c>
      <c r="M10" s="1" t="str">
        <f>IF(Ferien!$B$15+ROW(B8)-1&lt;=Ferien!$C$15, Ferien!$B$15+ROW(B8)-1, "")</f>
        <v/>
      </c>
      <c r="N10" s="1" t="str">
        <f>IF(Ferien!$B$16+ROW(B8)-1&lt;=Ferien!$C$16, Ferien!$B$16+ROW(B8)-1, "")</f>
        <v/>
      </c>
      <c r="O10" s="1" t="str">
        <f>IF(Ferien!$B$17+ROW(B8)-1&lt;=Ferien!$C$17, Ferien!$B$17+ROW(B8)-1, "")</f>
        <v/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3">
      <c r="A11" s="1">
        <f>IF(Ferien!$B$3+ROW(A9)-1&lt;=Ferien!$C$3, Ferien!$B$3+ROW(A9)-1, "")</f>
        <v>46119</v>
      </c>
      <c r="B11" s="1" t="str">
        <f>IF(Ferien!$B$4+ROW(B9)-1&lt;=Ferien!$C$4, Ferien!$B$4+ROW(B9)-1, "")</f>
        <v/>
      </c>
      <c r="C11" s="1">
        <f>IF(Ferien!$B$5+ROW(B9)-1&lt;=Ferien!$C$5, Ferien!$B$5+ROW(B9)-1, "")</f>
        <v>46231</v>
      </c>
      <c r="D11" s="1">
        <f>IF(Ferien!$B$6+ROW(B9)-1&lt;=Ferien!$C$6, Ferien!$B$6+ROW(B9)-1, "")</f>
        <v>46320</v>
      </c>
      <c r="E11" s="1">
        <f>IF(Ferien!$B$7+ROW(B9)-1&lt;=Ferien!$C$7, Ferien!$B$7+ROW(B9)-1, "")</f>
        <v>46387</v>
      </c>
      <c r="F11" s="1" t="str">
        <f>IF(Ferien!$B$8+ROW(B9)-1&lt;=Ferien!$C$8, Ferien!$B$8+ROW(B9)-1, "")</f>
        <v/>
      </c>
      <c r="G11" s="1" t="str">
        <f>IF(Ferien!$B$9+ROW(B9)-1&lt;=Ferien!$C$9, Ferien!$B$9+ROW(B9)-1, "")</f>
        <v/>
      </c>
      <c r="H11" s="1" t="str">
        <f>IF(Ferien!$B$10+ROW(B9)-1&lt;=Ferien!$C$10, Ferien!$B$10+ROW(B9)-1, "")</f>
        <v/>
      </c>
      <c r="I11" s="1" t="str">
        <f>IF(Ferien!$B$11+ROW(B9)-1&lt;=Ferien!$C$11, Ferien!$B$11+ROW(B9)-1, "")</f>
        <v/>
      </c>
      <c r="J11" s="1" t="str">
        <f>IF(Ferien!$B$12+ROW(B9)-1&lt;=Ferien!$C$12, Ferien!$B$12+ROW(B9)-1, "")</f>
        <v/>
      </c>
      <c r="K11" s="1" t="str">
        <f>IF(Ferien!$B$13+ROW(B9)-1&lt;=Ferien!$C$13, Ferien!$B$13+ROW(B9)-1, "")</f>
        <v/>
      </c>
      <c r="L11" s="1" t="str">
        <f>IF(Ferien!$B$14+ROW(B9)-1&lt;=Ferien!$C$14, Ferien!$B$14+ROW(B9)-1, "")</f>
        <v/>
      </c>
      <c r="M11" s="1" t="str">
        <f>IF(Ferien!$B$15+ROW(B9)-1&lt;=Ferien!$C$15, Ferien!$B$15+ROW(B9)-1, "")</f>
        <v/>
      </c>
      <c r="N11" s="1" t="str">
        <f>IF(Ferien!$B$16+ROW(B9)-1&lt;=Ferien!$C$16, Ferien!$B$16+ROW(B9)-1, "")</f>
        <v/>
      </c>
      <c r="O11" s="1" t="str">
        <f>IF(Ferien!$B$17+ROW(B9)-1&lt;=Ferien!$C$17, Ferien!$B$17+ROW(B9)-1, "")</f>
        <v/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">
      <c r="A12" s="1">
        <f>IF(Ferien!$B$3+ROW(A10)-1&lt;=Ferien!$C$3, Ferien!$B$3+ROW(A10)-1, "")</f>
        <v>46120</v>
      </c>
      <c r="B12" s="1" t="str">
        <f>IF(Ferien!$B$4+ROW(B10)-1&lt;=Ferien!$C$4, Ferien!$B$4+ROW(B10)-1, "")</f>
        <v/>
      </c>
      <c r="C12" s="1">
        <f>IF(Ferien!$B$5+ROW(B10)-1&lt;=Ferien!$C$5, Ferien!$B$5+ROW(B10)-1, "")</f>
        <v>46232</v>
      </c>
      <c r="D12" s="1">
        <f>IF(Ferien!$B$6+ROW(B10)-1&lt;=Ferien!$C$6, Ferien!$B$6+ROW(B10)-1, "")</f>
        <v>46321</v>
      </c>
      <c r="E12" s="1" t="str">
        <f>IF(Ferien!$B$7+ROW(B10)-1&lt;=Ferien!$C$7, Ferien!$B$7+ROW(B10)-1, "")</f>
        <v/>
      </c>
      <c r="F12" s="1" t="str">
        <f>IF(Ferien!$B$8+ROW(B10)-1&lt;=Ferien!$C$8, Ferien!$B$8+ROW(B10)-1, "")</f>
        <v/>
      </c>
      <c r="G12" s="1" t="str">
        <f>IF(Ferien!$B$9+ROW(B10)-1&lt;=Ferien!$C$9, Ferien!$B$9+ROW(B10)-1, "")</f>
        <v/>
      </c>
      <c r="H12" s="1" t="str">
        <f>IF(Ferien!$B$10+ROW(B10)-1&lt;=Ferien!$C$10, Ferien!$B$10+ROW(B10)-1, "")</f>
        <v/>
      </c>
      <c r="I12" s="1" t="str">
        <f>IF(Ferien!$B$11+ROW(B10)-1&lt;=Ferien!$C$11, Ferien!$B$11+ROW(B10)-1, "")</f>
        <v/>
      </c>
      <c r="J12" s="1" t="str">
        <f>IF(Ferien!$B$12+ROW(B10)-1&lt;=Ferien!$C$12, Ferien!$B$12+ROW(B10)-1, "")</f>
        <v/>
      </c>
      <c r="K12" s="1" t="str">
        <f>IF(Ferien!$B$13+ROW(B10)-1&lt;=Ferien!$C$13, Ferien!$B$13+ROW(B10)-1, "")</f>
        <v/>
      </c>
      <c r="L12" s="1" t="str">
        <f>IF(Ferien!$B$14+ROW(B10)-1&lt;=Ferien!$C$14, Ferien!$B$14+ROW(B10)-1, "")</f>
        <v/>
      </c>
      <c r="M12" s="1" t="str">
        <f>IF(Ferien!$B$15+ROW(B10)-1&lt;=Ferien!$C$15, Ferien!$B$15+ROW(B10)-1, "")</f>
        <v/>
      </c>
      <c r="N12" s="1" t="str">
        <f>IF(Ferien!$B$16+ROW(B10)-1&lt;=Ferien!$C$16, Ferien!$B$16+ROW(B10)-1, "")</f>
        <v/>
      </c>
      <c r="O12" s="1" t="str">
        <f>IF(Ferien!$B$17+ROW(B10)-1&lt;=Ferien!$C$17, Ferien!$B$17+ROW(B10)-1, "")</f>
        <v/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3">
      <c r="A13" s="1">
        <f>IF(Ferien!$B$3+ROW(A11)-1&lt;=Ferien!$C$3, Ferien!$B$3+ROW(A11)-1, "")</f>
        <v>46121</v>
      </c>
      <c r="B13" s="1" t="str">
        <f>IF(Ferien!$B$4+ROW(B11)-1&lt;=Ferien!$C$4, Ferien!$B$4+ROW(B11)-1, "")</f>
        <v/>
      </c>
      <c r="C13" s="1">
        <f>IF(Ferien!$B$5+ROW(B11)-1&lt;=Ferien!$C$5, Ferien!$B$5+ROW(B11)-1, "")</f>
        <v>46233</v>
      </c>
      <c r="D13" s="1">
        <f>IF(Ferien!$B$6+ROW(B11)-1&lt;=Ferien!$C$6, Ferien!$B$6+ROW(B11)-1, "")</f>
        <v>46322</v>
      </c>
      <c r="E13" s="1" t="str">
        <f>IF(Ferien!$B$7+ROW(B11)-1&lt;=Ferien!$C$7, Ferien!$B$7+ROW(B11)-1, "")</f>
        <v/>
      </c>
      <c r="F13" s="1" t="str">
        <f>IF(Ferien!$B$8+ROW(B11)-1&lt;=Ferien!$C$8, Ferien!$B$8+ROW(B11)-1, "")</f>
        <v/>
      </c>
      <c r="G13" s="1" t="str">
        <f>IF(Ferien!$B$9+ROW(B11)-1&lt;=Ferien!$C$9, Ferien!$B$9+ROW(B11)-1, "")</f>
        <v/>
      </c>
      <c r="H13" s="1" t="str">
        <f>IF(Ferien!$B$10+ROW(B11)-1&lt;=Ferien!$C$10, Ferien!$B$10+ROW(B11)-1, "")</f>
        <v/>
      </c>
      <c r="I13" s="1" t="str">
        <f>IF(Ferien!$B$11+ROW(B11)-1&lt;=Ferien!$C$11, Ferien!$B$11+ROW(B11)-1, "")</f>
        <v/>
      </c>
      <c r="J13" s="1" t="str">
        <f>IF(Ferien!$B$12+ROW(B11)-1&lt;=Ferien!$C$12, Ferien!$B$12+ROW(B11)-1, "")</f>
        <v/>
      </c>
      <c r="K13" s="1" t="str">
        <f>IF(Ferien!$B$13+ROW(B11)-1&lt;=Ferien!$C$13, Ferien!$B$13+ROW(B11)-1, "")</f>
        <v/>
      </c>
      <c r="L13" s="1" t="str">
        <f>IF(Ferien!$B$14+ROW(B11)-1&lt;=Ferien!$C$14, Ferien!$B$14+ROW(B11)-1, "")</f>
        <v/>
      </c>
      <c r="M13" s="1" t="str">
        <f>IF(Ferien!$B$15+ROW(B11)-1&lt;=Ferien!$C$15, Ferien!$B$15+ROW(B11)-1, "")</f>
        <v/>
      </c>
      <c r="N13" s="1" t="str">
        <f>IF(Ferien!$B$16+ROW(B11)-1&lt;=Ferien!$C$16, Ferien!$B$16+ROW(B11)-1, "")</f>
        <v/>
      </c>
      <c r="O13" s="1" t="str">
        <f>IF(Ferien!$B$17+ROW(B11)-1&lt;=Ferien!$C$17, Ferien!$B$17+ROW(B11)-1, "")</f>
        <v/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3">
      <c r="A14" s="1">
        <f>IF(Ferien!$B$3+ROW(A12)-1&lt;=Ferien!$C$3, Ferien!$B$3+ROW(A12)-1, "")</f>
        <v>46122</v>
      </c>
      <c r="B14" s="1" t="str">
        <f>IF(Ferien!$B$4+ROW(B12)-1&lt;=Ferien!$C$4, Ferien!$B$4+ROW(B12)-1, "")</f>
        <v/>
      </c>
      <c r="C14" s="1">
        <f>IF(Ferien!$B$5+ROW(B12)-1&lt;=Ferien!$C$5, Ferien!$B$5+ROW(B12)-1, "")</f>
        <v>46234</v>
      </c>
      <c r="D14" s="1">
        <f>IF(Ferien!$B$6+ROW(B12)-1&lt;=Ferien!$C$6, Ferien!$B$6+ROW(B12)-1, "")</f>
        <v>46323</v>
      </c>
      <c r="E14" s="1" t="str">
        <f>IF(Ferien!$B$7+ROW(B12)-1&lt;=Ferien!$C$7, Ferien!$B$7+ROW(B12)-1, "")</f>
        <v/>
      </c>
      <c r="F14" s="1" t="str">
        <f>IF(Ferien!$B$8+ROW(B12)-1&lt;=Ferien!$C$8, Ferien!$B$8+ROW(B12)-1, "")</f>
        <v/>
      </c>
      <c r="G14" s="1" t="str">
        <f>IF(Ferien!$B$9+ROW(B12)-1&lt;=Ferien!$C$9, Ferien!$B$9+ROW(B12)-1, "")</f>
        <v/>
      </c>
      <c r="H14" s="1" t="str">
        <f>IF(Ferien!$B$10+ROW(B12)-1&lt;=Ferien!$C$10, Ferien!$B$10+ROW(B12)-1, "")</f>
        <v/>
      </c>
      <c r="I14" s="1" t="str">
        <f>IF(Ferien!$B$11+ROW(B12)-1&lt;=Ferien!$C$11, Ferien!$B$11+ROW(B12)-1, "")</f>
        <v/>
      </c>
      <c r="J14" s="1" t="str">
        <f>IF(Ferien!$B$12+ROW(B12)-1&lt;=Ferien!$C$12, Ferien!$B$12+ROW(B12)-1, "")</f>
        <v/>
      </c>
      <c r="K14" s="1" t="str">
        <f>IF(Ferien!$B$13+ROW(B12)-1&lt;=Ferien!$C$13, Ferien!$B$13+ROW(B12)-1, "")</f>
        <v/>
      </c>
      <c r="L14" s="1" t="str">
        <f>IF(Ferien!$B$14+ROW(B12)-1&lt;=Ferien!$C$14, Ferien!$B$14+ROW(B12)-1, "")</f>
        <v/>
      </c>
      <c r="M14" s="1" t="str">
        <f>IF(Ferien!$B$15+ROW(B12)-1&lt;=Ferien!$C$15, Ferien!$B$15+ROW(B12)-1, "")</f>
        <v/>
      </c>
      <c r="N14" s="1" t="str">
        <f>IF(Ferien!$B$16+ROW(B12)-1&lt;=Ferien!$C$16, Ferien!$B$16+ROW(B12)-1, "")</f>
        <v/>
      </c>
      <c r="O14" s="1" t="str">
        <f>IF(Ferien!$B$17+ROW(B12)-1&lt;=Ferien!$C$17, Ferien!$B$17+ROW(B12)-1, "")</f>
        <v/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3">
      <c r="A15" s="1">
        <f>IF(Ferien!$B$3+ROW(A13)-1&lt;=Ferien!$C$3, Ferien!$B$3+ROW(A13)-1, "")</f>
        <v>46123</v>
      </c>
      <c r="B15" s="1" t="str">
        <f>IF(Ferien!$B$4+ROW(B13)-1&lt;=Ferien!$C$4, Ferien!$B$4+ROW(B13)-1, "")</f>
        <v/>
      </c>
      <c r="C15" s="1">
        <f>IF(Ferien!$B$5+ROW(B13)-1&lt;=Ferien!$C$5, Ferien!$B$5+ROW(B13)-1, "")</f>
        <v>46235</v>
      </c>
      <c r="D15" s="1">
        <f>IF(Ferien!$B$6+ROW(B13)-1&lt;=Ferien!$C$6, Ferien!$B$6+ROW(B13)-1, "")</f>
        <v>46324</v>
      </c>
      <c r="E15" s="1" t="str">
        <f>IF(Ferien!$B$7+ROW(B13)-1&lt;=Ferien!$C$7, Ferien!$B$7+ROW(B13)-1, "")</f>
        <v/>
      </c>
      <c r="F15" s="1" t="str">
        <f>IF(Ferien!$B$8+ROW(B13)-1&lt;=Ferien!$C$8, Ferien!$B$8+ROW(B13)-1, "")</f>
        <v/>
      </c>
      <c r="G15" s="1" t="str">
        <f>IF(Ferien!$B$9+ROW(B13)-1&lt;=Ferien!$C$9, Ferien!$B$9+ROW(B13)-1, "")</f>
        <v/>
      </c>
      <c r="H15" s="1" t="str">
        <f>IF(Ferien!$B$10+ROW(B13)-1&lt;=Ferien!$C$10, Ferien!$B$10+ROW(B13)-1, "")</f>
        <v/>
      </c>
      <c r="I15" s="1" t="str">
        <f>IF(Ferien!$B$11+ROW(B13)-1&lt;=Ferien!$C$11, Ferien!$B$11+ROW(B13)-1, "")</f>
        <v/>
      </c>
      <c r="J15" s="1" t="str">
        <f>IF(Ferien!$B$12+ROW(B13)-1&lt;=Ferien!$C$12, Ferien!$B$12+ROW(B13)-1, "")</f>
        <v/>
      </c>
      <c r="K15" s="1" t="str">
        <f>IF(Ferien!$B$13+ROW(B13)-1&lt;=Ferien!$C$13, Ferien!$B$13+ROW(B13)-1, "")</f>
        <v/>
      </c>
      <c r="L15" s="1" t="str">
        <f>IF(Ferien!$B$14+ROW(B13)-1&lt;=Ferien!$C$14, Ferien!$B$14+ROW(B13)-1, "")</f>
        <v/>
      </c>
      <c r="M15" s="1" t="str">
        <f>IF(Ferien!$B$15+ROW(B13)-1&lt;=Ferien!$C$15, Ferien!$B$15+ROW(B13)-1, "")</f>
        <v/>
      </c>
      <c r="N15" s="1" t="str">
        <f>IF(Ferien!$B$16+ROW(B13)-1&lt;=Ferien!$C$16, Ferien!$B$16+ROW(B13)-1, "")</f>
        <v/>
      </c>
      <c r="O15" s="1" t="str">
        <f>IF(Ferien!$B$17+ROW(B13)-1&lt;=Ferien!$C$17, Ferien!$B$17+ROW(B13)-1, "")</f>
        <v/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3">
      <c r="A16" s="1" t="str">
        <f>IF(Ferien!$B$3+ROW(A14)-1&lt;=Ferien!$C$3, Ferien!$B$3+ROW(A14)-1, "")</f>
        <v/>
      </c>
      <c r="B16" s="1" t="str">
        <f>IF(Ferien!$B$4+ROW(B14)-1&lt;=Ferien!$C$4, Ferien!$B$4+ROW(B14)-1, "")</f>
        <v/>
      </c>
      <c r="C16" s="1">
        <f>IF(Ferien!$B$5+ROW(B14)-1&lt;=Ferien!$C$5, Ferien!$B$5+ROW(B14)-1, "")</f>
        <v>46236</v>
      </c>
      <c r="D16" s="1">
        <f>IF(Ferien!$B$6+ROW(B14)-1&lt;=Ferien!$C$6, Ferien!$B$6+ROW(B14)-1, "")</f>
        <v>46325</v>
      </c>
      <c r="E16" s="1" t="str">
        <f>IF(Ferien!$B$7+ROW(B14)-1&lt;=Ferien!$C$7, Ferien!$B$7+ROW(B14)-1, "")</f>
        <v/>
      </c>
      <c r="F16" s="1" t="str">
        <f>IF(Ferien!$B$8+ROW(B14)-1&lt;=Ferien!$C$8, Ferien!$B$8+ROW(B14)-1, "")</f>
        <v/>
      </c>
      <c r="G16" s="1" t="str">
        <f>IF(Ferien!$B$9+ROW(B14)-1&lt;=Ferien!$C$9, Ferien!$B$9+ROW(B14)-1, "")</f>
        <v/>
      </c>
      <c r="H16" s="1" t="str">
        <f>IF(Ferien!$B$10+ROW(B14)-1&lt;=Ferien!$C$10, Ferien!$B$10+ROW(B14)-1, "")</f>
        <v/>
      </c>
      <c r="I16" s="1" t="str">
        <f>IF(Ferien!$B$11+ROW(B14)-1&lt;=Ferien!$C$11, Ferien!$B$11+ROW(B14)-1, "")</f>
        <v/>
      </c>
      <c r="J16" s="1" t="str">
        <f>IF(Ferien!$B$12+ROW(B14)-1&lt;=Ferien!$C$12, Ferien!$B$12+ROW(B14)-1, "")</f>
        <v/>
      </c>
      <c r="K16" s="1" t="str">
        <f>IF(Ferien!$B$13+ROW(B14)-1&lt;=Ferien!$C$13, Ferien!$B$13+ROW(B14)-1, "")</f>
        <v/>
      </c>
      <c r="L16" s="1" t="str">
        <f>IF(Ferien!$B$14+ROW(B14)-1&lt;=Ferien!$C$14, Ferien!$B$14+ROW(B14)-1, "")</f>
        <v/>
      </c>
      <c r="M16" s="1" t="str">
        <f>IF(Ferien!$B$15+ROW(B14)-1&lt;=Ferien!$C$15, Ferien!$B$15+ROW(B14)-1, "")</f>
        <v/>
      </c>
      <c r="N16" s="1" t="str">
        <f>IF(Ferien!$B$16+ROW(B14)-1&lt;=Ferien!$C$16, Ferien!$B$16+ROW(B14)-1, "")</f>
        <v/>
      </c>
      <c r="O16" s="1" t="str">
        <f>IF(Ferien!$B$17+ROW(B14)-1&lt;=Ferien!$C$17, Ferien!$B$17+ROW(B14)-1, "")</f>
        <v/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3">
      <c r="A17" s="1" t="str">
        <f>IF(Ferien!$B$3+ROW(A15)-1&lt;=Ferien!$C$3, Ferien!$B$3+ROW(A15)-1, "")</f>
        <v/>
      </c>
      <c r="B17" s="1" t="str">
        <f>IF(Ferien!$B$4+ROW(B15)-1&lt;=Ferien!$C$4, Ferien!$B$4+ROW(B15)-1, "")</f>
        <v/>
      </c>
      <c r="C17" s="1">
        <f>IF(Ferien!$B$5+ROW(B15)-1&lt;=Ferien!$C$5, Ferien!$B$5+ROW(B15)-1, "")</f>
        <v>46237</v>
      </c>
      <c r="D17" s="1">
        <f>IF(Ferien!$B$6+ROW(B15)-1&lt;=Ferien!$C$6, Ferien!$B$6+ROW(B15)-1, "")</f>
        <v>46326</v>
      </c>
      <c r="E17" s="1" t="str">
        <f>IF(Ferien!$B$7+ROW(B15)-1&lt;=Ferien!$C$7, Ferien!$B$7+ROW(B15)-1, "")</f>
        <v/>
      </c>
      <c r="F17" s="1" t="str">
        <f>IF(Ferien!$B$8+ROW(B15)-1&lt;=Ferien!$C$8, Ferien!$B$8+ROW(B15)-1, "")</f>
        <v/>
      </c>
      <c r="G17" s="1" t="str">
        <f>IF(Ferien!$B$9+ROW(B15)-1&lt;=Ferien!$C$9, Ferien!$B$9+ROW(B15)-1, "")</f>
        <v/>
      </c>
      <c r="H17" s="1" t="str">
        <f>IF(Ferien!$B$10+ROW(B15)-1&lt;=Ferien!$C$10, Ferien!$B$10+ROW(B15)-1, "")</f>
        <v/>
      </c>
      <c r="I17" s="1" t="str">
        <f>IF(Ferien!$B$11+ROW(B15)-1&lt;=Ferien!$C$11, Ferien!$B$11+ROW(B15)-1, "")</f>
        <v/>
      </c>
      <c r="J17" s="1" t="str">
        <f>IF(Ferien!$B$12+ROW(B15)-1&lt;=Ferien!$C$12, Ferien!$B$12+ROW(B15)-1, "")</f>
        <v/>
      </c>
      <c r="K17" s="1" t="str">
        <f>IF(Ferien!$B$13+ROW(B15)-1&lt;=Ferien!$C$13, Ferien!$B$13+ROW(B15)-1, "")</f>
        <v/>
      </c>
      <c r="L17" s="1" t="str">
        <f>IF(Ferien!$B$14+ROW(B15)-1&lt;=Ferien!$C$14, Ferien!$B$14+ROW(B15)-1, "")</f>
        <v/>
      </c>
      <c r="M17" s="1" t="str">
        <f>IF(Ferien!$B$15+ROW(B15)-1&lt;=Ferien!$C$15, Ferien!$B$15+ROW(B15)-1, "")</f>
        <v/>
      </c>
      <c r="N17" s="1" t="str">
        <f>IF(Ferien!$B$16+ROW(B15)-1&lt;=Ferien!$C$16, Ferien!$B$16+ROW(B15)-1, "")</f>
        <v/>
      </c>
      <c r="O17" s="1" t="str">
        <f>IF(Ferien!$B$17+ROW(B15)-1&lt;=Ferien!$C$17, Ferien!$B$17+ROW(B15)-1, "")</f>
        <v/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3">
      <c r="A18" s="1" t="str">
        <f>IF(Ferien!$B$3+ROW(A16)-1&lt;=Ferien!$C$3, Ferien!$B$3+ROW(A16)-1, "")</f>
        <v/>
      </c>
      <c r="B18" s="1" t="str">
        <f>IF(Ferien!$B$4+ROW(B16)-1&lt;=Ferien!$C$4, Ferien!$B$4+ROW(B16)-1, "")</f>
        <v/>
      </c>
      <c r="C18" s="1">
        <f>IF(Ferien!$B$5+ROW(B16)-1&lt;=Ferien!$C$5, Ferien!$B$5+ROW(B16)-1, "")</f>
        <v>46238</v>
      </c>
      <c r="D18" s="1" t="str">
        <f>IF(Ferien!$B$6+ROW(B16)-1&lt;=Ferien!$C$6, Ferien!$B$6+ROW(B16)-1, "")</f>
        <v/>
      </c>
      <c r="E18" s="1" t="str">
        <f>IF(Ferien!$B$7+ROW(B16)-1&lt;=Ferien!$C$7, Ferien!$B$7+ROW(B16)-1, "")</f>
        <v/>
      </c>
      <c r="F18" s="1" t="str">
        <f>IF(Ferien!$B$8+ROW(B16)-1&lt;=Ferien!$C$8, Ferien!$B$8+ROW(B16)-1, "")</f>
        <v/>
      </c>
      <c r="G18" s="1" t="str">
        <f>IF(Ferien!$B$9+ROW(B16)-1&lt;=Ferien!$C$9, Ferien!$B$9+ROW(B16)-1, "")</f>
        <v/>
      </c>
      <c r="H18" s="1" t="str">
        <f>IF(Ferien!$B$10+ROW(B16)-1&lt;=Ferien!$C$10, Ferien!$B$10+ROW(B16)-1, "")</f>
        <v/>
      </c>
      <c r="I18" s="1" t="str">
        <f>IF(Ferien!$B$11+ROW(B16)-1&lt;=Ferien!$C$11, Ferien!$B$11+ROW(B16)-1, "")</f>
        <v/>
      </c>
      <c r="J18" s="1" t="str">
        <f>IF(Ferien!$B$12+ROW(B16)-1&lt;=Ferien!$C$12, Ferien!$B$12+ROW(B16)-1, "")</f>
        <v/>
      </c>
      <c r="K18" s="1" t="str">
        <f>IF(Ferien!$B$13+ROW(B16)-1&lt;=Ferien!$C$13, Ferien!$B$13+ROW(B16)-1, "")</f>
        <v/>
      </c>
      <c r="L18" s="1" t="str">
        <f>IF(Ferien!$B$14+ROW(B16)-1&lt;=Ferien!$C$14, Ferien!$B$14+ROW(B16)-1, "")</f>
        <v/>
      </c>
      <c r="M18" s="1" t="str">
        <f>IF(Ferien!$B$15+ROW(B16)-1&lt;=Ferien!$C$15, Ferien!$B$15+ROW(B16)-1, "")</f>
        <v/>
      </c>
      <c r="N18" s="1" t="str">
        <f>IF(Ferien!$B$16+ROW(B16)-1&lt;=Ferien!$C$16, Ferien!$B$16+ROW(B16)-1, "")</f>
        <v/>
      </c>
      <c r="O18" s="1" t="str">
        <f>IF(Ferien!$B$17+ROW(B16)-1&lt;=Ferien!$C$17, Ferien!$B$17+ROW(B16)-1, "")</f>
        <v/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3">
      <c r="A19" s="1" t="str">
        <f>IF(Ferien!$B$3+ROW(A17)-1&lt;=Ferien!$C$3, Ferien!$B$3+ROW(A17)-1, "")</f>
        <v/>
      </c>
      <c r="B19" s="1" t="str">
        <f>IF(Ferien!$B$4+ROW(B17)-1&lt;=Ferien!$C$4, Ferien!$B$4+ROW(B17)-1, "")</f>
        <v/>
      </c>
      <c r="C19" s="1">
        <f>IF(Ferien!$B$5+ROW(B17)-1&lt;=Ferien!$C$5, Ferien!$B$5+ROW(B17)-1, "")</f>
        <v>46239</v>
      </c>
      <c r="D19" s="1" t="str">
        <f>IF(Ferien!$B$6+ROW(B17)-1&lt;=Ferien!$C$6, Ferien!$B$6+ROW(B17)-1, "")</f>
        <v/>
      </c>
      <c r="E19" s="1" t="str">
        <f>IF(Ferien!$B$7+ROW(B17)-1&lt;=Ferien!$C$7, Ferien!$B$7+ROW(B17)-1, "")</f>
        <v/>
      </c>
      <c r="F19" s="1" t="str">
        <f>IF(Ferien!$B$8+ROW(B17)-1&lt;=Ferien!$C$8, Ferien!$B$8+ROW(B17)-1, "")</f>
        <v/>
      </c>
      <c r="G19" s="1" t="str">
        <f>IF(Ferien!$B$9+ROW(B17)-1&lt;=Ferien!$C$9, Ferien!$B$9+ROW(B17)-1, "")</f>
        <v/>
      </c>
      <c r="H19" s="1" t="str">
        <f>IF(Ferien!$B$10+ROW(B17)-1&lt;=Ferien!$C$10, Ferien!$B$10+ROW(B17)-1, "")</f>
        <v/>
      </c>
      <c r="I19" s="1" t="str">
        <f>IF(Ferien!$B$11+ROW(B17)-1&lt;=Ferien!$C$11, Ferien!$B$11+ROW(B17)-1, "")</f>
        <v/>
      </c>
      <c r="J19" s="1" t="str">
        <f>IF(Ferien!$B$12+ROW(B17)-1&lt;=Ferien!$C$12, Ferien!$B$12+ROW(B17)-1, "")</f>
        <v/>
      </c>
      <c r="K19" s="1" t="str">
        <f>IF(Ferien!$B$13+ROW(B17)-1&lt;=Ferien!$C$13, Ferien!$B$13+ROW(B17)-1, "")</f>
        <v/>
      </c>
      <c r="L19" s="1" t="str">
        <f>IF(Ferien!$B$14+ROW(B17)-1&lt;=Ferien!$C$14, Ferien!$B$14+ROW(B17)-1, "")</f>
        <v/>
      </c>
      <c r="M19" s="1" t="str">
        <f>IF(Ferien!$B$15+ROW(B17)-1&lt;=Ferien!$C$15, Ferien!$B$15+ROW(B17)-1, "")</f>
        <v/>
      </c>
      <c r="N19" s="1" t="str">
        <f>IF(Ferien!$B$16+ROW(B17)-1&lt;=Ferien!$C$16, Ferien!$B$16+ROW(B17)-1, "")</f>
        <v/>
      </c>
      <c r="O19" s="1" t="str">
        <f>IF(Ferien!$B$17+ROW(B17)-1&lt;=Ferien!$C$17, Ferien!$B$17+ROW(B17)-1, "")</f>
        <v/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3">
      <c r="A20" s="1" t="str">
        <f>IF(Ferien!$B$3+ROW(A18)-1&lt;=Ferien!$C$3, Ferien!$B$3+ROW(A18)-1, "")</f>
        <v/>
      </c>
      <c r="B20" s="1" t="str">
        <f>IF(Ferien!$B$4+ROW(B18)-1&lt;=Ferien!$C$4, Ferien!$B$4+ROW(B18)-1, "")</f>
        <v/>
      </c>
      <c r="C20" s="1">
        <f>IF(Ferien!$B$5+ROW(B18)-1&lt;=Ferien!$C$5, Ferien!$B$5+ROW(B18)-1, "")</f>
        <v>46240</v>
      </c>
      <c r="D20" s="1" t="str">
        <f>IF(Ferien!$B$6+ROW(B18)-1&lt;=Ferien!$C$6, Ferien!$B$6+ROW(B18)-1, "")</f>
        <v/>
      </c>
      <c r="E20" s="1" t="str">
        <f>IF(Ferien!$B$7+ROW(B18)-1&lt;=Ferien!$C$7, Ferien!$B$7+ROW(B18)-1, "")</f>
        <v/>
      </c>
      <c r="F20" s="1" t="str">
        <f>IF(Ferien!$B$8+ROW(B18)-1&lt;=Ferien!$C$8, Ferien!$B$8+ROW(B18)-1, "")</f>
        <v/>
      </c>
      <c r="G20" s="1" t="str">
        <f>IF(Ferien!$B$9+ROW(B18)-1&lt;=Ferien!$C$9, Ferien!$B$9+ROW(B18)-1, "")</f>
        <v/>
      </c>
      <c r="H20" s="1" t="str">
        <f>IF(Ferien!$B$10+ROW(B18)-1&lt;=Ferien!$C$10, Ferien!$B$10+ROW(B18)-1, "")</f>
        <v/>
      </c>
      <c r="I20" s="1" t="str">
        <f>IF(Ferien!$B$11+ROW(B18)-1&lt;=Ferien!$C$11, Ferien!$B$11+ROW(B18)-1, "")</f>
        <v/>
      </c>
      <c r="J20" s="1" t="str">
        <f>IF(Ferien!$B$12+ROW(B18)-1&lt;=Ferien!$C$12, Ferien!$B$12+ROW(B18)-1, "")</f>
        <v/>
      </c>
      <c r="K20" s="1" t="str">
        <f>IF(Ferien!$B$13+ROW(B18)-1&lt;=Ferien!$C$13, Ferien!$B$13+ROW(B18)-1, "")</f>
        <v/>
      </c>
      <c r="L20" s="1" t="str">
        <f>IF(Ferien!$B$14+ROW(B18)-1&lt;=Ferien!$C$14, Ferien!$B$14+ROW(B18)-1, "")</f>
        <v/>
      </c>
      <c r="M20" s="1" t="str">
        <f>IF(Ferien!$B$15+ROW(B18)-1&lt;=Ferien!$C$15, Ferien!$B$15+ROW(B18)-1, "")</f>
        <v/>
      </c>
      <c r="N20" s="1" t="str">
        <f>IF(Ferien!$B$16+ROW(B18)-1&lt;=Ferien!$C$16, Ferien!$B$16+ROW(B18)-1, "")</f>
        <v/>
      </c>
      <c r="O20" s="1" t="str">
        <f>IF(Ferien!$B$17+ROW(B18)-1&lt;=Ferien!$C$17, Ferien!$B$17+ROW(B18)-1, "")</f>
        <v/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3">
      <c r="A21" s="1" t="str">
        <f>IF(Ferien!$B$3+ROW(A19)-1&lt;=Ferien!$C$3, Ferien!$B$3+ROW(A19)-1, "")</f>
        <v/>
      </c>
      <c r="B21" s="1" t="str">
        <f>IF(Ferien!$B$4+ROW(B19)-1&lt;=Ferien!$C$4, Ferien!$B$4+ROW(B19)-1, "")</f>
        <v/>
      </c>
      <c r="C21" s="1">
        <f>IF(Ferien!$B$5+ROW(B19)-1&lt;=Ferien!$C$5, Ferien!$B$5+ROW(B19)-1, "")</f>
        <v>46241</v>
      </c>
      <c r="D21" s="1" t="str">
        <f>IF(Ferien!$B$6+ROW(B19)-1&lt;=Ferien!$C$6, Ferien!$B$6+ROW(B19)-1, "")</f>
        <v/>
      </c>
      <c r="E21" s="1" t="str">
        <f>IF(Ferien!$B$7+ROW(B19)-1&lt;=Ferien!$C$7, Ferien!$B$7+ROW(B19)-1, "")</f>
        <v/>
      </c>
      <c r="F21" s="1" t="str">
        <f>IF(Ferien!$B$8+ROW(B19)-1&lt;=Ferien!$C$8, Ferien!$B$8+ROW(B19)-1, "")</f>
        <v/>
      </c>
      <c r="G21" s="1" t="str">
        <f>IF(Ferien!$B$9+ROW(B19)-1&lt;=Ferien!$C$9, Ferien!$B$9+ROW(B19)-1, "")</f>
        <v/>
      </c>
      <c r="H21" s="1" t="str">
        <f>IF(Ferien!$B$10+ROW(B19)-1&lt;=Ferien!$C$10, Ferien!$B$10+ROW(B19)-1, "")</f>
        <v/>
      </c>
      <c r="I21" s="1" t="str">
        <f>IF(Ferien!$B$11+ROW(B19)-1&lt;=Ferien!$C$11, Ferien!$B$11+ROW(B19)-1, "")</f>
        <v/>
      </c>
      <c r="J21" s="1" t="str">
        <f>IF(Ferien!$B$12+ROW(B19)-1&lt;=Ferien!$C$12, Ferien!$B$12+ROW(B19)-1, "")</f>
        <v/>
      </c>
      <c r="K21" s="1" t="str">
        <f>IF(Ferien!$B$13+ROW(B19)-1&lt;=Ferien!$C$13, Ferien!$B$13+ROW(B19)-1, "")</f>
        <v/>
      </c>
      <c r="L21" s="1" t="str">
        <f>IF(Ferien!$B$14+ROW(B19)-1&lt;=Ferien!$C$14, Ferien!$B$14+ROW(B19)-1, "")</f>
        <v/>
      </c>
      <c r="M21" s="1" t="str">
        <f>IF(Ferien!$B$15+ROW(B19)-1&lt;=Ferien!$C$15, Ferien!$B$15+ROW(B19)-1, "")</f>
        <v/>
      </c>
      <c r="N21" s="1" t="str">
        <f>IF(Ferien!$B$16+ROW(B19)-1&lt;=Ferien!$C$16, Ferien!$B$16+ROW(B19)-1, "")</f>
        <v/>
      </c>
      <c r="O21" s="1" t="str">
        <f>IF(Ferien!$B$17+ROW(B19)-1&lt;=Ferien!$C$17, Ferien!$B$17+ROW(B19)-1, "")</f>
        <v/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3">
      <c r="A22" s="1" t="str">
        <f>IF(Ferien!$B$3+ROW(A20)-1&lt;=Ferien!$C$3, Ferien!$B$3+ROW(A20)-1, "")</f>
        <v/>
      </c>
      <c r="B22" s="1" t="str">
        <f>IF(Ferien!$B$4+ROW(B20)-1&lt;=Ferien!$C$4, Ferien!$B$4+ROW(B20)-1, "")</f>
        <v/>
      </c>
      <c r="C22" s="1">
        <f>IF(Ferien!$B$5+ROW(B20)-1&lt;=Ferien!$C$5, Ferien!$B$5+ROW(B20)-1, "")</f>
        <v>46242</v>
      </c>
      <c r="D22" s="1" t="str">
        <f>IF(Ferien!$B$6+ROW(B20)-1&lt;=Ferien!$C$6, Ferien!$B$6+ROW(B20)-1, "")</f>
        <v/>
      </c>
      <c r="E22" s="1" t="str">
        <f>IF(Ferien!$B$7+ROW(B20)-1&lt;=Ferien!$C$7, Ferien!$B$7+ROW(B20)-1, "")</f>
        <v/>
      </c>
      <c r="F22" s="1" t="str">
        <f>IF(Ferien!$B$8+ROW(B20)-1&lt;=Ferien!$C$8, Ferien!$B$8+ROW(B20)-1, "")</f>
        <v/>
      </c>
      <c r="G22" s="1" t="str">
        <f>IF(Ferien!$B$9+ROW(B20)-1&lt;=Ferien!$C$9, Ferien!$B$9+ROW(B20)-1, "")</f>
        <v/>
      </c>
      <c r="H22" s="1" t="str">
        <f>IF(Ferien!$B$10+ROW(B20)-1&lt;=Ferien!$C$10, Ferien!$B$10+ROW(B20)-1, "")</f>
        <v/>
      </c>
      <c r="I22" s="1" t="str">
        <f>IF(Ferien!$B$11+ROW(B20)-1&lt;=Ferien!$C$11, Ferien!$B$11+ROW(B20)-1, "")</f>
        <v/>
      </c>
      <c r="J22" s="1" t="str">
        <f>IF(Ferien!$B$12+ROW(B20)-1&lt;=Ferien!$C$12, Ferien!$B$12+ROW(B20)-1, "")</f>
        <v/>
      </c>
      <c r="K22" s="1" t="str">
        <f>IF(Ferien!$B$13+ROW(B20)-1&lt;=Ferien!$C$13, Ferien!$B$13+ROW(B20)-1, "")</f>
        <v/>
      </c>
      <c r="L22" s="1" t="str">
        <f>IF(Ferien!$B$14+ROW(B20)-1&lt;=Ferien!$C$14, Ferien!$B$14+ROW(B20)-1, "")</f>
        <v/>
      </c>
      <c r="M22" s="1" t="str">
        <f>IF(Ferien!$B$15+ROW(B20)-1&lt;=Ferien!$C$15, Ferien!$B$15+ROW(B20)-1, "")</f>
        <v/>
      </c>
      <c r="N22" s="1" t="str">
        <f>IF(Ferien!$B$16+ROW(B20)-1&lt;=Ferien!$C$16, Ferien!$B$16+ROW(B20)-1, "")</f>
        <v/>
      </c>
      <c r="O22" s="1" t="str">
        <f>IF(Ferien!$B$17+ROW(B20)-1&lt;=Ferien!$C$17, Ferien!$B$17+ROW(B20)-1, "")</f>
        <v/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s="1" t="str">
        <f>IF(Ferien!$B$3+ROW(A21)-1&lt;=Ferien!$C$3, Ferien!$B$3+ROW(A21)-1, "")</f>
        <v/>
      </c>
      <c r="B23" s="1" t="str">
        <f>IF(Ferien!$B$4+ROW(B21)-1&lt;=Ferien!$C$4, Ferien!$B$4+ROW(B21)-1, "")</f>
        <v/>
      </c>
      <c r="C23" s="1">
        <f>IF(Ferien!$B$5+ROW(B21)-1&lt;=Ferien!$C$5, Ferien!$B$5+ROW(B21)-1, "")</f>
        <v>46243</v>
      </c>
      <c r="D23" s="1" t="str">
        <f>IF(Ferien!$B$6+ROW(B21)-1&lt;=Ferien!$C$6, Ferien!$B$6+ROW(B21)-1, "")</f>
        <v/>
      </c>
      <c r="E23" s="1" t="str">
        <f>IF(Ferien!$B$7+ROW(B21)-1&lt;=Ferien!$C$7, Ferien!$B$7+ROW(B21)-1, "")</f>
        <v/>
      </c>
      <c r="F23" s="1" t="str">
        <f>IF(Ferien!$B$8+ROW(B21)-1&lt;=Ferien!$C$8, Ferien!$B$8+ROW(B21)-1, "")</f>
        <v/>
      </c>
      <c r="G23" s="1" t="str">
        <f>IF(Ferien!$B$9+ROW(B21)-1&lt;=Ferien!$C$9, Ferien!$B$9+ROW(B21)-1, "")</f>
        <v/>
      </c>
      <c r="H23" s="1" t="str">
        <f>IF(Ferien!$B$10+ROW(B21)-1&lt;=Ferien!$C$10, Ferien!$B$10+ROW(B21)-1, "")</f>
        <v/>
      </c>
      <c r="I23" s="1" t="str">
        <f>IF(Ferien!$B$11+ROW(B21)-1&lt;=Ferien!$C$11, Ferien!$B$11+ROW(B21)-1, "")</f>
        <v/>
      </c>
      <c r="J23" s="1" t="str">
        <f>IF(Ferien!$B$12+ROW(B21)-1&lt;=Ferien!$C$12, Ferien!$B$12+ROW(B21)-1, "")</f>
        <v/>
      </c>
      <c r="K23" s="1" t="str">
        <f>IF(Ferien!$B$13+ROW(B21)-1&lt;=Ferien!$C$13, Ferien!$B$13+ROW(B21)-1, "")</f>
        <v/>
      </c>
      <c r="L23" s="1" t="str">
        <f>IF(Ferien!$B$14+ROW(B21)-1&lt;=Ferien!$C$14, Ferien!$B$14+ROW(B21)-1, "")</f>
        <v/>
      </c>
      <c r="M23" s="1" t="str">
        <f>IF(Ferien!$B$15+ROW(B21)-1&lt;=Ferien!$C$15, Ferien!$B$15+ROW(B21)-1, "")</f>
        <v/>
      </c>
      <c r="N23" s="1" t="str">
        <f>IF(Ferien!$B$16+ROW(B21)-1&lt;=Ferien!$C$16, Ferien!$B$16+ROW(B21)-1, "")</f>
        <v/>
      </c>
      <c r="O23" s="1" t="str">
        <f>IF(Ferien!$B$17+ROW(B21)-1&lt;=Ferien!$C$17, Ferien!$B$17+ROW(B21)-1, "")</f>
        <v/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3">
      <c r="A24" s="1" t="str">
        <f>IF(Ferien!$B$3+ROW(A22)-1&lt;=Ferien!$C$3, Ferien!$B$3+ROW(A22)-1, "")</f>
        <v/>
      </c>
      <c r="B24" s="1" t="str">
        <f>IF(Ferien!$B$4+ROW(B22)-1&lt;=Ferien!$C$4, Ferien!$B$4+ROW(B22)-1, "")</f>
        <v/>
      </c>
      <c r="C24" s="1">
        <f>IF(Ferien!$B$5+ROW(B22)-1&lt;=Ferien!$C$5, Ferien!$B$5+ROW(B22)-1, "")</f>
        <v>46244</v>
      </c>
      <c r="D24" s="1" t="str">
        <f>IF(Ferien!$B$6+ROW(B22)-1&lt;=Ferien!$C$6, Ferien!$B$6+ROW(B22)-1, "")</f>
        <v/>
      </c>
      <c r="E24" s="1" t="str">
        <f>IF(Ferien!$B$7+ROW(B22)-1&lt;=Ferien!$C$7, Ferien!$B$7+ROW(B22)-1, "")</f>
        <v/>
      </c>
      <c r="F24" s="1" t="str">
        <f>IF(Ferien!$B$8+ROW(B22)-1&lt;=Ferien!$C$8, Ferien!$B$8+ROW(B22)-1, "")</f>
        <v/>
      </c>
      <c r="G24" s="1" t="str">
        <f>IF(Ferien!$B$9+ROW(B22)-1&lt;=Ferien!$C$9, Ferien!$B$9+ROW(B22)-1, "")</f>
        <v/>
      </c>
      <c r="H24" s="1" t="str">
        <f>IF(Ferien!$B$10+ROW(B22)-1&lt;=Ferien!$C$10, Ferien!$B$10+ROW(B22)-1, "")</f>
        <v/>
      </c>
      <c r="I24" s="1" t="str">
        <f>IF(Ferien!$B$11+ROW(B22)-1&lt;=Ferien!$C$11, Ferien!$B$11+ROW(B22)-1, "")</f>
        <v/>
      </c>
      <c r="J24" s="1" t="str">
        <f>IF(Ferien!$B$12+ROW(B22)-1&lt;=Ferien!$C$12, Ferien!$B$12+ROW(B22)-1, "")</f>
        <v/>
      </c>
      <c r="K24" s="1" t="str">
        <f>IF(Ferien!$B$13+ROW(B22)-1&lt;=Ferien!$C$13, Ferien!$B$13+ROW(B22)-1, "")</f>
        <v/>
      </c>
      <c r="L24" s="1" t="str">
        <f>IF(Ferien!$B$14+ROW(B22)-1&lt;=Ferien!$C$14, Ferien!$B$14+ROW(B22)-1, "")</f>
        <v/>
      </c>
      <c r="M24" s="1" t="str">
        <f>IF(Ferien!$B$15+ROW(B22)-1&lt;=Ferien!$C$15, Ferien!$B$15+ROW(B22)-1, "")</f>
        <v/>
      </c>
      <c r="N24" s="1" t="str">
        <f>IF(Ferien!$B$16+ROW(B22)-1&lt;=Ferien!$C$16, Ferien!$B$16+ROW(B22)-1, "")</f>
        <v/>
      </c>
      <c r="O24" s="1" t="str">
        <f>IF(Ferien!$B$17+ROW(B22)-1&lt;=Ferien!$C$17, Ferien!$B$17+ROW(B22)-1, "")</f>
        <v/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3">
      <c r="A25" s="1" t="str">
        <f>IF(Ferien!$B$3+ROW(A23)-1&lt;=Ferien!$C$3, Ferien!$B$3+ROW(A23)-1, "")</f>
        <v/>
      </c>
      <c r="B25" s="1" t="str">
        <f>IF(Ferien!$B$4+ROW(B23)-1&lt;=Ferien!$C$4, Ferien!$B$4+ROW(B23)-1, "")</f>
        <v/>
      </c>
      <c r="C25" s="1">
        <f>IF(Ferien!$B$5+ROW(B23)-1&lt;=Ferien!$C$5, Ferien!$B$5+ROW(B23)-1, "")</f>
        <v>46245</v>
      </c>
      <c r="D25" s="1" t="str">
        <f>IF(Ferien!$B$6+ROW(B23)-1&lt;=Ferien!$C$6, Ferien!$B$6+ROW(B23)-1, "")</f>
        <v/>
      </c>
      <c r="E25" s="1" t="str">
        <f>IF(Ferien!$B$7+ROW(B23)-1&lt;=Ferien!$C$7, Ferien!$B$7+ROW(B23)-1, "")</f>
        <v/>
      </c>
      <c r="F25" s="1" t="str">
        <f>IF(Ferien!$B$8+ROW(B23)-1&lt;=Ferien!$C$8, Ferien!$B$8+ROW(B23)-1, "")</f>
        <v/>
      </c>
      <c r="G25" s="1" t="str">
        <f>IF(Ferien!$B$9+ROW(B23)-1&lt;=Ferien!$C$9, Ferien!$B$9+ROW(B23)-1, "")</f>
        <v/>
      </c>
      <c r="H25" s="1" t="str">
        <f>IF(Ferien!$B$10+ROW(B23)-1&lt;=Ferien!$C$10, Ferien!$B$10+ROW(B23)-1, "")</f>
        <v/>
      </c>
      <c r="I25" s="1" t="str">
        <f>IF(Ferien!$B$11+ROW(B23)-1&lt;=Ferien!$C$11, Ferien!$B$11+ROW(B23)-1, "")</f>
        <v/>
      </c>
      <c r="J25" s="1" t="str">
        <f>IF(Ferien!$B$12+ROW(B23)-1&lt;=Ferien!$C$12, Ferien!$B$12+ROW(B23)-1, "")</f>
        <v/>
      </c>
      <c r="K25" s="1" t="str">
        <f>IF(Ferien!$B$13+ROW(B23)-1&lt;=Ferien!$C$13, Ferien!$B$13+ROW(B23)-1, "")</f>
        <v/>
      </c>
      <c r="L25" s="1" t="str">
        <f>IF(Ferien!$B$14+ROW(B23)-1&lt;=Ferien!$C$14, Ferien!$B$14+ROW(B23)-1, "")</f>
        <v/>
      </c>
      <c r="M25" s="1" t="str">
        <f>IF(Ferien!$B$15+ROW(B23)-1&lt;=Ferien!$C$15, Ferien!$B$15+ROW(B23)-1, "")</f>
        <v/>
      </c>
      <c r="N25" s="1" t="str">
        <f>IF(Ferien!$B$16+ROW(B23)-1&lt;=Ferien!$C$16, Ferien!$B$16+ROW(B23)-1, "")</f>
        <v/>
      </c>
      <c r="O25" s="1" t="str">
        <f>IF(Ferien!$B$17+ROW(B23)-1&lt;=Ferien!$C$17, Ferien!$B$17+ROW(B23)-1, "")</f>
        <v/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3">
      <c r="A26" s="1" t="str">
        <f>IF(Ferien!$B$3+ROW(A24)-1&lt;=Ferien!$C$3, Ferien!$B$3+ROW(A24)-1, "")</f>
        <v/>
      </c>
      <c r="B26" s="1" t="str">
        <f>IF(Ferien!$B$4+ROW(B24)-1&lt;=Ferien!$C$4, Ferien!$B$4+ROW(B24)-1, "")</f>
        <v/>
      </c>
      <c r="C26" s="1">
        <f>IF(Ferien!$B$5+ROW(B24)-1&lt;=Ferien!$C$5, Ferien!$B$5+ROW(B24)-1, "")</f>
        <v>46246</v>
      </c>
      <c r="D26" s="1" t="str">
        <f>IF(Ferien!$B$6+ROW(B24)-1&lt;=Ferien!$C$6, Ferien!$B$6+ROW(B24)-1, "")</f>
        <v/>
      </c>
      <c r="E26" s="1" t="str">
        <f>IF(Ferien!$B$7+ROW(B24)-1&lt;=Ferien!$C$7, Ferien!$B$7+ROW(B24)-1, "")</f>
        <v/>
      </c>
      <c r="F26" s="1" t="str">
        <f>IF(Ferien!$B$8+ROW(B24)-1&lt;=Ferien!$C$8, Ferien!$B$8+ROW(B24)-1, "")</f>
        <v/>
      </c>
      <c r="G26" s="1" t="str">
        <f>IF(Ferien!$B$9+ROW(B24)-1&lt;=Ferien!$C$9, Ferien!$B$9+ROW(B24)-1, "")</f>
        <v/>
      </c>
      <c r="H26" s="1" t="str">
        <f>IF(Ferien!$B$10+ROW(B24)-1&lt;=Ferien!$C$10, Ferien!$B$10+ROW(B24)-1, "")</f>
        <v/>
      </c>
      <c r="I26" s="1" t="str">
        <f>IF(Ferien!$B$11+ROW(B24)-1&lt;=Ferien!$C$11, Ferien!$B$11+ROW(B24)-1, "")</f>
        <v/>
      </c>
      <c r="J26" s="1" t="str">
        <f>IF(Ferien!$B$12+ROW(B24)-1&lt;=Ferien!$C$12, Ferien!$B$12+ROW(B24)-1, "")</f>
        <v/>
      </c>
      <c r="K26" s="1" t="str">
        <f>IF(Ferien!$B$13+ROW(B24)-1&lt;=Ferien!$C$13, Ferien!$B$13+ROW(B24)-1, "")</f>
        <v/>
      </c>
      <c r="L26" s="1" t="str">
        <f>IF(Ferien!$B$14+ROW(B24)-1&lt;=Ferien!$C$14, Ferien!$B$14+ROW(B24)-1, "")</f>
        <v/>
      </c>
      <c r="M26" s="1" t="str">
        <f>IF(Ferien!$B$15+ROW(B24)-1&lt;=Ferien!$C$15, Ferien!$B$15+ROW(B24)-1, "")</f>
        <v/>
      </c>
      <c r="N26" s="1" t="str">
        <f>IF(Ferien!$B$16+ROW(B24)-1&lt;=Ferien!$C$16, Ferien!$B$16+ROW(B24)-1, "")</f>
        <v/>
      </c>
      <c r="O26" s="1" t="str">
        <f>IF(Ferien!$B$17+ROW(B24)-1&lt;=Ferien!$C$17, Ferien!$B$17+ROW(B24)-1, "")</f>
        <v/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3">
      <c r="A27" s="1" t="str">
        <f>IF(Ferien!$B$3+ROW(A25)-1&lt;=Ferien!$C$3, Ferien!$B$3+ROW(A25)-1, "")</f>
        <v/>
      </c>
      <c r="B27" s="1" t="str">
        <f>IF(Ferien!$B$4+ROW(B25)-1&lt;=Ferien!$C$4, Ferien!$B$4+ROW(B25)-1, "")</f>
        <v/>
      </c>
      <c r="C27" s="1">
        <f>IF(Ferien!$B$5+ROW(B25)-1&lt;=Ferien!$C$5, Ferien!$B$5+ROW(B25)-1, "")</f>
        <v>46247</v>
      </c>
      <c r="D27" s="1" t="str">
        <f>IF(Ferien!$B$6+ROW(B25)-1&lt;=Ferien!$C$6, Ferien!$B$6+ROW(B25)-1, "")</f>
        <v/>
      </c>
      <c r="E27" s="1" t="str">
        <f>IF(Ferien!$B$7+ROW(B25)-1&lt;=Ferien!$C$7, Ferien!$B$7+ROW(B25)-1, "")</f>
        <v/>
      </c>
      <c r="F27" s="1" t="str">
        <f>IF(Ferien!$B$8+ROW(B25)-1&lt;=Ferien!$C$8, Ferien!$B$8+ROW(B25)-1, "")</f>
        <v/>
      </c>
      <c r="G27" s="1" t="str">
        <f>IF(Ferien!$B$9+ROW(B25)-1&lt;=Ferien!$C$9, Ferien!$B$9+ROW(B25)-1, "")</f>
        <v/>
      </c>
      <c r="H27" s="1" t="str">
        <f>IF(Ferien!$B$10+ROW(B25)-1&lt;=Ferien!$C$10, Ferien!$B$10+ROW(B25)-1, "")</f>
        <v/>
      </c>
      <c r="I27" s="1" t="str">
        <f>IF(Ferien!$B$11+ROW(B25)-1&lt;=Ferien!$C$11, Ferien!$B$11+ROW(B25)-1, "")</f>
        <v/>
      </c>
      <c r="J27" s="1" t="str">
        <f>IF(Ferien!$B$12+ROW(B25)-1&lt;=Ferien!$C$12, Ferien!$B$12+ROW(B25)-1, "")</f>
        <v/>
      </c>
      <c r="K27" s="1" t="str">
        <f>IF(Ferien!$B$13+ROW(B25)-1&lt;=Ferien!$C$13, Ferien!$B$13+ROW(B25)-1, "")</f>
        <v/>
      </c>
      <c r="L27" s="1" t="str">
        <f>IF(Ferien!$B$14+ROW(B25)-1&lt;=Ferien!$C$14, Ferien!$B$14+ROW(B25)-1, "")</f>
        <v/>
      </c>
      <c r="M27" s="1" t="str">
        <f>IF(Ferien!$B$15+ROW(B25)-1&lt;=Ferien!$C$15, Ferien!$B$15+ROW(B25)-1, "")</f>
        <v/>
      </c>
      <c r="N27" s="1" t="str">
        <f>IF(Ferien!$B$16+ROW(B25)-1&lt;=Ferien!$C$16, Ferien!$B$16+ROW(B25)-1, "")</f>
        <v/>
      </c>
      <c r="O27" s="1" t="str">
        <f>IF(Ferien!$B$17+ROW(B25)-1&lt;=Ferien!$C$17, Ferien!$B$17+ROW(B25)-1, "")</f>
        <v/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3">
      <c r="A28" s="1" t="str">
        <f>IF(Ferien!$B$3+ROW(A26)-1&lt;=Ferien!$C$3, Ferien!$B$3+ROW(A26)-1, "")</f>
        <v/>
      </c>
      <c r="B28" s="1" t="str">
        <f>IF(Ferien!$B$4+ROW(B26)-1&lt;=Ferien!$C$4, Ferien!$B$4+ROW(B26)-1, "")</f>
        <v/>
      </c>
      <c r="C28" s="1">
        <f>IF(Ferien!$B$5+ROW(B26)-1&lt;=Ferien!$C$5, Ferien!$B$5+ROW(B26)-1, "")</f>
        <v>46248</v>
      </c>
      <c r="D28" s="1" t="str">
        <f>IF(Ferien!$B$6+ROW(B26)-1&lt;=Ferien!$C$6, Ferien!$B$6+ROW(B26)-1, "")</f>
        <v/>
      </c>
      <c r="E28" s="1" t="str">
        <f>IF(Ferien!$B$7+ROW(B26)-1&lt;=Ferien!$C$7, Ferien!$B$7+ROW(B26)-1, "")</f>
        <v/>
      </c>
      <c r="F28" s="1" t="str">
        <f>IF(Ferien!$B$8+ROW(B26)-1&lt;=Ferien!$C$8, Ferien!$B$8+ROW(B26)-1, "")</f>
        <v/>
      </c>
      <c r="G28" s="1" t="str">
        <f>IF(Ferien!$B$9+ROW(B26)-1&lt;=Ferien!$C$9, Ferien!$B$9+ROW(B26)-1, "")</f>
        <v/>
      </c>
      <c r="H28" s="1" t="str">
        <f>IF(Ferien!$B$10+ROW(B26)-1&lt;=Ferien!$C$10, Ferien!$B$10+ROW(B26)-1, "")</f>
        <v/>
      </c>
      <c r="I28" s="1" t="str">
        <f>IF(Ferien!$B$11+ROW(B26)-1&lt;=Ferien!$C$11, Ferien!$B$11+ROW(B26)-1, "")</f>
        <v/>
      </c>
      <c r="J28" s="1" t="str">
        <f>IF(Ferien!$B$12+ROW(B26)-1&lt;=Ferien!$C$12, Ferien!$B$12+ROW(B26)-1, "")</f>
        <v/>
      </c>
      <c r="K28" s="1" t="str">
        <f>IF(Ferien!$B$13+ROW(B26)-1&lt;=Ferien!$C$13, Ferien!$B$13+ROW(B26)-1, "")</f>
        <v/>
      </c>
      <c r="L28" s="1" t="str">
        <f>IF(Ferien!$B$14+ROW(B26)-1&lt;=Ferien!$C$14, Ferien!$B$14+ROW(B26)-1, "")</f>
        <v/>
      </c>
      <c r="M28" s="1" t="str">
        <f>IF(Ferien!$B$15+ROW(B26)-1&lt;=Ferien!$C$15, Ferien!$B$15+ROW(B26)-1, "")</f>
        <v/>
      </c>
      <c r="N28" s="1" t="str">
        <f>IF(Ferien!$B$16+ROW(B26)-1&lt;=Ferien!$C$16, Ferien!$B$16+ROW(B26)-1, "")</f>
        <v/>
      </c>
      <c r="O28" s="1" t="str">
        <f>IF(Ferien!$B$17+ROW(B26)-1&lt;=Ferien!$C$17, Ferien!$B$17+ROW(B26)-1, "")</f>
        <v/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3">
      <c r="A29" s="1" t="str">
        <f>IF(Ferien!$B$3+ROW(A27)-1&lt;=Ferien!$C$3, Ferien!$B$3+ROW(A27)-1, "")</f>
        <v/>
      </c>
      <c r="B29" s="1" t="str">
        <f>IF(Ferien!$B$4+ROW(B27)-1&lt;=Ferien!$C$4, Ferien!$B$4+ROW(B27)-1, "")</f>
        <v/>
      </c>
      <c r="C29" s="1">
        <f>IF(Ferien!$B$5+ROW(B27)-1&lt;=Ferien!$C$5, Ferien!$B$5+ROW(B27)-1, "")</f>
        <v>46249</v>
      </c>
      <c r="D29" s="1" t="str">
        <f>IF(Ferien!$B$6+ROW(B27)-1&lt;=Ferien!$C$6, Ferien!$B$6+ROW(B27)-1, "")</f>
        <v/>
      </c>
      <c r="E29" s="1" t="str">
        <f>IF(Ferien!$B$7+ROW(B27)-1&lt;=Ferien!$C$7, Ferien!$B$7+ROW(B27)-1, "")</f>
        <v/>
      </c>
      <c r="F29" s="1" t="str">
        <f>IF(Ferien!$B$8+ROW(B27)-1&lt;=Ferien!$C$8, Ferien!$B$8+ROW(B27)-1, "")</f>
        <v/>
      </c>
      <c r="G29" s="1" t="str">
        <f>IF(Ferien!$B$9+ROW(B27)-1&lt;=Ferien!$C$9, Ferien!$B$9+ROW(B27)-1, "")</f>
        <v/>
      </c>
      <c r="H29" s="1" t="str">
        <f>IF(Ferien!$B$10+ROW(B27)-1&lt;=Ferien!$C$10, Ferien!$B$10+ROW(B27)-1, "")</f>
        <v/>
      </c>
      <c r="I29" s="1" t="str">
        <f>IF(Ferien!$B$11+ROW(B27)-1&lt;=Ferien!$C$11, Ferien!$B$11+ROW(B27)-1, "")</f>
        <v/>
      </c>
      <c r="J29" s="1" t="str">
        <f>IF(Ferien!$B$12+ROW(B27)-1&lt;=Ferien!$C$12, Ferien!$B$12+ROW(B27)-1, "")</f>
        <v/>
      </c>
      <c r="K29" s="1" t="str">
        <f>IF(Ferien!$B$13+ROW(B27)-1&lt;=Ferien!$C$13, Ferien!$B$13+ROW(B27)-1, "")</f>
        <v/>
      </c>
      <c r="L29" s="1" t="str">
        <f>IF(Ferien!$B$14+ROW(B27)-1&lt;=Ferien!$C$14, Ferien!$B$14+ROW(B27)-1, "")</f>
        <v/>
      </c>
      <c r="M29" s="1" t="str">
        <f>IF(Ferien!$B$15+ROW(B27)-1&lt;=Ferien!$C$15, Ferien!$B$15+ROW(B27)-1, "")</f>
        <v/>
      </c>
      <c r="N29" s="1" t="str">
        <f>IF(Ferien!$B$16+ROW(B27)-1&lt;=Ferien!$C$16, Ferien!$B$16+ROW(B27)-1, "")</f>
        <v/>
      </c>
      <c r="O29" s="1" t="str">
        <f>IF(Ferien!$B$17+ROW(B27)-1&lt;=Ferien!$C$17, Ferien!$B$17+ROW(B27)-1, "")</f>
        <v/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3">
      <c r="A30" s="1" t="str">
        <f>IF(Ferien!$B$3+ROW(A28)-1&lt;=Ferien!$C$3, Ferien!$B$3+ROW(A28)-1, "")</f>
        <v/>
      </c>
      <c r="B30" s="1" t="str">
        <f>IF(Ferien!$B$4+ROW(B28)-1&lt;=Ferien!$C$4, Ferien!$B$4+ROW(B28)-1, "")</f>
        <v/>
      </c>
      <c r="C30" s="1">
        <f>IF(Ferien!$B$5+ROW(B28)-1&lt;=Ferien!$C$5, Ferien!$B$5+ROW(B28)-1, "")</f>
        <v>46250</v>
      </c>
      <c r="D30" s="1" t="str">
        <f>IF(Ferien!$B$6+ROW(B28)-1&lt;=Ferien!$C$6, Ferien!$B$6+ROW(B28)-1, "")</f>
        <v/>
      </c>
      <c r="E30" s="1" t="str">
        <f>IF(Ferien!$B$7+ROW(B28)-1&lt;=Ferien!$C$7, Ferien!$B$7+ROW(B28)-1, "")</f>
        <v/>
      </c>
      <c r="F30" s="1" t="str">
        <f>IF(Ferien!$B$8+ROW(B28)-1&lt;=Ferien!$C$8, Ferien!$B$8+ROW(B28)-1, "")</f>
        <v/>
      </c>
      <c r="G30" s="1" t="str">
        <f>IF(Ferien!$B$9+ROW(B28)-1&lt;=Ferien!$C$9, Ferien!$B$9+ROW(B28)-1, "")</f>
        <v/>
      </c>
      <c r="H30" s="1" t="str">
        <f>IF(Ferien!$B$10+ROW(B28)-1&lt;=Ferien!$C$10, Ferien!$B$10+ROW(B28)-1, "")</f>
        <v/>
      </c>
      <c r="I30" s="1" t="str">
        <f>IF(Ferien!$B$11+ROW(B28)-1&lt;=Ferien!$C$11, Ferien!$B$11+ROW(B28)-1, "")</f>
        <v/>
      </c>
      <c r="J30" s="1" t="str">
        <f>IF(Ferien!$B$12+ROW(B28)-1&lt;=Ferien!$C$12, Ferien!$B$12+ROW(B28)-1, "")</f>
        <v/>
      </c>
      <c r="K30" s="1" t="str">
        <f>IF(Ferien!$B$13+ROW(B28)-1&lt;=Ferien!$C$13, Ferien!$B$13+ROW(B28)-1, "")</f>
        <v/>
      </c>
      <c r="L30" s="1" t="str">
        <f>IF(Ferien!$B$14+ROW(B28)-1&lt;=Ferien!$C$14, Ferien!$B$14+ROW(B28)-1, "")</f>
        <v/>
      </c>
      <c r="M30" s="1" t="str">
        <f>IF(Ferien!$B$15+ROW(B28)-1&lt;=Ferien!$C$15, Ferien!$B$15+ROW(B28)-1, "")</f>
        <v/>
      </c>
      <c r="N30" s="1" t="str">
        <f>IF(Ferien!$B$16+ROW(B28)-1&lt;=Ferien!$C$16, Ferien!$B$16+ROW(B28)-1, "")</f>
        <v/>
      </c>
      <c r="O30" s="1" t="str">
        <f>IF(Ferien!$B$17+ROW(B28)-1&lt;=Ferien!$C$17, Ferien!$B$17+ROW(B28)-1, "")</f>
        <v/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3">
      <c r="A31" s="1" t="str">
        <f>IF(Ferien!$B$3+ROW(A29)-1&lt;=Ferien!$C$3, Ferien!$B$3+ROW(A29)-1, "")</f>
        <v/>
      </c>
      <c r="B31" s="1" t="str">
        <f>IF(Ferien!$B$4+ROW(B29)-1&lt;=Ferien!$C$4, Ferien!$B$4+ROW(B29)-1, "")</f>
        <v/>
      </c>
      <c r="C31" s="1">
        <f>IF(Ferien!$B$5+ROW(B29)-1&lt;=Ferien!$C$5, Ferien!$B$5+ROW(B29)-1, "")</f>
        <v>46251</v>
      </c>
      <c r="D31" s="1" t="str">
        <f>IF(Ferien!$B$6+ROW(B29)-1&lt;=Ferien!$C$6, Ferien!$B$6+ROW(B29)-1, "")</f>
        <v/>
      </c>
      <c r="E31" s="1" t="str">
        <f>IF(Ferien!$B$7+ROW(B29)-1&lt;=Ferien!$C$7, Ferien!$B$7+ROW(B29)-1, "")</f>
        <v/>
      </c>
      <c r="F31" s="1" t="str">
        <f>IF(Ferien!$B$8+ROW(B29)-1&lt;=Ferien!$C$8, Ferien!$B$8+ROW(B29)-1, "")</f>
        <v/>
      </c>
      <c r="G31" s="1" t="str">
        <f>IF(Ferien!$B$9+ROW(B29)-1&lt;=Ferien!$C$9, Ferien!$B$9+ROW(B29)-1, "")</f>
        <v/>
      </c>
      <c r="H31" s="1" t="str">
        <f>IF(Ferien!$B$10+ROW(B29)-1&lt;=Ferien!$C$10, Ferien!$B$10+ROW(B29)-1, "")</f>
        <v/>
      </c>
      <c r="I31" s="1" t="str">
        <f>IF(Ferien!$B$11+ROW(B29)-1&lt;=Ferien!$C$11, Ferien!$B$11+ROW(B29)-1, "")</f>
        <v/>
      </c>
      <c r="J31" s="1" t="str">
        <f>IF(Ferien!$B$12+ROW(B29)-1&lt;=Ferien!$C$12, Ferien!$B$12+ROW(B29)-1, "")</f>
        <v/>
      </c>
      <c r="K31" s="1" t="str">
        <f>IF(Ferien!$B$13+ROW(B29)-1&lt;=Ferien!$C$13, Ferien!$B$13+ROW(B29)-1, "")</f>
        <v/>
      </c>
      <c r="L31" s="1" t="str">
        <f>IF(Ferien!$B$14+ROW(B29)-1&lt;=Ferien!$C$14, Ferien!$B$14+ROW(B29)-1, "")</f>
        <v/>
      </c>
      <c r="M31" s="1" t="str">
        <f>IF(Ferien!$B$15+ROW(B29)-1&lt;=Ferien!$C$15, Ferien!$B$15+ROW(B29)-1, "")</f>
        <v/>
      </c>
      <c r="N31" s="1" t="str">
        <f>IF(Ferien!$B$16+ROW(B29)-1&lt;=Ferien!$C$16, Ferien!$B$16+ROW(B29)-1, "")</f>
        <v/>
      </c>
      <c r="O31" s="1" t="str">
        <f>IF(Ferien!$B$17+ROW(B29)-1&lt;=Ferien!$C$17, Ferien!$B$17+ROW(B29)-1, "")</f>
        <v/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3">
      <c r="A32" s="1" t="str">
        <f>IF(Ferien!$B$3+ROW(A30)-1&lt;=Ferien!$C$3, Ferien!$B$3+ROW(A30)-1, "")</f>
        <v/>
      </c>
      <c r="B32" s="1" t="str">
        <f>IF(Ferien!$B$4+ROW(B30)-1&lt;=Ferien!$C$4, Ferien!$B$4+ROW(B30)-1, "")</f>
        <v/>
      </c>
      <c r="C32" s="1">
        <f>IF(Ferien!$B$5+ROW(B30)-1&lt;=Ferien!$C$5, Ferien!$B$5+ROW(B30)-1, "")</f>
        <v>46252</v>
      </c>
      <c r="D32" s="1" t="str">
        <f>IF(Ferien!$B$6+ROW(B30)-1&lt;=Ferien!$C$6, Ferien!$B$6+ROW(B30)-1, "")</f>
        <v/>
      </c>
      <c r="E32" s="1" t="str">
        <f>IF(Ferien!$B$7+ROW(B30)-1&lt;=Ferien!$C$7, Ferien!$B$7+ROW(B30)-1, "")</f>
        <v/>
      </c>
      <c r="F32" s="1" t="str">
        <f>IF(Ferien!$B$8+ROW(B30)-1&lt;=Ferien!$C$8, Ferien!$B$8+ROW(B30)-1, "")</f>
        <v/>
      </c>
      <c r="G32" s="1" t="str">
        <f>IF(Ferien!$B$9+ROW(B30)-1&lt;=Ferien!$C$9, Ferien!$B$9+ROW(B30)-1, "")</f>
        <v/>
      </c>
      <c r="H32" s="1" t="str">
        <f>IF(Ferien!$B$10+ROW(B30)-1&lt;=Ferien!$C$10, Ferien!$B$10+ROW(B30)-1, "")</f>
        <v/>
      </c>
      <c r="I32" s="1" t="str">
        <f>IF(Ferien!$B$11+ROW(B30)-1&lt;=Ferien!$C$11, Ferien!$B$11+ROW(B30)-1, "")</f>
        <v/>
      </c>
      <c r="J32" s="1" t="str">
        <f>IF(Ferien!$B$12+ROW(B30)-1&lt;=Ferien!$C$12, Ferien!$B$12+ROW(B30)-1, "")</f>
        <v/>
      </c>
      <c r="K32" s="1" t="str">
        <f>IF(Ferien!$B$13+ROW(B30)-1&lt;=Ferien!$C$13, Ferien!$B$13+ROW(B30)-1, "")</f>
        <v/>
      </c>
      <c r="L32" s="1" t="str">
        <f>IF(Ferien!$B$14+ROW(B30)-1&lt;=Ferien!$C$14, Ferien!$B$14+ROW(B30)-1, "")</f>
        <v/>
      </c>
      <c r="M32" s="1" t="str">
        <f>IF(Ferien!$B$15+ROW(B30)-1&lt;=Ferien!$C$15, Ferien!$B$15+ROW(B30)-1, "")</f>
        <v/>
      </c>
      <c r="N32" s="1" t="str">
        <f>IF(Ferien!$B$16+ROW(B30)-1&lt;=Ferien!$C$16, Ferien!$B$16+ROW(B30)-1, "")</f>
        <v/>
      </c>
      <c r="O32" s="1" t="str">
        <f>IF(Ferien!$B$17+ROW(B30)-1&lt;=Ferien!$C$17, Ferien!$B$17+ROW(B30)-1, "")</f>
        <v/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3">
      <c r="A33" s="1" t="str">
        <f>IF(Ferien!$B$3+ROW(A31)-1&lt;=Ferien!$C$3, Ferien!$B$3+ROW(A31)-1, "")</f>
        <v/>
      </c>
      <c r="B33" s="1" t="str">
        <f>IF(Ferien!$B$4+ROW(B31)-1&lt;=Ferien!$C$4, Ferien!$B$4+ROW(B31)-1, "")</f>
        <v/>
      </c>
      <c r="C33" s="1">
        <f>IF(Ferien!$B$5+ROW(B31)-1&lt;=Ferien!$C$5, Ferien!$B$5+ROW(B31)-1, "")</f>
        <v>46253</v>
      </c>
      <c r="D33" s="1" t="str">
        <f>IF(Ferien!$B$6+ROW(B31)-1&lt;=Ferien!$C$6, Ferien!$B$6+ROW(B31)-1, "")</f>
        <v/>
      </c>
      <c r="E33" s="1" t="str">
        <f>IF(Ferien!$B$7+ROW(B31)-1&lt;=Ferien!$C$7, Ferien!$B$7+ROW(B31)-1, "")</f>
        <v/>
      </c>
      <c r="F33" s="1" t="str">
        <f>IF(Ferien!$B$8+ROW(B31)-1&lt;=Ferien!$C$8, Ferien!$B$8+ROW(B31)-1, "")</f>
        <v/>
      </c>
      <c r="G33" s="1" t="str">
        <f>IF(Ferien!$B$9+ROW(B31)-1&lt;=Ferien!$C$9, Ferien!$B$9+ROW(B31)-1, "")</f>
        <v/>
      </c>
      <c r="H33" s="1" t="str">
        <f>IF(Ferien!$B$10+ROW(B31)-1&lt;=Ferien!$C$10, Ferien!$B$10+ROW(B31)-1, "")</f>
        <v/>
      </c>
      <c r="I33" s="1" t="str">
        <f>IF(Ferien!$B$11+ROW(B31)-1&lt;=Ferien!$C$11, Ferien!$B$11+ROW(B31)-1, "")</f>
        <v/>
      </c>
      <c r="J33" s="1" t="str">
        <f>IF(Ferien!$B$12+ROW(B31)-1&lt;=Ferien!$C$12, Ferien!$B$12+ROW(B31)-1, "")</f>
        <v/>
      </c>
      <c r="K33" s="1" t="str">
        <f>IF(Ferien!$B$13+ROW(B31)-1&lt;=Ferien!$C$13, Ferien!$B$13+ROW(B31)-1, "")</f>
        <v/>
      </c>
      <c r="L33" s="1" t="str">
        <f>IF(Ferien!$B$14+ROW(B31)-1&lt;=Ferien!$C$14, Ferien!$B$14+ROW(B31)-1, "")</f>
        <v/>
      </c>
      <c r="M33" s="1" t="str">
        <f>IF(Ferien!$B$15+ROW(B31)-1&lt;=Ferien!$C$15, Ferien!$B$15+ROW(B31)-1, "")</f>
        <v/>
      </c>
      <c r="N33" s="1" t="str">
        <f>IF(Ferien!$B$16+ROW(B31)-1&lt;=Ferien!$C$16, Ferien!$B$16+ROW(B31)-1, "")</f>
        <v/>
      </c>
      <c r="O33" s="1" t="str">
        <f>IF(Ferien!$B$17+ROW(B31)-1&lt;=Ferien!$C$17, Ferien!$B$17+ROW(B31)-1, "")</f>
        <v/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3">
      <c r="A34" s="1" t="str">
        <f>IF(Ferien!$B$3+ROW(A32)-1&lt;=Ferien!$C$3, Ferien!$B$3+ROW(A32)-1, "")</f>
        <v/>
      </c>
      <c r="B34" s="1" t="str">
        <f>IF(Ferien!$B$4+ROW(B32)-1&lt;=Ferien!$C$4, Ferien!$B$4+ROW(B32)-1, "")</f>
        <v/>
      </c>
      <c r="C34" s="1">
        <f>IF(Ferien!$B$5+ROW(B32)-1&lt;=Ferien!$C$5, Ferien!$B$5+ROW(B32)-1, "")</f>
        <v>46254</v>
      </c>
      <c r="D34" s="1" t="str">
        <f>IF(Ferien!$B$6+ROW(B32)-1&lt;=Ferien!$C$6, Ferien!$B$6+ROW(B32)-1, "")</f>
        <v/>
      </c>
      <c r="E34" s="1" t="str">
        <f>IF(Ferien!$B$7+ROW(B32)-1&lt;=Ferien!$C$7, Ferien!$B$7+ROW(B32)-1, "")</f>
        <v/>
      </c>
      <c r="F34" s="1" t="str">
        <f>IF(Ferien!$B$8+ROW(B32)-1&lt;=Ferien!$C$8, Ferien!$B$8+ROW(B32)-1, "")</f>
        <v/>
      </c>
      <c r="G34" s="1" t="str">
        <f>IF(Ferien!$B$9+ROW(B32)-1&lt;=Ferien!$C$9, Ferien!$B$9+ROW(B32)-1, "")</f>
        <v/>
      </c>
      <c r="H34" s="1" t="str">
        <f>IF(Ferien!$B$10+ROW(B32)-1&lt;=Ferien!$C$10, Ferien!$B$10+ROW(B32)-1, "")</f>
        <v/>
      </c>
      <c r="I34" s="1" t="str">
        <f>IF(Ferien!$B$11+ROW(B32)-1&lt;=Ferien!$C$11, Ferien!$B$11+ROW(B32)-1, "")</f>
        <v/>
      </c>
      <c r="J34" s="1" t="str">
        <f>IF(Ferien!$B$12+ROW(B32)-1&lt;=Ferien!$C$12, Ferien!$B$12+ROW(B32)-1, "")</f>
        <v/>
      </c>
      <c r="K34" s="1" t="str">
        <f>IF(Ferien!$B$13+ROW(B32)-1&lt;=Ferien!$C$13, Ferien!$B$13+ROW(B32)-1, "")</f>
        <v/>
      </c>
      <c r="L34" s="1" t="str">
        <f>IF(Ferien!$B$14+ROW(B32)-1&lt;=Ferien!$C$14, Ferien!$B$14+ROW(B32)-1, "")</f>
        <v/>
      </c>
      <c r="M34" s="1" t="str">
        <f>IF(Ferien!$B$15+ROW(B32)-1&lt;=Ferien!$C$15, Ferien!$B$15+ROW(B32)-1, "")</f>
        <v/>
      </c>
      <c r="N34" s="1" t="str">
        <f>IF(Ferien!$B$16+ROW(B32)-1&lt;=Ferien!$C$16, Ferien!$B$16+ROW(B32)-1, "")</f>
        <v/>
      </c>
      <c r="O34" s="1" t="str">
        <f>IF(Ferien!$B$17+ROW(B32)-1&lt;=Ferien!$C$17, Ferien!$B$17+ROW(B32)-1, "")</f>
        <v/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3">
      <c r="A35" s="1" t="str">
        <f>IF(Ferien!$B$3+ROW(A33)-1&lt;=Ferien!$C$3, Ferien!$B$3+ROW(A33)-1, "")</f>
        <v/>
      </c>
      <c r="B35" s="1" t="str">
        <f>IF(Ferien!$B$4+ROW(B33)-1&lt;=Ferien!$C$4, Ferien!$B$4+ROW(B33)-1, "")</f>
        <v/>
      </c>
      <c r="C35" s="1">
        <f>IF(Ferien!$B$5+ROW(B33)-1&lt;=Ferien!$C$5, Ferien!$B$5+ROW(B33)-1, "")</f>
        <v>46255</v>
      </c>
      <c r="D35" s="1" t="str">
        <f>IF(Ferien!$B$6+ROW(B33)-1&lt;=Ferien!$C$6, Ferien!$B$6+ROW(B33)-1, "")</f>
        <v/>
      </c>
      <c r="E35" s="1" t="str">
        <f>IF(Ferien!$B$7+ROW(B33)-1&lt;=Ferien!$C$7, Ferien!$B$7+ROW(B33)-1, "")</f>
        <v/>
      </c>
      <c r="F35" s="1" t="str">
        <f>IF(Ferien!$B$8+ROW(B33)-1&lt;=Ferien!$C$8, Ferien!$B$8+ROW(B33)-1, "")</f>
        <v/>
      </c>
      <c r="G35" s="1" t="str">
        <f>IF(Ferien!$B$9+ROW(B33)-1&lt;=Ferien!$C$9, Ferien!$B$9+ROW(B33)-1, "")</f>
        <v/>
      </c>
      <c r="H35" s="1" t="str">
        <f>IF(Ferien!$B$10+ROW(B33)-1&lt;=Ferien!$C$10, Ferien!$B$10+ROW(B33)-1, "")</f>
        <v/>
      </c>
      <c r="I35" s="1" t="str">
        <f>IF(Ferien!$B$11+ROW(B33)-1&lt;=Ferien!$C$11, Ferien!$B$11+ROW(B33)-1, "")</f>
        <v/>
      </c>
      <c r="J35" s="1" t="str">
        <f>IF(Ferien!$B$12+ROW(B33)-1&lt;=Ferien!$C$12, Ferien!$B$12+ROW(B33)-1, "")</f>
        <v/>
      </c>
      <c r="K35" s="1" t="str">
        <f>IF(Ferien!$B$13+ROW(B33)-1&lt;=Ferien!$C$13, Ferien!$B$13+ROW(B33)-1, "")</f>
        <v/>
      </c>
      <c r="L35" s="1" t="str">
        <f>IF(Ferien!$B$14+ROW(B33)-1&lt;=Ferien!$C$14, Ferien!$B$14+ROW(B33)-1, "")</f>
        <v/>
      </c>
      <c r="M35" s="1" t="str">
        <f>IF(Ferien!$B$15+ROW(B33)-1&lt;=Ferien!$C$15, Ferien!$B$15+ROW(B33)-1, "")</f>
        <v/>
      </c>
      <c r="N35" s="1" t="str">
        <f>IF(Ferien!$B$16+ROW(B33)-1&lt;=Ferien!$C$16, Ferien!$B$16+ROW(B33)-1, "")</f>
        <v/>
      </c>
      <c r="O35" s="1" t="str">
        <f>IF(Ferien!$B$17+ROW(B33)-1&lt;=Ferien!$C$17, Ferien!$B$17+ROW(B33)-1, "")</f>
        <v/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3">
      <c r="A36" s="1" t="str">
        <f>IF(Ferien!$B$3+ROW(A34)-1&lt;=Ferien!$C$3, Ferien!$B$3+ROW(A34)-1, "")</f>
        <v/>
      </c>
      <c r="B36" s="1" t="str">
        <f>IF(Ferien!$B$4+ROW(B34)-1&lt;=Ferien!$C$4, Ferien!$B$4+ROW(B34)-1, "")</f>
        <v/>
      </c>
      <c r="C36" s="1">
        <f>IF(Ferien!$B$5+ROW(B34)-1&lt;=Ferien!$C$5, Ferien!$B$5+ROW(B34)-1, "")</f>
        <v>46256</v>
      </c>
      <c r="D36" s="1" t="str">
        <f>IF(Ferien!$B$6+ROW(B34)-1&lt;=Ferien!$C$6, Ferien!$B$6+ROW(B34)-1, "")</f>
        <v/>
      </c>
      <c r="E36" s="1" t="str">
        <f>IF(Ferien!$B$7+ROW(B34)-1&lt;=Ferien!$C$7, Ferien!$B$7+ROW(B34)-1, "")</f>
        <v/>
      </c>
      <c r="F36" s="1" t="str">
        <f>IF(Ferien!$B$8+ROW(B34)-1&lt;=Ferien!$C$8, Ferien!$B$8+ROW(B34)-1, "")</f>
        <v/>
      </c>
      <c r="G36" s="1" t="str">
        <f>IF(Ferien!$B$9+ROW(B34)-1&lt;=Ferien!$C$9, Ferien!$B$9+ROW(B34)-1, "")</f>
        <v/>
      </c>
      <c r="H36" s="1" t="str">
        <f>IF(Ferien!$B$10+ROW(B34)-1&lt;=Ferien!$C$10, Ferien!$B$10+ROW(B34)-1, "")</f>
        <v/>
      </c>
      <c r="I36" s="1" t="str">
        <f>IF(Ferien!$B$11+ROW(B34)-1&lt;=Ferien!$C$11, Ferien!$B$11+ROW(B34)-1, "")</f>
        <v/>
      </c>
      <c r="J36" s="1" t="str">
        <f>IF(Ferien!$B$12+ROW(B34)-1&lt;=Ferien!$C$12, Ferien!$B$12+ROW(B34)-1, "")</f>
        <v/>
      </c>
      <c r="K36" s="1" t="str">
        <f>IF(Ferien!$B$13+ROW(B34)-1&lt;=Ferien!$C$13, Ferien!$B$13+ROW(B34)-1, "")</f>
        <v/>
      </c>
      <c r="L36" s="1" t="str">
        <f>IF(Ferien!$B$14+ROW(B34)-1&lt;=Ferien!$C$14, Ferien!$B$14+ROW(B34)-1, "")</f>
        <v/>
      </c>
      <c r="M36" s="1" t="str">
        <f>IF(Ferien!$B$15+ROW(B34)-1&lt;=Ferien!$C$15, Ferien!$B$15+ROW(B34)-1, "")</f>
        <v/>
      </c>
      <c r="N36" s="1" t="str">
        <f>IF(Ferien!$B$16+ROW(B34)-1&lt;=Ferien!$C$16, Ferien!$B$16+ROW(B34)-1, "")</f>
        <v/>
      </c>
      <c r="O36" s="1" t="str">
        <f>IF(Ferien!$B$17+ROW(B34)-1&lt;=Ferien!$C$17, Ferien!$B$17+ROW(B34)-1, "")</f>
        <v/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3">
      <c r="A37" s="1" t="str">
        <f>IF(Ferien!$B$3+ROW(A35)-1&lt;=Ferien!$C$3, Ferien!$B$3+ROW(A35)-1, "")</f>
        <v/>
      </c>
      <c r="B37" s="1" t="str">
        <f>IF(Ferien!$B$4+ROW(B35)-1&lt;=Ferien!$C$4, Ferien!$B$4+ROW(B35)-1, "")</f>
        <v/>
      </c>
      <c r="C37" s="1">
        <f>IF(Ferien!$B$5+ROW(B35)-1&lt;=Ferien!$C$5, Ferien!$B$5+ROW(B35)-1, "")</f>
        <v>46257</v>
      </c>
      <c r="D37" s="1" t="str">
        <f>IF(Ferien!$B$6+ROW(B35)-1&lt;=Ferien!$C$6, Ferien!$B$6+ROW(B35)-1, "")</f>
        <v/>
      </c>
      <c r="E37" s="1" t="str">
        <f>IF(Ferien!$B$7+ROW(B35)-1&lt;=Ferien!$C$7, Ferien!$B$7+ROW(B35)-1, "")</f>
        <v/>
      </c>
      <c r="F37" s="1" t="str">
        <f>IF(Ferien!$B$8+ROW(B35)-1&lt;=Ferien!$C$8, Ferien!$B$8+ROW(B35)-1, "")</f>
        <v/>
      </c>
      <c r="G37" s="1" t="str">
        <f>IF(Ferien!$B$9+ROW(B35)-1&lt;=Ferien!$C$9, Ferien!$B$9+ROW(B35)-1, "")</f>
        <v/>
      </c>
      <c r="H37" s="1" t="str">
        <f>IF(Ferien!$B$10+ROW(B35)-1&lt;=Ferien!$C$10, Ferien!$B$10+ROW(B35)-1, "")</f>
        <v/>
      </c>
      <c r="I37" s="1" t="str">
        <f>IF(Ferien!$B$11+ROW(B35)-1&lt;=Ferien!$C$11, Ferien!$B$11+ROW(B35)-1, "")</f>
        <v/>
      </c>
      <c r="J37" s="1" t="str">
        <f>IF(Ferien!$B$12+ROW(B35)-1&lt;=Ferien!$C$12, Ferien!$B$12+ROW(B35)-1, "")</f>
        <v/>
      </c>
      <c r="K37" s="1" t="str">
        <f>IF(Ferien!$B$13+ROW(B35)-1&lt;=Ferien!$C$13, Ferien!$B$13+ROW(B35)-1, "")</f>
        <v/>
      </c>
      <c r="L37" s="1" t="str">
        <f>IF(Ferien!$B$14+ROW(B35)-1&lt;=Ferien!$C$14, Ferien!$B$14+ROW(B35)-1, "")</f>
        <v/>
      </c>
      <c r="M37" s="1" t="str">
        <f>IF(Ferien!$B$15+ROW(B35)-1&lt;=Ferien!$C$15, Ferien!$B$15+ROW(B35)-1, "")</f>
        <v/>
      </c>
      <c r="N37" s="1" t="str">
        <f>IF(Ferien!$B$16+ROW(B35)-1&lt;=Ferien!$C$16, Ferien!$B$16+ROW(B35)-1, "")</f>
        <v/>
      </c>
      <c r="O37" s="1" t="str">
        <f>IF(Ferien!$B$17+ROW(B35)-1&lt;=Ferien!$C$17, Ferien!$B$17+ROW(B35)-1, "")</f>
        <v/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3">
      <c r="A38" s="1" t="str">
        <f>IF(Ferien!$B$3+ROW(A36)-1&lt;=Ferien!$C$3, Ferien!$B$3+ROW(A36)-1, "")</f>
        <v/>
      </c>
      <c r="B38" s="1" t="str">
        <f>IF(Ferien!$B$4+ROW(B36)-1&lt;=Ferien!$C$4, Ferien!$B$4+ROW(B36)-1, "")</f>
        <v/>
      </c>
      <c r="C38" s="1">
        <f>IF(Ferien!$B$5+ROW(B36)-1&lt;=Ferien!$C$5, Ferien!$B$5+ROW(B36)-1, "")</f>
        <v>46258</v>
      </c>
      <c r="D38" s="1" t="str">
        <f>IF(Ferien!$B$6+ROW(B36)-1&lt;=Ferien!$C$6, Ferien!$B$6+ROW(B36)-1, "")</f>
        <v/>
      </c>
      <c r="E38" s="1" t="str">
        <f>IF(Ferien!$B$7+ROW(B36)-1&lt;=Ferien!$C$7, Ferien!$B$7+ROW(B36)-1, "")</f>
        <v/>
      </c>
      <c r="F38" s="1" t="str">
        <f>IF(Ferien!$B$8+ROW(B36)-1&lt;=Ferien!$C$8, Ferien!$B$8+ROW(B36)-1, "")</f>
        <v/>
      </c>
      <c r="G38" s="1" t="str">
        <f>IF(Ferien!$B$9+ROW(B36)-1&lt;=Ferien!$C$9, Ferien!$B$9+ROW(B36)-1, "")</f>
        <v/>
      </c>
      <c r="H38" s="1" t="str">
        <f>IF(Ferien!$B$10+ROW(B36)-1&lt;=Ferien!$C$10, Ferien!$B$10+ROW(B36)-1, "")</f>
        <v/>
      </c>
      <c r="I38" s="1" t="str">
        <f>IF(Ferien!$B$11+ROW(B36)-1&lt;=Ferien!$C$11, Ferien!$B$11+ROW(B36)-1, "")</f>
        <v/>
      </c>
      <c r="J38" s="1" t="str">
        <f>IF(Ferien!$B$12+ROW(B36)-1&lt;=Ferien!$C$12, Ferien!$B$12+ROW(B36)-1, "")</f>
        <v/>
      </c>
      <c r="K38" s="1" t="str">
        <f>IF(Ferien!$B$13+ROW(B36)-1&lt;=Ferien!$C$13, Ferien!$B$13+ROW(B36)-1, "")</f>
        <v/>
      </c>
      <c r="L38" s="1" t="str">
        <f>IF(Ferien!$B$14+ROW(B36)-1&lt;=Ferien!$C$14, Ferien!$B$14+ROW(B36)-1, "")</f>
        <v/>
      </c>
      <c r="M38" s="1" t="str">
        <f>IF(Ferien!$B$15+ROW(B36)-1&lt;=Ferien!$C$15, Ferien!$B$15+ROW(B36)-1, "")</f>
        <v/>
      </c>
      <c r="N38" s="1" t="str">
        <f>IF(Ferien!$B$16+ROW(B36)-1&lt;=Ferien!$C$16, Ferien!$B$16+ROW(B36)-1, "")</f>
        <v/>
      </c>
      <c r="O38" s="1" t="str">
        <f>IF(Ferien!$B$17+ROW(B36)-1&lt;=Ferien!$C$17, Ferien!$B$17+ROW(B36)-1, "")</f>
        <v/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3">
      <c r="A39" s="1" t="str">
        <f>IF(Ferien!$B$3+ROW(A37)-1&lt;=Ferien!$C$3, Ferien!$B$3+ROW(A37)-1, "")</f>
        <v/>
      </c>
      <c r="B39" s="1" t="str">
        <f>IF(Ferien!$B$4+ROW(B37)-1&lt;=Ferien!$C$4, Ferien!$B$4+ROW(B37)-1, "")</f>
        <v/>
      </c>
      <c r="C39" s="1">
        <f>IF(Ferien!$B$5+ROW(B37)-1&lt;=Ferien!$C$5, Ferien!$B$5+ROW(B37)-1, "")</f>
        <v>46259</v>
      </c>
      <c r="D39" s="1" t="str">
        <f>IF(Ferien!$B$6+ROW(B37)-1&lt;=Ferien!$C$6, Ferien!$B$6+ROW(B37)-1, "")</f>
        <v/>
      </c>
      <c r="E39" s="1" t="str">
        <f>IF(Ferien!$B$7+ROW(B37)-1&lt;=Ferien!$C$7, Ferien!$B$7+ROW(B37)-1, "")</f>
        <v/>
      </c>
      <c r="F39" s="1" t="str">
        <f>IF(Ferien!$B$8+ROW(B37)-1&lt;=Ferien!$C$8, Ferien!$B$8+ROW(B37)-1, "")</f>
        <v/>
      </c>
      <c r="G39" s="1" t="str">
        <f>IF(Ferien!$B$9+ROW(B37)-1&lt;=Ferien!$C$9, Ferien!$B$9+ROW(B37)-1, "")</f>
        <v/>
      </c>
      <c r="H39" s="1" t="str">
        <f>IF(Ferien!$B$10+ROW(B37)-1&lt;=Ferien!$C$10, Ferien!$B$10+ROW(B37)-1, "")</f>
        <v/>
      </c>
      <c r="I39" s="1" t="str">
        <f>IF(Ferien!$B$11+ROW(B37)-1&lt;=Ferien!$C$11, Ferien!$B$11+ROW(B37)-1, "")</f>
        <v/>
      </c>
      <c r="J39" s="1" t="str">
        <f>IF(Ferien!$B$12+ROW(B37)-1&lt;=Ferien!$C$12, Ferien!$B$12+ROW(B37)-1, "")</f>
        <v/>
      </c>
      <c r="K39" s="1" t="str">
        <f>IF(Ferien!$B$13+ROW(B37)-1&lt;=Ferien!$C$13, Ferien!$B$13+ROW(B37)-1, "")</f>
        <v/>
      </c>
      <c r="L39" s="1" t="str">
        <f>IF(Ferien!$B$14+ROW(B37)-1&lt;=Ferien!$C$14, Ferien!$B$14+ROW(B37)-1, "")</f>
        <v/>
      </c>
      <c r="M39" s="1" t="str">
        <f>IF(Ferien!$B$15+ROW(B37)-1&lt;=Ferien!$C$15, Ferien!$B$15+ROW(B37)-1, "")</f>
        <v/>
      </c>
      <c r="N39" s="1" t="str">
        <f>IF(Ferien!$B$16+ROW(B37)-1&lt;=Ferien!$C$16, Ferien!$B$16+ROW(B37)-1, "")</f>
        <v/>
      </c>
      <c r="O39" s="1" t="str">
        <f>IF(Ferien!$B$17+ROW(B37)-1&lt;=Ferien!$C$17, Ferien!$B$17+ROW(B37)-1, "")</f>
        <v/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3">
      <c r="A40" s="1" t="str">
        <f>IF(Ferien!$B$3+ROW(A38)-1&lt;=Ferien!$C$3, Ferien!$B$3+ROW(A38)-1, "")</f>
        <v/>
      </c>
      <c r="B40" s="1" t="str">
        <f>IF(Ferien!$B$4+ROW(B38)-1&lt;=Ferien!$C$4, Ferien!$B$4+ROW(B38)-1, "")</f>
        <v/>
      </c>
      <c r="C40" s="1">
        <f>IF(Ferien!$B$5+ROW(B38)-1&lt;=Ferien!$C$5, Ferien!$B$5+ROW(B38)-1, "")</f>
        <v>46260</v>
      </c>
      <c r="D40" s="1" t="str">
        <f>IF(Ferien!$B$6+ROW(B38)-1&lt;=Ferien!$C$6, Ferien!$B$6+ROW(B38)-1, "")</f>
        <v/>
      </c>
      <c r="E40" s="1" t="str">
        <f>IF(Ferien!$B$7+ROW(B38)-1&lt;=Ferien!$C$7, Ferien!$B$7+ROW(B38)-1, "")</f>
        <v/>
      </c>
      <c r="F40" s="1" t="str">
        <f>IF(Ferien!$B$8+ROW(B38)-1&lt;=Ferien!$C$8, Ferien!$B$8+ROW(B38)-1, "")</f>
        <v/>
      </c>
      <c r="G40" s="1" t="str">
        <f>IF(Ferien!$B$9+ROW(B38)-1&lt;=Ferien!$C$9, Ferien!$B$9+ROW(B38)-1, "")</f>
        <v/>
      </c>
      <c r="H40" s="1" t="str">
        <f>IF(Ferien!$B$10+ROW(B38)-1&lt;=Ferien!$C$10, Ferien!$B$10+ROW(B38)-1, "")</f>
        <v/>
      </c>
      <c r="I40" s="1" t="str">
        <f>IF(Ferien!$B$11+ROW(B38)-1&lt;=Ferien!$C$11, Ferien!$B$11+ROW(B38)-1, "")</f>
        <v/>
      </c>
      <c r="J40" s="1" t="str">
        <f>IF(Ferien!$B$12+ROW(B38)-1&lt;=Ferien!$C$12, Ferien!$B$12+ROW(B38)-1, "")</f>
        <v/>
      </c>
      <c r="K40" s="1" t="str">
        <f>IF(Ferien!$B$13+ROW(B38)-1&lt;=Ferien!$C$13, Ferien!$B$13+ROW(B38)-1, "")</f>
        <v/>
      </c>
      <c r="L40" s="1" t="str">
        <f>IF(Ferien!$B$14+ROW(B38)-1&lt;=Ferien!$C$14, Ferien!$B$14+ROW(B38)-1, "")</f>
        <v/>
      </c>
      <c r="M40" s="1" t="str">
        <f>IF(Ferien!$B$15+ROW(B38)-1&lt;=Ferien!$C$15, Ferien!$B$15+ROW(B38)-1, "")</f>
        <v/>
      </c>
      <c r="N40" s="1" t="str">
        <f>IF(Ferien!$B$16+ROW(B38)-1&lt;=Ferien!$C$16, Ferien!$B$16+ROW(B38)-1, "")</f>
        <v/>
      </c>
      <c r="O40" s="1" t="str">
        <f>IF(Ferien!$B$17+ROW(B38)-1&lt;=Ferien!$C$17, Ferien!$B$17+ROW(B38)-1, "")</f>
        <v/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3">
      <c r="A41" s="1" t="str">
        <f>IF(Ferien!$B$3+ROW(A39)-1&lt;=Ferien!$C$3, Ferien!$B$3+ROW(A39)-1, "")</f>
        <v/>
      </c>
      <c r="B41" s="1" t="str">
        <f>IF(Ferien!$B$4+ROW(B39)-1&lt;=Ferien!$C$4, Ferien!$B$4+ROW(B39)-1, "")</f>
        <v/>
      </c>
      <c r="C41" s="1">
        <f>IF(Ferien!$B$5+ROW(B39)-1&lt;=Ferien!$C$5, Ferien!$B$5+ROW(B39)-1, "")</f>
        <v>46261</v>
      </c>
      <c r="D41" s="1" t="str">
        <f>IF(Ferien!$B$6+ROW(B39)-1&lt;=Ferien!$C$6, Ferien!$B$6+ROW(B39)-1, "")</f>
        <v/>
      </c>
      <c r="E41" s="1" t="str">
        <f>IF(Ferien!$B$7+ROW(B39)-1&lt;=Ferien!$C$7, Ferien!$B$7+ROW(B39)-1, "")</f>
        <v/>
      </c>
      <c r="F41" s="1" t="str">
        <f>IF(Ferien!$B$8+ROW(B39)-1&lt;=Ferien!$C$8, Ferien!$B$8+ROW(B39)-1, "")</f>
        <v/>
      </c>
      <c r="G41" s="1" t="str">
        <f>IF(Ferien!$B$9+ROW(B39)-1&lt;=Ferien!$C$9, Ferien!$B$9+ROW(B39)-1, "")</f>
        <v/>
      </c>
      <c r="H41" s="1" t="str">
        <f>IF(Ferien!$B$10+ROW(B39)-1&lt;=Ferien!$C$10, Ferien!$B$10+ROW(B39)-1, "")</f>
        <v/>
      </c>
      <c r="I41" s="1" t="str">
        <f>IF(Ferien!$B$11+ROW(B39)-1&lt;=Ferien!$C$11, Ferien!$B$11+ROW(B39)-1, "")</f>
        <v/>
      </c>
      <c r="J41" s="1" t="str">
        <f>IF(Ferien!$B$12+ROW(B39)-1&lt;=Ferien!$C$12, Ferien!$B$12+ROW(B39)-1, "")</f>
        <v/>
      </c>
      <c r="K41" s="1" t="str">
        <f>IF(Ferien!$B$13+ROW(B39)-1&lt;=Ferien!$C$13, Ferien!$B$13+ROW(B39)-1, "")</f>
        <v/>
      </c>
      <c r="L41" s="1" t="str">
        <f>IF(Ferien!$B$14+ROW(B39)-1&lt;=Ferien!$C$14, Ferien!$B$14+ROW(B39)-1, "")</f>
        <v/>
      </c>
      <c r="M41" s="1" t="str">
        <f>IF(Ferien!$B$15+ROW(B39)-1&lt;=Ferien!$C$15, Ferien!$B$15+ROW(B39)-1, "")</f>
        <v/>
      </c>
      <c r="N41" s="1" t="str">
        <f>IF(Ferien!$B$16+ROW(B39)-1&lt;=Ferien!$C$16, Ferien!$B$16+ROW(B39)-1, "")</f>
        <v/>
      </c>
      <c r="O41" s="1" t="str">
        <f>IF(Ferien!$B$17+ROW(B39)-1&lt;=Ferien!$C$17, Ferien!$B$17+ROW(B39)-1, "")</f>
        <v/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3">
      <c r="A42" s="1" t="str">
        <f>IF(Ferien!$B$3+ROW(A40)-1&lt;=Ferien!$C$3, Ferien!$B$3+ROW(A40)-1, "")</f>
        <v/>
      </c>
      <c r="B42" s="1" t="str">
        <f>IF(Ferien!$B$4+ROW(B40)-1&lt;=Ferien!$C$4, Ferien!$B$4+ROW(B40)-1, "")</f>
        <v/>
      </c>
      <c r="C42" s="1">
        <f>IF(Ferien!$B$5+ROW(B40)-1&lt;=Ferien!$C$5, Ferien!$B$5+ROW(B40)-1, "")</f>
        <v>46262</v>
      </c>
      <c r="D42" s="1" t="str">
        <f>IF(Ferien!$B$6+ROW(B40)-1&lt;=Ferien!$C$6, Ferien!$B$6+ROW(B40)-1, "")</f>
        <v/>
      </c>
      <c r="E42" s="1" t="str">
        <f>IF(Ferien!$B$7+ROW(B40)-1&lt;=Ferien!$C$7, Ferien!$B$7+ROW(B40)-1, "")</f>
        <v/>
      </c>
      <c r="F42" s="1" t="str">
        <f>IF(Ferien!$B$8+ROW(B40)-1&lt;=Ferien!$C$8, Ferien!$B$8+ROW(B40)-1, "")</f>
        <v/>
      </c>
      <c r="G42" s="1" t="str">
        <f>IF(Ferien!$B$9+ROW(B40)-1&lt;=Ferien!$C$9, Ferien!$B$9+ROW(B40)-1, "")</f>
        <v/>
      </c>
      <c r="H42" s="1" t="str">
        <f>IF(Ferien!$B$10+ROW(B40)-1&lt;=Ferien!$C$10, Ferien!$B$10+ROW(B40)-1, "")</f>
        <v/>
      </c>
      <c r="I42" s="1" t="str">
        <f>IF(Ferien!$B$11+ROW(B40)-1&lt;=Ferien!$C$11, Ferien!$B$11+ROW(B40)-1, "")</f>
        <v/>
      </c>
      <c r="J42" s="1" t="str">
        <f>IF(Ferien!$B$12+ROW(B40)-1&lt;=Ferien!$C$12, Ferien!$B$12+ROW(B40)-1, "")</f>
        <v/>
      </c>
      <c r="K42" s="1" t="str">
        <f>IF(Ferien!$B$13+ROW(B40)-1&lt;=Ferien!$C$13, Ferien!$B$13+ROW(B40)-1, "")</f>
        <v/>
      </c>
      <c r="L42" s="1" t="str">
        <f>IF(Ferien!$B$14+ROW(B40)-1&lt;=Ferien!$C$14, Ferien!$B$14+ROW(B40)-1, "")</f>
        <v/>
      </c>
      <c r="M42" s="1" t="str">
        <f>IF(Ferien!$B$15+ROW(B40)-1&lt;=Ferien!$C$15, Ferien!$B$15+ROW(B40)-1, "")</f>
        <v/>
      </c>
      <c r="N42" s="1" t="str">
        <f>IF(Ferien!$B$16+ROW(B40)-1&lt;=Ferien!$C$16, Ferien!$B$16+ROW(B40)-1, "")</f>
        <v/>
      </c>
      <c r="O42" s="1" t="str">
        <f>IF(Ferien!$B$17+ROW(B40)-1&lt;=Ferien!$C$17, Ferien!$B$17+ROW(B40)-1, "")</f>
        <v/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3">
      <c r="A43" s="1" t="str">
        <f>IF(Ferien!$B$3+ROW(A41)-1&lt;=Ferien!$C$3, Ferien!$B$3+ROW(A41)-1, "")</f>
        <v/>
      </c>
      <c r="B43" s="1" t="str">
        <f>IF(Ferien!$B$4+ROW(B41)-1&lt;=Ferien!$C$4, Ferien!$B$4+ROW(B41)-1, "")</f>
        <v/>
      </c>
      <c r="C43" s="1">
        <f>IF(Ferien!$B$5+ROW(B41)-1&lt;=Ferien!$C$5, Ferien!$B$5+ROW(B41)-1, "")</f>
        <v>46263</v>
      </c>
      <c r="D43" s="1" t="str">
        <f>IF(Ferien!$B$6+ROW(B41)-1&lt;=Ferien!$C$6, Ferien!$B$6+ROW(B41)-1, "")</f>
        <v/>
      </c>
      <c r="E43" s="1" t="str">
        <f>IF(Ferien!$B$7+ROW(B41)-1&lt;=Ferien!$C$7, Ferien!$B$7+ROW(B41)-1, "")</f>
        <v/>
      </c>
      <c r="F43" s="1" t="str">
        <f>IF(Ferien!$B$8+ROW(B41)-1&lt;=Ferien!$C$8, Ferien!$B$8+ROW(B41)-1, "")</f>
        <v/>
      </c>
      <c r="G43" s="1" t="str">
        <f>IF(Ferien!$B$9+ROW(B41)-1&lt;=Ferien!$C$9, Ferien!$B$9+ROW(B41)-1, "")</f>
        <v/>
      </c>
      <c r="H43" s="1" t="str">
        <f>IF(Ferien!$B$10+ROW(B41)-1&lt;=Ferien!$C$10, Ferien!$B$10+ROW(B41)-1, "")</f>
        <v/>
      </c>
      <c r="I43" s="1" t="str">
        <f>IF(Ferien!$B$11+ROW(B41)-1&lt;=Ferien!$C$11, Ferien!$B$11+ROW(B41)-1, "")</f>
        <v/>
      </c>
      <c r="J43" s="1" t="str">
        <f>IF(Ferien!$B$12+ROW(B41)-1&lt;=Ferien!$C$12, Ferien!$B$12+ROW(B41)-1, "")</f>
        <v/>
      </c>
      <c r="K43" s="1" t="str">
        <f>IF(Ferien!$B$13+ROW(B41)-1&lt;=Ferien!$C$13, Ferien!$B$13+ROW(B41)-1, "")</f>
        <v/>
      </c>
      <c r="L43" s="1" t="str">
        <f>IF(Ferien!$B$14+ROW(B41)-1&lt;=Ferien!$C$14, Ferien!$B$14+ROW(B41)-1, "")</f>
        <v/>
      </c>
      <c r="M43" s="1" t="str">
        <f>IF(Ferien!$B$15+ROW(B41)-1&lt;=Ferien!$C$15, Ferien!$B$15+ROW(B41)-1, "")</f>
        <v/>
      </c>
      <c r="N43" s="1" t="str">
        <f>IF(Ferien!$B$16+ROW(B41)-1&lt;=Ferien!$C$16, Ferien!$B$16+ROW(B41)-1, "")</f>
        <v/>
      </c>
      <c r="O43" s="1" t="str">
        <f>IF(Ferien!$B$17+ROW(B41)-1&lt;=Ferien!$C$17, Ferien!$B$17+ROW(B41)-1, "")</f>
        <v/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3">
      <c r="A44" s="1" t="str">
        <f>IF(Ferien!$B$3+ROW(A42)-1&lt;=Ferien!$C$3, Ferien!$B$3+ROW(A42)-1, "")</f>
        <v/>
      </c>
      <c r="B44" s="1" t="str">
        <f>IF(Ferien!$B$4+ROW(B42)-1&lt;=Ferien!$C$4, Ferien!$B$4+ROW(B42)-1, "")</f>
        <v/>
      </c>
      <c r="C44" s="1">
        <f>IF(Ferien!$B$5+ROW(B42)-1&lt;=Ferien!$C$5, Ferien!$B$5+ROW(B42)-1, "")</f>
        <v>46264</v>
      </c>
      <c r="D44" s="1" t="str">
        <f>IF(Ferien!$B$6+ROW(B42)-1&lt;=Ferien!$C$6, Ferien!$B$6+ROW(B42)-1, "")</f>
        <v/>
      </c>
      <c r="E44" s="1" t="str">
        <f>IF(Ferien!$B$7+ROW(B42)-1&lt;=Ferien!$C$7, Ferien!$B$7+ROW(B42)-1, "")</f>
        <v/>
      </c>
      <c r="F44" s="1" t="str">
        <f>IF(Ferien!$B$8+ROW(B42)-1&lt;=Ferien!$C$8, Ferien!$B$8+ROW(B42)-1, "")</f>
        <v/>
      </c>
      <c r="G44" s="1" t="str">
        <f>IF(Ferien!$B$9+ROW(B42)-1&lt;=Ferien!$C$9, Ferien!$B$9+ROW(B42)-1, "")</f>
        <v/>
      </c>
      <c r="H44" s="1" t="str">
        <f>IF(Ferien!$B$10+ROW(B42)-1&lt;=Ferien!$C$10, Ferien!$B$10+ROW(B42)-1, "")</f>
        <v/>
      </c>
      <c r="I44" s="1" t="str">
        <f>IF(Ferien!$B$11+ROW(B42)-1&lt;=Ferien!$C$11, Ferien!$B$11+ROW(B42)-1, "")</f>
        <v/>
      </c>
      <c r="J44" s="1" t="str">
        <f>IF(Ferien!$B$12+ROW(B42)-1&lt;=Ferien!$C$12, Ferien!$B$12+ROW(B42)-1, "")</f>
        <v/>
      </c>
      <c r="K44" s="1" t="str">
        <f>IF(Ferien!$B$13+ROW(B42)-1&lt;=Ferien!$C$13, Ferien!$B$13+ROW(B42)-1, "")</f>
        <v/>
      </c>
      <c r="L44" s="1" t="str">
        <f>IF(Ferien!$B$14+ROW(B42)-1&lt;=Ferien!$C$14, Ferien!$B$14+ROW(B42)-1, "")</f>
        <v/>
      </c>
      <c r="M44" s="1" t="str">
        <f>IF(Ferien!$B$15+ROW(B42)-1&lt;=Ferien!$C$15, Ferien!$B$15+ROW(B42)-1, "")</f>
        <v/>
      </c>
      <c r="N44" s="1" t="str">
        <f>IF(Ferien!$B$16+ROW(B42)-1&lt;=Ferien!$C$16, Ferien!$B$16+ROW(B42)-1, "")</f>
        <v/>
      </c>
      <c r="O44" s="1" t="str">
        <f>IF(Ferien!$B$17+ROW(B42)-1&lt;=Ferien!$C$17, Ferien!$B$17+ROW(B42)-1, "")</f>
        <v/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3">
      <c r="A45" s="1" t="str">
        <f>IF(Ferien!$B$3+ROW(A43)-1&lt;=Ferien!$C$3, Ferien!$B$3+ROW(A43)-1, "")</f>
        <v/>
      </c>
      <c r="B45" s="1" t="str">
        <f>IF(Ferien!$B$4+ROW(B43)-1&lt;=Ferien!$C$4, Ferien!$B$4+ROW(B43)-1, "")</f>
        <v/>
      </c>
      <c r="C45" s="1">
        <f>IF(Ferien!$B$5+ROW(B43)-1&lt;=Ferien!$C$5, Ferien!$B$5+ROW(B43)-1, "")</f>
        <v>46265</v>
      </c>
      <c r="D45" s="1" t="str">
        <f>IF(Ferien!$B$6+ROW(B43)-1&lt;=Ferien!$C$6, Ferien!$B$6+ROW(B43)-1, "")</f>
        <v/>
      </c>
      <c r="E45" s="1" t="str">
        <f>IF(Ferien!$B$7+ROW(B43)-1&lt;=Ferien!$C$7, Ferien!$B$7+ROW(B43)-1, "")</f>
        <v/>
      </c>
      <c r="F45" s="1" t="str">
        <f>IF(Ferien!$B$8+ROW(B43)-1&lt;=Ferien!$C$8, Ferien!$B$8+ROW(B43)-1, "")</f>
        <v/>
      </c>
      <c r="G45" s="1" t="str">
        <f>IF(Ferien!$B$9+ROW(B43)-1&lt;=Ferien!$C$9, Ferien!$B$9+ROW(B43)-1, "")</f>
        <v/>
      </c>
      <c r="H45" s="1" t="str">
        <f>IF(Ferien!$B$10+ROW(B43)-1&lt;=Ferien!$C$10, Ferien!$B$10+ROW(B43)-1, "")</f>
        <v/>
      </c>
      <c r="I45" s="1" t="str">
        <f>IF(Ferien!$B$11+ROW(B43)-1&lt;=Ferien!$C$11, Ferien!$B$11+ROW(B43)-1, "")</f>
        <v/>
      </c>
      <c r="J45" s="1" t="str">
        <f>IF(Ferien!$B$12+ROW(B43)-1&lt;=Ferien!$C$12, Ferien!$B$12+ROW(B43)-1, "")</f>
        <v/>
      </c>
      <c r="K45" s="1" t="str">
        <f>IF(Ferien!$B$13+ROW(B43)-1&lt;=Ferien!$C$13, Ferien!$B$13+ROW(B43)-1, "")</f>
        <v/>
      </c>
      <c r="L45" s="1" t="str">
        <f>IF(Ferien!$B$14+ROW(B43)-1&lt;=Ferien!$C$14, Ferien!$B$14+ROW(B43)-1, "")</f>
        <v/>
      </c>
      <c r="M45" s="1" t="str">
        <f>IF(Ferien!$B$15+ROW(B43)-1&lt;=Ferien!$C$15, Ferien!$B$15+ROW(B43)-1, "")</f>
        <v/>
      </c>
      <c r="N45" s="1" t="str">
        <f>IF(Ferien!$B$16+ROW(B43)-1&lt;=Ferien!$C$16, Ferien!$B$16+ROW(B43)-1, "")</f>
        <v/>
      </c>
      <c r="O45" s="1" t="str">
        <f>IF(Ferien!$B$17+ROW(B43)-1&lt;=Ferien!$C$17, Ferien!$B$17+ROW(B43)-1, "")</f>
        <v/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3">
      <c r="A46" s="1" t="str">
        <f>IF(Ferien!$B$3+ROW(A44)-1&lt;=Ferien!$C$3, Ferien!$B$3+ROW(A44)-1, "")</f>
        <v/>
      </c>
      <c r="B46" s="1" t="str">
        <f>IF(Ferien!$B$4+ROW(B44)-1&lt;=Ferien!$C$4, Ferien!$B$4+ROW(B44)-1, "")</f>
        <v/>
      </c>
      <c r="C46" s="1">
        <f>IF(Ferien!$B$5+ROW(B44)-1&lt;=Ferien!$C$5, Ferien!$B$5+ROW(B44)-1, "")</f>
        <v>46266</v>
      </c>
      <c r="D46" s="1" t="str">
        <f>IF(Ferien!$B$6+ROW(B44)-1&lt;=Ferien!$C$6, Ferien!$B$6+ROW(B44)-1, "")</f>
        <v/>
      </c>
      <c r="E46" s="1" t="str">
        <f>IF(Ferien!$B$7+ROW(B44)-1&lt;=Ferien!$C$7, Ferien!$B$7+ROW(B44)-1, "")</f>
        <v/>
      </c>
      <c r="F46" s="1" t="str">
        <f>IF(Ferien!$B$8+ROW(B44)-1&lt;=Ferien!$C$8, Ferien!$B$8+ROW(B44)-1, "")</f>
        <v/>
      </c>
      <c r="G46" s="1" t="str">
        <f>IF(Ferien!$B$9+ROW(B44)-1&lt;=Ferien!$C$9, Ferien!$B$9+ROW(B44)-1, "")</f>
        <v/>
      </c>
      <c r="H46" s="1" t="str">
        <f>IF(Ferien!$B$10+ROW(B44)-1&lt;=Ferien!$C$10, Ferien!$B$10+ROW(B44)-1, "")</f>
        <v/>
      </c>
      <c r="I46" s="1" t="str">
        <f>IF(Ferien!$B$11+ROW(B44)-1&lt;=Ferien!$C$11, Ferien!$B$11+ROW(B44)-1, "")</f>
        <v/>
      </c>
      <c r="J46" s="1" t="str">
        <f>IF(Ferien!$B$12+ROW(B44)-1&lt;=Ferien!$C$12, Ferien!$B$12+ROW(B44)-1, "")</f>
        <v/>
      </c>
      <c r="K46" s="1" t="str">
        <f>IF(Ferien!$B$13+ROW(B44)-1&lt;=Ferien!$C$13, Ferien!$B$13+ROW(B44)-1, "")</f>
        <v/>
      </c>
      <c r="L46" s="1" t="str">
        <f>IF(Ferien!$B$14+ROW(B44)-1&lt;=Ferien!$C$14, Ferien!$B$14+ROW(B44)-1, "")</f>
        <v/>
      </c>
      <c r="M46" s="1" t="str">
        <f>IF(Ferien!$B$15+ROW(B44)-1&lt;=Ferien!$C$15, Ferien!$B$15+ROW(B44)-1, "")</f>
        <v/>
      </c>
      <c r="N46" s="1" t="str">
        <f>IF(Ferien!$B$16+ROW(B44)-1&lt;=Ferien!$C$16, Ferien!$B$16+ROW(B44)-1, "")</f>
        <v/>
      </c>
      <c r="O46" s="1" t="str">
        <f>IF(Ferien!$B$17+ROW(B44)-1&lt;=Ferien!$C$17, Ferien!$B$17+ROW(B44)-1, "")</f>
        <v/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3">
      <c r="A47" s="1" t="str">
        <f>IF(Ferien!$B$3+ROW(A45)-1&lt;=Ferien!$C$3, Ferien!$B$3+ROW(A45)-1, "")</f>
        <v/>
      </c>
      <c r="B47" s="1" t="str">
        <f>IF(Ferien!$B$4+ROW(B45)-1&lt;=Ferien!$C$4, Ferien!$B$4+ROW(B45)-1, "")</f>
        <v/>
      </c>
      <c r="C47" s="1" t="str">
        <f>IF(Ferien!$B$5+ROW(B45)-1&lt;=Ferien!$C$5, Ferien!$B$5+ROW(B45)-1, "")</f>
        <v/>
      </c>
      <c r="D47" s="1" t="str">
        <f>IF(Ferien!$B$6+ROW(B45)-1&lt;=Ferien!$C$6, Ferien!$B$6+ROW(B45)-1, "")</f>
        <v/>
      </c>
      <c r="E47" s="1" t="str">
        <f>IF(Ferien!$B$7+ROW(B45)-1&lt;=Ferien!$C$7, Ferien!$B$7+ROW(B45)-1, "")</f>
        <v/>
      </c>
      <c r="F47" s="1" t="str">
        <f>IF(Ferien!$B$8+ROW(B45)-1&lt;=Ferien!$C$8, Ferien!$B$8+ROW(B45)-1, "")</f>
        <v/>
      </c>
      <c r="G47" s="1" t="str">
        <f>IF(Ferien!$B$9+ROW(B45)-1&lt;=Ferien!$C$9, Ferien!$B$9+ROW(B45)-1, "")</f>
        <v/>
      </c>
      <c r="H47" s="1" t="str">
        <f>IF(Ferien!$B$10+ROW(B45)-1&lt;=Ferien!$C$10, Ferien!$B$10+ROW(B45)-1, "")</f>
        <v/>
      </c>
      <c r="I47" s="1" t="str">
        <f>IF(Ferien!$B$11+ROW(B45)-1&lt;=Ferien!$C$11, Ferien!$B$11+ROW(B45)-1, "")</f>
        <v/>
      </c>
      <c r="J47" s="1" t="str">
        <f>IF(Ferien!$B$12+ROW(B45)-1&lt;=Ferien!$C$12, Ferien!$B$12+ROW(B45)-1, "")</f>
        <v/>
      </c>
      <c r="K47" s="1" t="str">
        <f>IF(Ferien!$B$13+ROW(B45)-1&lt;=Ferien!$C$13, Ferien!$B$13+ROW(B45)-1, "")</f>
        <v/>
      </c>
      <c r="L47" s="1" t="str">
        <f>IF(Ferien!$B$14+ROW(B45)-1&lt;=Ferien!$C$14, Ferien!$B$14+ROW(B45)-1, "")</f>
        <v/>
      </c>
      <c r="M47" s="1" t="str">
        <f>IF(Ferien!$B$15+ROW(B45)-1&lt;=Ferien!$C$15, Ferien!$B$15+ROW(B45)-1, "")</f>
        <v/>
      </c>
      <c r="N47" s="1" t="str">
        <f>IF(Ferien!$B$16+ROW(B45)-1&lt;=Ferien!$C$16, Ferien!$B$16+ROW(B45)-1, "")</f>
        <v/>
      </c>
      <c r="O47" s="1" t="str">
        <f>IF(Ferien!$B$17+ROW(B45)-1&lt;=Ferien!$C$17, Ferien!$B$17+ROW(B45)-1, "")</f>
        <v/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3">
      <c r="A48" s="1" t="str">
        <f>IF(Ferien!$B$3+ROW(A46)-1&lt;=Ferien!$C$3, Ferien!$B$3+ROW(A46)-1, "")</f>
        <v/>
      </c>
      <c r="B48" s="1" t="str">
        <f>IF(Ferien!$B$4+ROW(B46)-1&lt;=Ferien!$C$4, Ferien!$B$4+ROW(B46)-1, "")</f>
        <v/>
      </c>
      <c r="C48" s="1" t="str">
        <f>IF(Ferien!$B$5+ROW(B46)-1&lt;=Ferien!$C$5, Ferien!$B$5+ROW(B46)-1, "")</f>
        <v/>
      </c>
      <c r="D48" s="1" t="str">
        <f>IF(Ferien!$B$6+ROW(B46)-1&lt;=Ferien!$C$6, Ferien!$B$6+ROW(B46)-1, "")</f>
        <v/>
      </c>
      <c r="E48" s="1" t="str">
        <f>IF(Ferien!$B$7+ROW(B46)-1&lt;=Ferien!$C$7, Ferien!$B$7+ROW(B46)-1, "")</f>
        <v/>
      </c>
      <c r="F48" s="1" t="str">
        <f>IF(Ferien!$B$8+ROW(B46)-1&lt;=Ferien!$C$8, Ferien!$B$8+ROW(B46)-1, "")</f>
        <v/>
      </c>
      <c r="G48" s="1" t="str">
        <f>IF(Ferien!$B$9+ROW(B46)-1&lt;=Ferien!$C$9, Ferien!$B$9+ROW(B46)-1, "")</f>
        <v/>
      </c>
      <c r="H48" s="1" t="str">
        <f>IF(Ferien!$B$10+ROW(B46)-1&lt;=Ferien!$C$10, Ferien!$B$10+ROW(B46)-1, "")</f>
        <v/>
      </c>
      <c r="I48" s="1" t="str">
        <f>IF(Ferien!$B$11+ROW(B46)-1&lt;=Ferien!$C$11, Ferien!$B$11+ROW(B46)-1, "")</f>
        <v/>
      </c>
      <c r="J48" s="1" t="str">
        <f>IF(Ferien!$B$12+ROW(B46)-1&lt;=Ferien!$C$12, Ferien!$B$12+ROW(B46)-1, "")</f>
        <v/>
      </c>
      <c r="K48" s="1" t="str">
        <f>IF(Ferien!$B$13+ROW(B46)-1&lt;=Ferien!$C$13, Ferien!$B$13+ROW(B46)-1, "")</f>
        <v/>
      </c>
      <c r="L48" s="1" t="str">
        <f>IF(Ferien!$B$14+ROW(B46)-1&lt;=Ferien!$C$14, Ferien!$B$14+ROW(B46)-1, "")</f>
        <v/>
      </c>
      <c r="M48" s="1" t="str">
        <f>IF(Ferien!$B$15+ROW(B46)-1&lt;=Ferien!$C$15, Ferien!$B$15+ROW(B46)-1, "")</f>
        <v/>
      </c>
      <c r="N48" s="1" t="str">
        <f>IF(Ferien!$B$16+ROW(B46)-1&lt;=Ferien!$C$16, Ferien!$B$16+ROW(B46)-1, "")</f>
        <v/>
      </c>
      <c r="O48" s="1" t="str">
        <f>IF(Ferien!$B$17+ROW(B46)-1&lt;=Ferien!$C$17, Ferien!$B$17+ROW(B46)-1, "")</f>
        <v/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3">
      <c r="A49" s="1" t="str">
        <f>IF(Ferien!$B$3+ROW(A47)-1&lt;=Ferien!$C$3, Ferien!$B$3+ROW(A47)-1, "")</f>
        <v/>
      </c>
      <c r="B49" s="1" t="str">
        <f>IF(Ferien!$B$4+ROW(B47)-1&lt;=Ferien!$C$4, Ferien!$B$4+ROW(B47)-1, "")</f>
        <v/>
      </c>
      <c r="C49" s="1" t="str">
        <f>IF(Ferien!$B$5+ROW(B47)-1&lt;=Ferien!$C$5, Ferien!$B$5+ROW(B47)-1, "")</f>
        <v/>
      </c>
      <c r="D49" s="1" t="str">
        <f>IF(Ferien!$B$6+ROW(B47)-1&lt;=Ferien!$C$6, Ferien!$B$6+ROW(B47)-1, "")</f>
        <v/>
      </c>
      <c r="E49" s="1" t="str">
        <f>IF(Ferien!$B$7+ROW(B47)-1&lt;=Ferien!$C$7, Ferien!$B$7+ROW(B47)-1, "")</f>
        <v/>
      </c>
      <c r="F49" s="1" t="str">
        <f>IF(Ferien!$B$8+ROW(B47)-1&lt;=Ferien!$C$8, Ferien!$B$8+ROW(B47)-1, "")</f>
        <v/>
      </c>
      <c r="G49" s="1" t="str">
        <f>IF(Ferien!$B$9+ROW(B47)-1&lt;=Ferien!$C$9, Ferien!$B$9+ROW(B47)-1, "")</f>
        <v/>
      </c>
      <c r="H49" s="1" t="str">
        <f>IF(Ferien!$B$10+ROW(B47)-1&lt;=Ferien!$C$10, Ferien!$B$10+ROW(B47)-1, "")</f>
        <v/>
      </c>
      <c r="I49" s="1" t="str">
        <f>IF(Ferien!$B$11+ROW(B47)-1&lt;=Ferien!$C$11, Ferien!$B$11+ROW(B47)-1, "")</f>
        <v/>
      </c>
      <c r="J49" s="1" t="str">
        <f>IF(Ferien!$B$12+ROW(B47)-1&lt;=Ferien!$C$12, Ferien!$B$12+ROW(B47)-1, "")</f>
        <v/>
      </c>
      <c r="K49" s="1" t="str">
        <f>IF(Ferien!$B$13+ROW(B47)-1&lt;=Ferien!$C$13, Ferien!$B$13+ROW(B47)-1, "")</f>
        <v/>
      </c>
      <c r="L49" s="1" t="str">
        <f>IF(Ferien!$B$14+ROW(B47)-1&lt;=Ferien!$C$14, Ferien!$B$14+ROW(B47)-1, "")</f>
        <v/>
      </c>
      <c r="M49" s="1" t="str">
        <f>IF(Ferien!$B$15+ROW(B47)-1&lt;=Ferien!$C$15, Ferien!$B$15+ROW(B47)-1, "")</f>
        <v/>
      </c>
      <c r="N49" s="1" t="str">
        <f>IF(Ferien!$B$16+ROW(B47)-1&lt;=Ferien!$C$16, Ferien!$B$16+ROW(B47)-1, "")</f>
        <v/>
      </c>
      <c r="O49" s="1" t="str">
        <f>IF(Ferien!$B$17+ROW(B47)-1&lt;=Ferien!$C$17, Ferien!$B$17+ROW(B47)-1, "")</f>
        <v/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3">
      <c r="A50" s="1" t="str">
        <f>IF(Ferien!$B$3+ROW(A48)-1&lt;=Ferien!$C$3, Ferien!$B$3+ROW(A48)-1, "")</f>
        <v/>
      </c>
      <c r="B50" s="1" t="str">
        <f>IF(Ferien!$B$4+ROW(B48)-1&lt;=Ferien!$C$4, Ferien!$B$4+ROW(B48)-1, "")</f>
        <v/>
      </c>
      <c r="C50" s="1" t="str">
        <f>IF(Ferien!$B$5+ROW(B48)-1&lt;=Ferien!$C$5, Ferien!$B$5+ROW(B48)-1, "")</f>
        <v/>
      </c>
      <c r="D50" s="1" t="str">
        <f>IF(Ferien!$B$6+ROW(B48)-1&lt;=Ferien!$C$6, Ferien!$B$6+ROW(B48)-1, "")</f>
        <v/>
      </c>
      <c r="E50" s="1" t="str">
        <f>IF(Ferien!$B$7+ROW(B48)-1&lt;=Ferien!$C$7, Ferien!$B$7+ROW(B48)-1, "")</f>
        <v/>
      </c>
      <c r="F50" s="1" t="str">
        <f>IF(Ferien!$B$8+ROW(B48)-1&lt;=Ferien!$C$8, Ferien!$B$8+ROW(B48)-1, "")</f>
        <v/>
      </c>
      <c r="G50" s="1" t="str">
        <f>IF(Ferien!$B$9+ROW(B48)-1&lt;=Ferien!$C$9, Ferien!$B$9+ROW(B48)-1, "")</f>
        <v/>
      </c>
      <c r="H50" s="1" t="str">
        <f>IF(Ferien!$B$10+ROW(B48)-1&lt;=Ferien!$C$10, Ferien!$B$10+ROW(B48)-1, "")</f>
        <v/>
      </c>
      <c r="I50" s="1" t="str">
        <f>IF(Ferien!$B$11+ROW(B48)-1&lt;=Ferien!$C$11, Ferien!$B$11+ROW(B48)-1, "")</f>
        <v/>
      </c>
      <c r="J50" s="1" t="str">
        <f>IF(Ferien!$B$12+ROW(B48)-1&lt;=Ferien!$C$12, Ferien!$B$12+ROW(B48)-1, "")</f>
        <v/>
      </c>
      <c r="K50" s="1" t="str">
        <f>IF(Ferien!$B$13+ROW(B48)-1&lt;=Ferien!$C$13, Ferien!$B$13+ROW(B48)-1, "")</f>
        <v/>
      </c>
      <c r="L50" s="1" t="str">
        <f>IF(Ferien!$B$14+ROW(B48)-1&lt;=Ferien!$C$14, Ferien!$B$14+ROW(B48)-1, "")</f>
        <v/>
      </c>
      <c r="M50" s="1" t="str">
        <f>IF(Ferien!$B$15+ROW(B48)-1&lt;=Ferien!$C$15, Ferien!$B$15+ROW(B48)-1, "")</f>
        <v/>
      </c>
      <c r="N50" s="1" t="str">
        <f>IF(Ferien!$B$16+ROW(B48)-1&lt;=Ferien!$C$16, Ferien!$B$16+ROW(B48)-1, "")</f>
        <v/>
      </c>
      <c r="O50" s="1" t="str">
        <f>IF(Ferien!$B$17+ROW(B48)-1&lt;=Ferien!$C$17, Ferien!$B$17+ROW(B48)-1, "")</f>
        <v/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3">
      <c r="A51" s="1" t="str">
        <f>IF(Ferien!$B$3+ROW(A49)-1&lt;=Ferien!$C$3, Ferien!$B$3+ROW(A49)-1, "")</f>
        <v/>
      </c>
      <c r="B51" s="1" t="str">
        <f>IF(Ferien!$B$4+ROW(B49)-1&lt;=Ferien!$C$4, Ferien!$B$4+ROW(B49)-1, "")</f>
        <v/>
      </c>
      <c r="C51" s="1" t="str">
        <f>IF(Ferien!$B$5+ROW(B49)-1&lt;=Ferien!$C$5, Ferien!$B$5+ROW(B49)-1, "")</f>
        <v/>
      </c>
      <c r="D51" s="1" t="str">
        <f>IF(Ferien!$B$6+ROW(B49)-1&lt;=Ferien!$C$6, Ferien!$B$6+ROW(B49)-1, "")</f>
        <v/>
      </c>
      <c r="E51" s="1" t="str">
        <f>IF(Ferien!$B$7+ROW(B49)-1&lt;=Ferien!$C$7, Ferien!$B$7+ROW(B49)-1, "")</f>
        <v/>
      </c>
      <c r="F51" s="1" t="str">
        <f>IF(Ferien!$B$8+ROW(B49)-1&lt;=Ferien!$C$8, Ferien!$B$8+ROW(B49)-1, "")</f>
        <v/>
      </c>
      <c r="G51" s="1" t="str">
        <f>IF(Ferien!$B$9+ROW(B49)-1&lt;=Ferien!$C$9, Ferien!$B$9+ROW(B49)-1, "")</f>
        <v/>
      </c>
      <c r="H51" s="1" t="str">
        <f>IF(Ferien!$B$10+ROW(B49)-1&lt;=Ferien!$C$10, Ferien!$B$10+ROW(B49)-1, "")</f>
        <v/>
      </c>
      <c r="I51" s="1" t="str">
        <f>IF(Ferien!$B$11+ROW(B49)-1&lt;=Ferien!$C$11, Ferien!$B$11+ROW(B49)-1, "")</f>
        <v/>
      </c>
      <c r="J51" s="1" t="str">
        <f>IF(Ferien!$B$12+ROW(B49)-1&lt;=Ferien!$C$12, Ferien!$B$12+ROW(B49)-1, "")</f>
        <v/>
      </c>
      <c r="K51" s="1" t="str">
        <f>IF(Ferien!$B$13+ROW(B49)-1&lt;=Ferien!$C$13, Ferien!$B$13+ROW(B49)-1, "")</f>
        <v/>
      </c>
      <c r="L51" s="1" t="str">
        <f>IF(Ferien!$B$14+ROW(B49)-1&lt;=Ferien!$C$14, Ferien!$B$14+ROW(B49)-1, "")</f>
        <v/>
      </c>
      <c r="M51" s="1" t="str">
        <f>IF(Ferien!$B$15+ROW(B49)-1&lt;=Ferien!$C$15, Ferien!$B$15+ROW(B49)-1, "")</f>
        <v/>
      </c>
      <c r="N51" s="1" t="str">
        <f>IF(Ferien!$B$16+ROW(B49)-1&lt;=Ferien!$C$16, Ferien!$B$16+ROW(B49)-1, "")</f>
        <v/>
      </c>
      <c r="O51" s="1" t="str">
        <f>IF(Ferien!$B$17+ROW(B49)-1&lt;=Ferien!$C$17, Ferien!$B$17+ROW(B49)-1, "")</f>
        <v/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3">
      <c r="A52" s="1" t="str">
        <f>IF(Ferien!$B$3+ROW(A50)-1&lt;=Ferien!$C$3, Ferien!$B$3+ROW(A50)-1, "")</f>
        <v/>
      </c>
      <c r="B52" s="1" t="str">
        <f>IF(Ferien!$B$4+ROW(B50)-1&lt;=Ferien!$C$4, Ferien!$B$4+ROW(B50)-1, "")</f>
        <v/>
      </c>
      <c r="C52" s="1" t="str">
        <f>IF(Ferien!$B$5+ROW(B50)-1&lt;=Ferien!$C$5, Ferien!$B$5+ROW(B50)-1, "")</f>
        <v/>
      </c>
      <c r="D52" s="1" t="str">
        <f>IF(Ferien!$B$6+ROW(B50)-1&lt;=Ferien!$C$6, Ferien!$B$6+ROW(B50)-1, "")</f>
        <v/>
      </c>
      <c r="E52" s="1" t="str">
        <f>IF(Ferien!$B$7+ROW(B50)-1&lt;=Ferien!$C$7, Ferien!$B$7+ROW(B50)-1, "")</f>
        <v/>
      </c>
      <c r="F52" s="1" t="str">
        <f>IF(Ferien!$B$8+ROW(B50)-1&lt;=Ferien!$C$8, Ferien!$B$8+ROW(B50)-1, "")</f>
        <v/>
      </c>
      <c r="G52" s="1" t="str">
        <f>IF(Ferien!$B$9+ROW(B50)-1&lt;=Ferien!$C$9, Ferien!$B$9+ROW(B50)-1, "")</f>
        <v/>
      </c>
      <c r="H52" s="1" t="str">
        <f>IF(Ferien!$B$10+ROW(B50)-1&lt;=Ferien!$C$10, Ferien!$B$10+ROW(B50)-1, "")</f>
        <v/>
      </c>
      <c r="I52" s="1" t="str">
        <f>IF(Ferien!$B$11+ROW(B50)-1&lt;=Ferien!$C$11, Ferien!$B$11+ROW(B50)-1, "")</f>
        <v/>
      </c>
      <c r="J52" s="1" t="str">
        <f>IF(Ferien!$B$12+ROW(B50)-1&lt;=Ferien!$C$12, Ferien!$B$12+ROW(B50)-1, "")</f>
        <v/>
      </c>
      <c r="K52" s="1" t="str">
        <f>IF(Ferien!$B$13+ROW(B50)-1&lt;=Ferien!$C$13, Ferien!$B$13+ROW(B50)-1, "")</f>
        <v/>
      </c>
      <c r="L52" s="1" t="str">
        <f>IF(Ferien!$B$14+ROW(B50)-1&lt;=Ferien!$C$14, Ferien!$B$14+ROW(B50)-1, "")</f>
        <v/>
      </c>
      <c r="M52" s="1" t="str">
        <f>IF(Ferien!$B$15+ROW(B50)-1&lt;=Ferien!$C$15, Ferien!$B$15+ROW(B50)-1, "")</f>
        <v/>
      </c>
      <c r="N52" s="1" t="str">
        <f>IF(Ferien!$B$16+ROW(B50)-1&lt;=Ferien!$C$16, Ferien!$B$16+ROW(B50)-1, "")</f>
        <v/>
      </c>
      <c r="O52" s="1" t="str">
        <f>IF(Ferien!$B$17+ROW(B50)-1&lt;=Ferien!$C$17, Ferien!$B$17+ROW(B50)-1, "")</f>
        <v/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3">
      <c r="A53" s="1" t="str">
        <f>IF(Ferien!$B$3+ROW(A51)-1&lt;=Ferien!$C$3, Ferien!$B$3+ROW(A51)-1, "")</f>
        <v/>
      </c>
      <c r="B53" s="1" t="str">
        <f>IF(Ferien!$B$4+ROW(B51)-1&lt;=Ferien!$C$4, Ferien!$B$4+ROW(B51)-1, "")</f>
        <v/>
      </c>
      <c r="C53" s="1" t="str">
        <f>IF(Ferien!$B$5+ROW(B51)-1&lt;=Ferien!$C$5, Ferien!$B$5+ROW(B51)-1, "")</f>
        <v/>
      </c>
      <c r="D53" s="1" t="str">
        <f>IF(Ferien!$B$6+ROW(B51)-1&lt;=Ferien!$C$6, Ferien!$B$6+ROW(B51)-1, "")</f>
        <v/>
      </c>
      <c r="E53" s="1" t="str">
        <f>IF(Ferien!$B$7+ROW(B51)-1&lt;=Ferien!$C$7, Ferien!$B$7+ROW(B51)-1, "")</f>
        <v/>
      </c>
      <c r="F53" s="1" t="str">
        <f>IF(Ferien!$B$8+ROW(B51)-1&lt;=Ferien!$C$8, Ferien!$B$8+ROW(B51)-1, "")</f>
        <v/>
      </c>
      <c r="G53" s="1" t="str">
        <f>IF(Ferien!$B$9+ROW(B51)-1&lt;=Ferien!$C$9, Ferien!$B$9+ROW(B51)-1, "")</f>
        <v/>
      </c>
      <c r="H53" s="1" t="str">
        <f>IF(Ferien!$B$10+ROW(B51)-1&lt;=Ferien!$C$10, Ferien!$B$10+ROW(B51)-1, "")</f>
        <v/>
      </c>
      <c r="I53" s="1" t="str">
        <f>IF(Ferien!$B$11+ROW(B51)-1&lt;=Ferien!$C$11, Ferien!$B$11+ROW(B51)-1, "")</f>
        <v/>
      </c>
      <c r="J53" s="1" t="str">
        <f>IF(Ferien!$B$12+ROW(B51)-1&lt;=Ferien!$C$12, Ferien!$B$12+ROW(B51)-1, "")</f>
        <v/>
      </c>
      <c r="K53" s="1" t="str">
        <f>IF(Ferien!$B$13+ROW(B51)-1&lt;=Ferien!$C$13, Ferien!$B$13+ROW(B51)-1, "")</f>
        <v/>
      </c>
      <c r="L53" s="1" t="str">
        <f>IF(Ferien!$B$14+ROW(B51)-1&lt;=Ferien!$C$14, Ferien!$B$14+ROW(B51)-1, "")</f>
        <v/>
      </c>
      <c r="M53" s="1" t="str">
        <f>IF(Ferien!$B$15+ROW(B51)-1&lt;=Ferien!$C$15, Ferien!$B$15+ROW(B51)-1, "")</f>
        <v/>
      </c>
      <c r="N53" s="1" t="str">
        <f>IF(Ferien!$B$16+ROW(B51)-1&lt;=Ferien!$C$16, Ferien!$B$16+ROW(B51)-1, "")</f>
        <v/>
      </c>
      <c r="O53" s="1" t="str">
        <f>IF(Ferien!$B$17+ROW(B51)-1&lt;=Ferien!$C$17, Ferien!$B$17+ROW(B51)-1, "")</f>
        <v/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3">
      <c r="A54" s="1" t="str">
        <f>IF(Ferien!$B$3+ROW(A52)-1&lt;=Ferien!$C$3, Ferien!$B$3+ROW(A52)-1, "")</f>
        <v/>
      </c>
      <c r="B54" s="1" t="str">
        <f>IF(Ferien!$B$4+ROW(B52)-1&lt;=Ferien!$C$4, Ferien!$B$4+ROW(B52)-1, "")</f>
        <v/>
      </c>
      <c r="C54" s="1" t="str">
        <f>IF(Ferien!$B$5+ROW(B52)-1&lt;=Ferien!$C$5, Ferien!$B$5+ROW(B52)-1, "")</f>
        <v/>
      </c>
      <c r="D54" s="1" t="str">
        <f>IF(Ferien!$B$6+ROW(B52)-1&lt;=Ferien!$C$6, Ferien!$B$6+ROW(B52)-1, "")</f>
        <v/>
      </c>
      <c r="E54" s="1" t="str">
        <f>IF(Ferien!$B$7+ROW(B52)-1&lt;=Ferien!$C$7, Ferien!$B$7+ROW(B52)-1, "")</f>
        <v/>
      </c>
      <c r="F54" s="1" t="str">
        <f>IF(Ferien!$B$8+ROW(B52)-1&lt;=Ferien!$C$8, Ferien!$B$8+ROW(B52)-1, "")</f>
        <v/>
      </c>
      <c r="G54" s="1" t="str">
        <f>IF(Ferien!$B$9+ROW(B52)-1&lt;=Ferien!$C$9, Ferien!$B$9+ROW(B52)-1, "")</f>
        <v/>
      </c>
      <c r="H54" s="1" t="str">
        <f>IF(Ferien!$B$10+ROW(B52)-1&lt;=Ferien!$C$10, Ferien!$B$10+ROW(B52)-1, "")</f>
        <v/>
      </c>
      <c r="I54" s="1" t="str">
        <f>IF(Ferien!$B$11+ROW(B52)-1&lt;=Ferien!$C$11, Ferien!$B$11+ROW(B52)-1, "")</f>
        <v/>
      </c>
      <c r="J54" s="1" t="str">
        <f>IF(Ferien!$B$12+ROW(B52)-1&lt;=Ferien!$C$12, Ferien!$B$12+ROW(B52)-1, "")</f>
        <v/>
      </c>
      <c r="K54" s="1" t="str">
        <f>IF(Ferien!$B$13+ROW(B52)-1&lt;=Ferien!$C$13, Ferien!$B$13+ROW(B52)-1, "")</f>
        <v/>
      </c>
      <c r="L54" s="1" t="str">
        <f>IF(Ferien!$B$14+ROW(B52)-1&lt;=Ferien!$C$14, Ferien!$B$14+ROW(B52)-1, "")</f>
        <v/>
      </c>
      <c r="M54" s="1" t="str">
        <f>IF(Ferien!$B$15+ROW(B52)-1&lt;=Ferien!$C$15, Ferien!$B$15+ROW(B52)-1, "")</f>
        <v/>
      </c>
      <c r="N54" s="1" t="str">
        <f>IF(Ferien!$B$16+ROW(B52)-1&lt;=Ferien!$C$16, Ferien!$B$16+ROW(B52)-1, "")</f>
        <v/>
      </c>
      <c r="O54" s="1" t="str">
        <f>IF(Ferien!$B$17+ROW(B52)-1&lt;=Ferien!$C$17, Ferien!$B$17+ROW(B52)-1, "")</f>
        <v/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3">
      <c r="A55" s="1" t="str">
        <f>IF(Ferien!$B$3+ROW(A53)-1&lt;=Ferien!$C$3, Ferien!$B$3+ROW(A53)-1, "")</f>
        <v/>
      </c>
      <c r="B55" s="1" t="str">
        <f>IF(Ferien!$B$4+ROW(B53)-1&lt;=Ferien!$C$4, Ferien!$B$4+ROW(B53)-1, "")</f>
        <v/>
      </c>
      <c r="C55" s="1" t="str">
        <f>IF(Ferien!$B$5+ROW(B53)-1&lt;=Ferien!$C$5, Ferien!$B$5+ROW(B53)-1, "")</f>
        <v/>
      </c>
      <c r="D55" s="1" t="str">
        <f>IF(Ferien!$B$6+ROW(B53)-1&lt;=Ferien!$C$6, Ferien!$B$6+ROW(B53)-1, "")</f>
        <v/>
      </c>
      <c r="E55" s="1" t="str">
        <f>IF(Ferien!$B$7+ROW(B53)-1&lt;=Ferien!$C$7, Ferien!$B$7+ROW(B53)-1, "")</f>
        <v/>
      </c>
      <c r="F55" s="1" t="str">
        <f>IF(Ferien!$B$8+ROW(B53)-1&lt;=Ferien!$C$8, Ferien!$B$8+ROW(B53)-1, "")</f>
        <v/>
      </c>
      <c r="G55" s="1" t="str">
        <f>IF(Ferien!$B$9+ROW(B53)-1&lt;=Ferien!$C$9, Ferien!$B$9+ROW(B53)-1, "")</f>
        <v/>
      </c>
      <c r="H55" s="1" t="str">
        <f>IF(Ferien!$B$10+ROW(B53)-1&lt;=Ferien!$C$10, Ferien!$B$10+ROW(B53)-1, "")</f>
        <v/>
      </c>
      <c r="I55" s="1" t="str">
        <f>IF(Ferien!$B$11+ROW(B53)-1&lt;=Ferien!$C$11, Ferien!$B$11+ROW(B53)-1, "")</f>
        <v/>
      </c>
      <c r="J55" s="1" t="str">
        <f>IF(Ferien!$B$12+ROW(B53)-1&lt;=Ferien!$C$12, Ferien!$B$12+ROW(B53)-1, "")</f>
        <v/>
      </c>
      <c r="K55" s="1" t="str">
        <f>IF(Ferien!$B$13+ROW(B53)-1&lt;=Ferien!$C$13, Ferien!$B$13+ROW(B53)-1, "")</f>
        <v/>
      </c>
      <c r="L55" s="1" t="str">
        <f>IF(Ferien!$B$14+ROW(B53)-1&lt;=Ferien!$C$14, Ferien!$B$14+ROW(B53)-1, "")</f>
        <v/>
      </c>
      <c r="M55" s="1" t="str">
        <f>IF(Ferien!$B$15+ROW(B53)-1&lt;=Ferien!$C$15, Ferien!$B$15+ROW(B53)-1, "")</f>
        <v/>
      </c>
      <c r="N55" s="1" t="str">
        <f>IF(Ferien!$B$16+ROW(B53)-1&lt;=Ferien!$C$16, Ferien!$B$16+ROW(B53)-1, "")</f>
        <v/>
      </c>
      <c r="O55" s="1" t="str">
        <f>IF(Ferien!$B$17+ROW(B53)-1&lt;=Ferien!$C$17, Ferien!$B$17+ROW(B53)-1, "")</f>
        <v/>
      </c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3">
      <c r="A56" s="1" t="str">
        <f>IF(Ferien!$B$3+ROW(A54)-1&lt;=Ferien!$C$3, Ferien!$B$3+ROW(A54)-1, "")</f>
        <v/>
      </c>
      <c r="B56" s="1" t="str">
        <f>IF(Ferien!$B$4+ROW(B54)-1&lt;=Ferien!$C$4, Ferien!$B$4+ROW(B54)-1, "")</f>
        <v/>
      </c>
      <c r="C56" s="1" t="str">
        <f>IF(Ferien!$B$5+ROW(B54)-1&lt;=Ferien!$C$5, Ferien!$B$5+ROW(B54)-1, "")</f>
        <v/>
      </c>
      <c r="D56" s="1" t="str">
        <f>IF(Ferien!$B$6+ROW(B54)-1&lt;=Ferien!$C$6, Ferien!$B$6+ROW(B54)-1, "")</f>
        <v/>
      </c>
      <c r="E56" s="1" t="str">
        <f>IF(Ferien!$B$7+ROW(B54)-1&lt;=Ferien!$C$7, Ferien!$B$7+ROW(B54)-1, "")</f>
        <v/>
      </c>
      <c r="F56" s="1" t="str">
        <f>IF(Ferien!$B$8+ROW(B54)-1&lt;=Ferien!$C$8, Ferien!$B$8+ROW(B54)-1, "")</f>
        <v/>
      </c>
      <c r="G56" s="1" t="str">
        <f>IF(Ferien!$B$9+ROW(B54)-1&lt;=Ferien!$C$9, Ferien!$B$9+ROW(B54)-1, "")</f>
        <v/>
      </c>
      <c r="H56" s="1" t="str">
        <f>IF(Ferien!$B$10+ROW(B54)-1&lt;=Ferien!$C$10, Ferien!$B$10+ROW(B54)-1, "")</f>
        <v/>
      </c>
      <c r="I56" s="1" t="str">
        <f>IF(Ferien!$B$11+ROW(B54)-1&lt;=Ferien!$C$11, Ferien!$B$11+ROW(B54)-1, "")</f>
        <v/>
      </c>
      <c r="J56" s="1" t="str">
        <f>IF(Ferien!$B$12+ROW(B54)-1&lt;=Ferien!$C$12, Ferien!$B$12+ROW(B54)-1, "")</f>
        <v/>
      </c>
      <c r="K56" s="1" t="str">
        <f>IF(Ferien!$B$13+ROW(B54)-1&lt;=Ferien!$C$13, Ferien!$B$13+ROW(B54)-1, "")</f>
        <v/>
      </c>
      <c r="L56" s="1" t="str">
        <f>IF(Ferien!$B$14+ROW(B54)-1&lt;=Ferien!$C$14, Ferien!$B$14+ROW(B54)-1, "")</f>
        <v/>
      </c>
      <c r="M56" s="1" t="str">
        <f>IF(Ferien!$B$15+ROW(B54)-1&lt;=Ferien!$C$15, Ferien!$B$15+ROW(B54)-1, "")</f>
        <v/>
      </c>
      <c r="N56" s="1" t="str">
        <f>IF(Ferien!$B$16+ROW(B54)-1&lt;=Ferien!$C$16, Ferien!$B$16+ROW(B54)-1, "")</f>
        <v/>
      </c>
      <c r="O56" s="1" t="str">
        <f>IF(Ferien!$B$17+ROW(B54)-1&lt;=Ferien!$C$17, Ferien!$B$17+ROW(B54)-1, "")</f>
        <v/>
      </c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3">
      <c r="A57" s="1" t="str">
        <f>IF(Ferien!$B$3+ROW(A55)-1&lt;=Ferien!$C$3, Ferien!$B$3+ROW(A55)-1, "")</f>
        <v/>
      </c>
      <c r="B57" s="1" t="str">
        <f>IF(Ferien!$B$4+ROW(B55)-1&lt;=Ferien!$C$4, Ferien!$B$4+ROW(B55)-1, "")</f>
        <v/>
      </c>
      <c r="C57" s="1" t="str">
        <f>IF(Ferien!$B$5+ROW(B55)-1&lt;=Ferien!$C$5, Ferien!$B$5+ROW(B55)-1, "")</f>
        <v/>
      </c>
      <c r="D57" s="1" t="str">
        <f>IF(Ferien!$B$6+ROW(B55)-1&lt;=Ferien!$C$6, Ferien!$B$6+ROW(B55)-1, "")</f>
        <v/>
      </c>
      <c r="E57" s="1" t="str">
        <f>IF(Ferien!$B$7+ROW(B55)-1&lt;=Ferien!$C$7, Ferien!$B$7+ROW(B55)-1, "")</f>
        <v/>
      </c>
      <c r="F57" s="1" t="str">
        <f>IF(Ferien!$B$8+ROW(B55)-1&lt;=Ferien!$C$8, Ferien!$B$8+ROW(B55)-1, "")</f>
        <v/>
      </c>
      <c r="G57" s="1" t="str">
        <f>IF(Ferien!$B$9+ROW(B55)-1&lt;=Ferien!$C$9, Ferien!$B$9+ROW(B55)-1, "")</f>
        <v/>
      </c>
      <c r="H57" s="1" t="str">
        <f>IF(Ferien!$B$10+ROW(B55)-1&lt;=Ferien!$C$10, Ferien!$B$10+ROW(B55)-1, "")</f>
        <v/>
      </c>
      <c r="I57" s="1" t="str">
        <f>IF(Ferien!$B$11+ROW(B55)-1&lt;=Ferien!$C$11, Ferien!$B$11+ROW(B55)-1, "")</f>
        <v/>
      </c>
      <c r="J57" s="1" t="str">
        <f>IF(Ferien!$B$12+ROW(B55)-1&lt;=Ferien!$C$12, Ferien!$B$12+ROW(B55)-1, "")</f>
        <v/>
      </c>
      <c r="K57" s="1" t="str">
        <f>IF(Ferien!$B$13+ROW(B55)-1&lt;=Ferien!$C$13, Ferien!$B$13+ROW(B55)-1, "")</f>
        <v/>
      </c>
      <c r="L57" s="1" t="str">
        <f>IF(Ferien!$B$14+ROW(B55)-1&lt;=Ferien!$C$14, Ferien!$B$14+ROW(B55)-1, "")</f>
        <v/>
      </c>
      <c r="M57" s="1" t="str">
        <f>IF(Ferien!$B$15+ROW(B55)-1&lt;=Ferien!$C$15, Ferien!$B$15+ROW(B55)-1, "")</f>
        <v/>
      </c>
      <c r="N57" s="1" t="str">
        <f>IF(Ferien!$B$16+ROW(B55)-1&lt;=Ferien!$C$16, Ferien!$B$16+ROW(B55)-1, "")</f>
        <v/>
      </c>
      <c r="O57" s="1" t="str">
        <f>IF(Ferien!$B$17+ROW(B55)-1&lt;=Ferien!$C$17, Ferien!$B$17+ROW(B55)-1, "")</f>
        <v/>
      </c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3">
      <c r="A58" s="1" t="str">
        <f>IF(Ferien!$B$3+ROW(A56)-1&lt;=Ferien!$C$3, Ferien!$B$3+ROW(A56)-1, "")</f>
        <v/>
      </c>
      <c r="B58" s="1" t="str">
        <f>IF(Ferien!$B$4+ROW(B56)-1&lt;=Ferien!$C$4, Ferien!$B$4+ROW(B56)-1, "")</f>
        <v/>
      </c>
      <c r="C58" s="1" t="str">
        <f>IF(Ferien!$B$5+ROW(B56)-1&lt;=Ferien!$C$5, Ferien!$B$5+ROW(B56)-1, "")</f>
        <v/>
      </c>
      <c r="D58" s="1" t="str">
        <f>IF(Ferien!$B$6+ROW(B56)-1&lt;=Ferien!$C$6, Ferien!$B$6+ROW(B56)-1, "")</f>
        <v/>
      </c>
      <c r="E58" s="1" t="str">
        <f>IF(Ferien!$B$7+ROW(B56)-1&lt;=Ferien!$C$7, Ferien!$B$7+ROW(B56)-1, "")</f>
        <v/>
      </c>
      <c r="F58" s="1" t="str">
        <f>IF(Ferien!$B$8+ROW(B56)-1&lt;=Ferien!$C$8, Ferien!$B$8+ROW(B56)-1, "")</f>
        <v/>
      </c>
      <c r="G58" s="1" t="str">
        <f>IF(Ferien!$B$9+ROW(B56)-1&lt;=Ferien!$C$9, Ferien!$B$9+ROW(B56)-1, "")</f>
        <v/>
      </c>
      <c r="H58" s="1" t="str">
        <f>IF(Ferien!$B$10+ROW(B56)-1&lt;=Ferien!$C$10, Ferien!$B$10+ROW(B56)-1, "")</f>
        <v/>
      </c>
      <c r="I58" s="1" t="str">
        <f>IF(Ferien!$B$11+ROW(B56)-1&lt;=Ferien!$C$11, Ferien!$B$11+ROW(B56)-1, "")</f>
        <v/>
      </c>
      <c r="J58" s="1" t="str">
        <f>IF(Ferien!$B$12+ROW(B56)-1&lt;=Ferien!$C$12, Ferien!$B$12+ROW(B56)-1, "")</f>
        <v/>
      </c>
      <c r="K58" s="1" t="str">
        <f>IF(Ferien!$B$13+ROW(B56)-1&lt;=Ferien!$C$13, Ferien!$B$13+ROW(B56)-1, "")</f>
        <v/>
      </c>
      <c r="L58" s="1" t="str">
        <f>IF(Ferien!$B$14+ROW(B56)-1&lt;=Ferien!$C$14, Ferien!$B$14+ROW(B56)-1, "")</f>
        <v/>
      </c>
      <c r="M58" s="1" t="str">
        <f>IF(Ferien!$B$15+ROW(B56)-1&lt;=Ferien!$C$15, Ferien!$B$15+ROW(B56)-1, "")</f>
        <v/>
      </c>
      <c r="N58" s="1" t="str">
        <f>IF(Ferien!$B$16+ROW(B56)-1&lt;=Ferien!$C$16, Ferien!$B$16+ROW(B56)-1, "")</f>
        <v/>
      </c>
      <c r="O58" s="1" t="str">
        <f>IF(Ferien!$B$17+ROW(B56)-1&lt;=Ferien!$C$17, Ferien!$B$17+ROW(B56)-1, "")</f>
        <v/>
      </c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3">
      <c r="A59" s="1" t="str">
        <f>IF(Ferien!$B$3+ROW(A57)-1&lt;=Ferien!$C$3, Ferien!$B$3+ROW(A57)-1, "")</f>
        <v/>
      </c>
      <c r="B59" s="1" t="str">
        <f>IF(Ferien!$B$4+ROW(B57)-1&lt;=Ferien!$C$4, Ferien!$B$4+ROW(B57)-1, "")</f>
        <v/>
      </c>
      <c r="C59" s="1" t="str">
        <f>IF(Ferien!$B$5+ROW(B57)-1&lt;=Ferien!$C$5, Ferien!$B$5+ROW(B57)-1, "")</f>
        <v/>
      </c>
      <c r="D59" s="1" t="str">
        <f>IF(Ferien!$B$6+ROW(B57)-1&lt;=Ferien!$C$6, Ferien!$B$6+ROW(B57)-1, "")</f>
        <v/>
      </c>
      <c r="E59" s="1" t="str">
        <f>IF(Ferien!$B$7+ROW(B57)-1&lt;=Ferien!$C$7, Ferien!$B$7+ROW(B57)-1, "")</f>
        <v/>
      </c>
      <c r="F59" s="1" t="str">
        <f>IF(Ferien!$B$8+ROW(B57)-1&lt;=Ferien!$C$8, Ferien!$B$8+ROW(B57)-1, "")</f>
        <v/>
      </c>
      <c r="G59" s="1" t="str">
        <f>IF(Ferien!$B$9+ROW(B57)-1&lt;=Ferien!$C$9, Ferien!$B$9+ROW(B57)-1, "")</f>
        <v/>
      </c>
      <c r="H59" s="1" t="str">
        <f>IF(Ferien!$B$10+ROW(B57)-1&lt;=Ferien!$C$10, Ferien!$B$10+ROW(B57)-1, "")</f>
        <v/>
      </c>
      <c r="I59" s="1" t="str">
        <f>IF(Ferien!$B$11+ROW(B57)-1&lt;=Ferien!$C$11, Ferien!$B$11+ROW(B57)-1, "")</f>
        <v/>
      </c>
      <c r="J59" s="1" t="str">
        <f>IF(Ferien!$B$12+ROW(B57)-1&lt;=Ferien!$C$12, Ferien!$B$12+ROW(B57)-1, "")</f>
        <v/>
      </c>
      <c r="K59" s="1" t="str">
        <f>IF(Ferien!$B$13+ROW(B57)-1&lt;=Ferien!$C$13, Ferien!$B$13+ROW(B57)-1, "")</f>
        <v/>
      </c>
      <c r="L59" s="1" t="str">
        <f>IF(Ferien!$B$14+ROW(B57)-1&lt;=Ferien!$C$14, Ferien!$B$14+ROW(B57)-1, "")</f>
        <v/>
      </c>
      <c r="M59" s="1" t="str">
        <f>IF(Ferien!$B$15+ROW(B57)-1&lt;=Ferien!$C$15, Ferien!$B$15+ROW(B57)-1, "")</f>
        <v/>
      </c>
      <c r="N59" s="1" t="str">
        <f>IF(Ferien!$B$16+ROW(B57)-1&lt;=Ferien!$C$16, Ferien!$B$16+ROW(B57)-1, "")</f>
        <v/>
      </c>
      <c r="O59" s="1" t="str">
        <f>IF(Ferien!$B$17+ROW(B57)-1&lt;=Ferien!$C$17, Ferien!$B$17+ROW(B57)-1, "")</f>
        <v/>
      </c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3">
      <c r="A60" s="1" t="str">
        <f>IF(Ferien!$B$3+ROW(A58)-1&lt;=Ferien!$C$3, Ferien!$B$3+ROW(A58)-1, "")</f>
        <v/>
      </c>
      <c r="B60" s="1" t="str">
        <f>IF(Ferien!$B$4+ROW(B58)-1&lt;=Ferien!$C$4, Ferien!$B$4+ROW(B58)-1, "")</f>
        <v/>
      </c>
      <c r="C60" s="1" t="str">
        <f>IF(Ferien!$B$5+ROW(B58)-1&lt;=Ferien!$C$5, Ferien!$B$5+ROW(B58)-1, "")</f>
        <v/>
      </c>
      <c r="D60" s="1" t="str">
        <f>IF(Ferien!$B$6+ROW(B58)-1&lt;=Ferien!$C$6, Ferien!$B$6+ROW(B58)-1, "")</f>
        <v/>
      </c>
      <c r="E60" s="1" t="str">
        <f>IF(Ferien!$B$7+ROW(B58)-1&lt;=Ferien!$C$7, Ferien!$B$7+ROW(B58)-1, "")</f>
        <v/>
      </c>
      <c r="F60" s="1" t="str">
        <f>IF(Ferien!$B$8+ROW(B58)-1&lt;=Ferien!$C$8, Ferien!$B$8+ROW(B58)-1, "")</f>
        <v/>
      </c>
      <c r="G60" s="1" t="str">
        <f>IF(Ferien!$B$9+ROW(B58)-1&lt;=Ferien!$C$9, Ferien!$B$9+ROW(B58)-1, "")</f>
        <v/>
      </c>
      <c r="H60" s="1" t="str">
        <f>IF(Ferien!$B$10+ROW(B58)-1&lt;=Ferien!$C$10, Ferien!$B$10+ROW(B58)-1, "")</f>
        <v/>
      </c>
      <c r="I60" s="1" t="str">
        <f>IF(Ferien!$B$11+ROW(B58)-1&lt;=Ferien!$C$11, Ferien!$B$11+ROW(B58)-1, "")</f>
        <v/>
      </c>
      <c r="J60" s="1" t="str">
        <f>IF(Ferien!$B$12+ROW(B58)-1&lt;=Ferien!$C$12, Ferien!$B$12+ROW(B58)-1, "")</f>
        <v/>
      </c>
      <c r="K60" s="1" t="str">
        <f>IF(Ferien!$B$13+ROW(B58)-1&lt;=Ferien!$C$13, Ferien!$B$13+ROW(B58)-1, "")</f>
        <v/>
      </c>
      <c r="L60" s="1" t="str">
        <f>IF(Ferien!$B$14+ROW(B58)-1&lt;=Ferien!$C$14, Ferien!$B$14+ROW(B58)-1, "")</f>
        <v/>
      </c>
      <c r="M60" s="1" t="str">
        <f>IF(Ferien!$B$15+ROW(B58)-1&lt;=Ferien!$C$15, Ferien!$B$15+ROW(B58)-1, "")</f>
        <v/>
      </c>
      <c r="N60" s="1" t="str">
        <f>IF(Ferien!$B$16+ROW(B58)-1&lt;=Ferien!$C$16, Ferien!$B$16+ROW(B58)-1, "")</f>
        <v/>
      </c>
      <c r="O60" s="1" t="str">
        <f>IF(Ferien!$B$17+ROW(B58)-1&lt;=Ferien!$C$17, Ferien!$B$17+ROW(B58)-1, "")</f>
        <v/>
      </c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3">
      <c r="A61" s="1" t="str">
        <f>IF(Ferien!$B$3+ROW(A59)-1&lt;=Ferien!$C$3, Ferien!$B$3+ROW(A59)-1, "")</f>
        <v/>
      </c>
      <c r="B61" s="1" t="str">
        <f>IF(Ferien!$B$4+ROW(B59)-1&lt;=Ferien!$C$4, Ferien!$B$4+ROW(B59)-1, "")</f>
        <v/>
      </c>
      <c r="C61" s="1" t="str">
        <f>IF(Ferien!$B$5+ROW(B59)-1&lt;=Ferien!$C$5, Ferien!$B$5+ROW(B59)-1, "")</f>
        <v/>
      </c>
      <c r="D61" s="1" t="str">
        <f>IF(Ferien!$B$6+ROW(B59)-1&lt;=Ferien!$C$6, Ferien!$B$6+ROW(B59)-1, "")</f>
        <v/>
      </c>
      <c r="E61" s="1" t="str">
        <f>IF(Ferien!$B$7+ROW(B59)-1&lt;=Ferien!$C$7, Ferien!$B$7+ROW(B59)-1, "")</f>
        <v/>
      </c>
      <c r="F61" s="1" t="str">
        <f>IF(Ferien!$B$8+ROW(B59)-1&lt;=Ferien!$C$8, Ferien!$B$8+ROW(B59)-1, "")</f>
        <v/>
      </c>
      <c r="G61" s="1" t="str">
        <f>IF(Ferien!$B$9+ROW(B59)-1&lt;=Ferien!$C$9, Ferien!$B$9+ROW(B59)-1, "")</f>
        <v/>
      </c>
      <c r="H61" s="1" t="str">
        <f>IF(Ferien!$B$10+ROW(B59)-1&lt;=Ferien!$C$10, Ferien!$B$10+ROW(B59)-1, "")</f>
        <v/>
      </c>
      <c r="I61" s="1" t="str">
        <f>IF(Ferien!$B$11+ROW(B59)-1&lt;=Ferien!$C$11, Ferien!$B$11+ROW(B59)-1, "")</f>
        <v/>
      </c>
      <c r="J61" s="1" t="str">
        <f>IF(Ferien!$B$12+ROW(B59)-1&lt;=Ferien!$C$12, Ferien!$B$12+ROW(B59)-1, "")</f>
        <v/>
      </c>
      <c r="K61" s="1" t="str">
        <f>IF(Ferien!$B$13+ROW(B59)-1&lt;=Ferien!$C$13, Ferien!$B$13+ROW(B59)-1, "")</f>
        <v/>
      </c>
      <c r="L61" s="1" t="str">
        <f>IF(Ferien!$B$14+ROW(B59)-1&lt;=Ferien!$C$14, Ferien!$B$14+ROW(B59)-1, "")</f>
        <v/>
      </c>
      <c r="M61" s="1" t="str">
        <f>IF(Ferien!$B$15+ROW(B59)-1&lt;=Ferien!$C$15, Ferien!$B$15+ROW(B59)-1, "")</f>
        <v/>
      </c>
      <c r="N61" s="1" t="str">
        <f>IF(Ferien!$B$16+ROW(B59)-1&lt;=Ferien!$C$16, Ferien!$B$16+ROW(B59)-1, "")</f>
        <v/>
      </c>
      <c r="O61" s="1" t="str">
        <f>IF(Ferien!$B$17+ROW(B59)-1&lt;=Ferien!$C$17, Ferien!$B$17+ROW(B59)-1, "")</f>
        <v/>
      </c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s="1" t="str">
        <f>IF(Ferien!$B$3+ROW(A60)-1&lt;=Ferien!$C$3, Ferien!$B$3+ROW(A60)-1, "")</f>
        <v/>
      </c>
      <c r="B62" s="1" t="str">
        <f>IF(Ferien!$B$4+ROW(B60)-1&lt;=Ferien!$C$4, Ferien!$B$4+ROW(B60)-1, "")</f>
        <v/>
      </c>
      <c r="C62" s="1" t="str">
        <f>IF(Ferien!$B$5+ROW(B60)-1&lt;=Ferien!$C$5, Ferien!$B$5+ROW(B60)-1, "")</f>
        <v/>
      </c>
      <c r="D62" s="1" t="str">
        <f>IF(Ferien!$B$6+ROW(B60)-1&lt;=Ferien!$C$6, Ferien!$B$6+ROW(B60)-1, "")</f>
        <v/>
      </c>
      <c r="E62" s="1" t="str">
        <f>IF(Ferien!$B$7+ROW(B60)-1&lt;=Ferien!$C$7, Ferien!$B$7+ROW(B60)-1, "")</f>
        <v/>
      </c>
      <c r="F62" s="1" t="str">
        <f>IF(Ferien!$B$8+ROW(B60)-1&lt;=Ferien!$C$8, Ferien!$B$8+ROW(B60)-1, "")</f>
        <v/>
      </c>
      <c r="G62" s="1" t="str">
        <f>IF(Ferien!$B$9+ROW(B60)-1&lt;=Ferien!$C$9, Ferien!$B$9+ROW(B60)-1, "")</f>
        <v/>
      </c>
      <c r="H62" s="1" t="str">
        <f>IF(Ferien!$B$10+ROW(B60)-1&lt;=Ferien!$C$10, Ferien!$B$10+ROW(B60)-1, "")</f>
        <v/>
      </c>
      <c r="I62" s="1" t="str">
        <f>IF(Ferien!$B$11+ROW(B60)-1&lt;=Ferien!$C$11, Ferien!$B$11+ROW(B60)-1, "")</f>
        <v/>
      </c>
      <c r="J62" s="1" t="str">
        <f>IF(Ferien!$B$12+ROW(B60)-1&lt;=Ferien!$C$12, Ferien!$B$12+ROW(B60)-1, "")</f>
        <v/>
      </c>
      <c r="K62" s="1" t="str">
        <f>IF(Ferien!$B$13+ROW(B60)-1&lt;=Ferien!$C$13, Ferien!$B$13+ROW(B60)-1, "")</f>
        <v/>
      </c>
      <c r="L62" s="1" t="str">
        <f>IF(Ferien!$B$14+ROW(B60)-1&lt;=Ferien!$C$14, Ferien!$B$14+ROW(B60)-1, "")</f>
        <v/>
      </c>
      <c r="M62" s="1" t="str">
        <f>IF(Ferien!$B$15+ROW(B60)-1&lt;=Ferien!$C$15, Ferien!$B$15+ROW(B60)-1, "")</f>
        <v/>
      </c>
      <c r="N62" s="1" t="str">
        <f>IF(Ferien!$B$16+ROW(B60)-1&lt;=Ferien!$C$16, Ferien!$B$16+ROW(B60)-1, "")</f>
        <v/>
      </c>
      <c r="O62" s="1" t="str">
        <f>IF(Ferien!$B$17+ROW(B60)-1&lt;=Ferien!$C$17, Ferien!$B$17+ROW(B60)-1, "")</f>
        <v/>
      </c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3">
      <c r="A63" s="1" t="str">
        <f>IF(Ferien!$B$3+ROW(A61)-1&lt;=Ferien!$C$3, Ferien!$B$3+ROW(A61)-1, "")</f>
        <v/>
      </c>
      <c r="B63" s="1" t="str">
        <f>IF(Ferien!$B$4+ROW(B61)-1&lt;=Ferien!$C$4, Ferien!$B$4+ROW(B61)-1, "")</f>
        <v/>
      </c>
      <c r="C63" s="1" t="str">
        <f>IF(Ferien!$B$5+ROW(B61)-1&lt;=Ferien!$C$5, Ferien!$B$5+ROW(B61)-1, "")</f>
        <v/>
      </c>
      <c r="D63" s="1" t="str">
        <f>IF(Ferien!$B$6+ROW(B61)-1&lt;=Ferien!$C$6, Ferien!$B$6+ROW(B61)-1, "")</f>
        <v/>
      </c>
      <c r="E63" s="1" t="str">
        <f>IF(Ferien!$B$7+ROW(B61)-1&lt;=Ferien!$C$7, Ferien!$B$7+ROW(B61)-1, "")</f>
        <v/>
      </c>
      <c r="F63" s="1" t="str">
        <f>IF(Ferien!$B$8+ROW(B61)-1&lt;=Ferien!$C$8, Ferien!$B$8+ROW(B61)-1, "")</f>
        <v/>
      </c>
      <c r="G63" s="1" t="str">
        <f>IF(Ferien!$B$9+ROW(B61)-1&lt;=Ferien!$C$9, Ferien!$B$9+ROW(B61)-1, "")</f>
        <v/>
      </c>
      <c r="H63" s="1" t="str">
        <f>IF(Ferien!$B$10+ROW(B61)-1&lt;=Ferien!$C$10, Ferien!$B$10+ROW(B61)-1, "")</f>
        <v/>
      </c>
      <c r="I63" s="1" t="str">
        <f>IF(Ferien!$B$11+ROW(B61)-1&lt;=Ferien!$C$11, Ferien!$B$11+ROW(B61)-1, "")</f>
        <v/>
      </c>
      <c r="J63" s="1" t="str">
        <f>IF(Ferien!$B$12+ROW(B61)-1&lt;=Ferien!$C$12, Ferien!$B$12+ROW(B61)-1, "")</f>
        <v/>
      </c>
      <c r="K63" s="1" t="str">
        <f>IF(Ferien!$B$13+ROW(B61)-1&lt;=Ferien!$C$13, Ferien!$B$13+ROW(B61)-1, "")</f>
        <v/>
      </c>
      <c r="L63" s="1" t="str">
        <f>IF(Ferien!$B$14+ROW(B61)-1&lt;=Ferien!$C$14, Ferien!$B$14+ROW(B61)-1, "")</f>
        <v/>
      </c>
      <c r="M63" s="1" t="str">
        <f>IF(Ferien!$B$15+ROW(B61)-1&lt;=Ferien!$C$15, Ferien!$B$15+ROW(B61)-1, "")</f>
        <v/>
      </c>
      <c r="N63" s="1" t="str">
        <f>IF(Ferien!$B$16+ROW(B61)-1&lt;=Ferien!$C$16, Ferien!$B$16+ROW(B61)-1, "")</f>
        <v/>
      </c>
      <c r="O63" s="1" t="str">
        <f>IF(Ferien!$B$17+ROW(B61)-1&lt;=Ferien!$C$17, Ferien!$B$17+ROW(B61)-1, "")</f>
        <v/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3">
      <c r="A64" s="1" t="str">
        <f>IF(Ferien!$B$3+ROW(A62)-1&lt;=Ferien!$C$3, Ferien!$B$3+ROW(A62)-1, "")</f>
        <v/>
      </c>
      <c r="B64" s="1" t="str">
        <f>IF(Ferien!$B$4+ROW(B62)-1&lt;=Ferien!$C$4, Ferien!$B$4+ROW(B62)-1, "")</f>
        <v/>
      </c>
      <c r="C64" s="1" t="str">
        <f>IF(Ferien!$B$5+ROW(B62)-1&lt;=Ferien!$C$5, Ferien!$B$5+ROW(B62)-1, "")</f>
        <v/>
      </c>
      <c r="D64" s="1" t="str">
        <f>IF(Ferien!$B$6+ROW(B62)-1&lt;=Ferien!$C$6, Ferien!$B$6+ROW(B62)-1, "")</f>
        <v/>
      </c>
      <c r="E64" s="1" t="str">
        <f>IF(Ferien!$B$7+ROW(B62)-1&lt;=Ferien!$C$7, Ferien!$B$7+ROW(B62)-1, "")</f>
        <v/>
      </c>
      <c r="F64" s="1" t="str">
        <f>IF(Ferien!$B$8+ROW(B62)-1&lt;=Ferien!$C$8, Ferien!$B$8+ROW(B62)-1, "")</f>
        <v/>
      </c>
      <c r="G64" s="1" t="str">
        <f>IF(Ferien!$B$9+ROW(B62)-1&lt;=Ferien!$C$9, Ferien!$B$9+ROW(B62)-1, "")</f>
        <v/>
      </c>
      <c r="H64" s="1" t="str">
        <f>IF(Ferien!$B$10+ROW(B62)-1&lt;=Ferien!$C$10, Ferien!$B$10+ROW(B62)-1, "")</f>
        <v/>
      </c>
      <c r="I64" s="1" t="str">
        <f>IF(Ferien!$B$11+ROW(B62)-1&lt;=Ferien!$C$11, Ferien!$B$11+ROW(B62)-1, "")</f>
        <v/>
      </c>
      <c r="J64" s="1" t="str">
        <f>IF(Ferien!$B$12+ROW(B62)-1&lt;=Ferien!$C$12, Ferien!$B$12+ROW(B62)-1, "")</f>
        <v/>
      </c>
      <c r="K64" s="1" t="str">
        <f>IF(Ferien!$B$13+ROW(B62)-1&lt;=Ferien!$C$13, Ferien!$B$13+ROW(B62)-1, "")</f>
        <v/>
      </c>
      <c r="L64" s="1" t="str">
        <f>IF(Ferien!$B$14+ROW(B62)-1&lt;=Ferien!$C$14, Ferien!$B$14+ROW(B62)-1, "")</f>
        <v/>
      </c>
      <c r="M64" s="1" t="str">
        <f>IF(Ferien!$B$15+ROW(B62)-1&lt;=Ferien!$C$15, Ferien!$B$15+ROW(B62)-1, "")</f>
        <v/>
      </c>
      <c r="N64" s="1" t="str">
        <f>IF(Ferien!$B$16+ROW(B62)-1&lt;=Ferien!$C$16, Ferien!$B$16+ROW(B62)-1, "")</f>
        <v/>
      </c>
      <c r="O64" s="1" t="str">
        <f>IF(Ferien!$B$17+ROW(B62)-1&lt;=Ferien!$C$17, Ferien!$B$17+ROW(B62)-1, "")</f>
        <v/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3">
      <c r="A65" s="1" t="str">
        <f>IF(Ferien!$B$3+ROW(A63)-1&lt;=Ferien!$C$3, Ferien!$B$3+ROW(A63)-1, "")</f>
        <v/>
      </c>
      <c r="B65" s="1" t="str">
        <f>IF(Ferien!$B$4+ROW(B63)-1&lt;=Ferien!$C$4, Ferien!$B$4+ROW(B63)-1, "")</f>
        <v/>
      </c>
      <c r="C65" s="1" t="str">
        <f>IF(Ferien!$B$5+ROW(B63)-1&lt;=Ferien!$C$5, Ferien!$B$5+ROW(B63)-1, "")</f>
        <v/>
      </c>
      <c r="D65" s="1" t="str">
        <f>IF(Ferien!$B$6+ROW(B63)-1&lt;=Ferien!$C$6, Ferien!$B$6+ROW(B63)-1, "")</f>
        <v/>
      </c>
      <c r="E65" s="1" t="str">
        <f>IF(Ferien!$B$7+ROW(B63)-1&lt;=Ferien!$C$7, Ferien!$B$7+ROW(B63)-1, "")</f>
        <v/>
      </c>
      <c r="F65" s="1" t="str">
        <f>IF(Ferien!$B$8+ROW(B63)-1&lt;=Ferien!$C$8, Ferien!$B$8+ROW(B63)-1, "")</f>
        <v/>
      </c>
      <c r="G65" s="1" t="str">
        <f>IF(Ferien!$B$9+ROW(B63)-1&lt;=Ferien!$C$9, Ferien!$B$9+ROW(B63)-1, "")</f>
        <v/>
      </c>
      <c r="H65" s="1" t="str">
        <f>IF(Ferien!$B$10+ROW(B63)-1&lt;=Ferien!$C$10, Ferien!$B$10+ROW(B63)-1, "")</f>
        <v/>
      </c>
      <c r="I65" s="1" t="str">
        <f>IF(Ferien!$B$11+ROW(B63)-1&lt;=Ferien!$C$11, Ferien!$B$11+ROW(B63)-1, "")</f>
        <v/>
      </c>
      <c r="J65" s="1" t="str">
        <f>IF(Ferien!$B$12+ROW(B63)-1&lt;=Ferien!$C$12, Ferien!$B$12+ROW(B63)-1, "")</f>
        <v/>
      </c>
      <c r="K65" s="1" t="str">
        <f>IF(Ferien!$B$13+ROW(B63)-1&lt;=Ferien!$C$13, Ferien!$B$13+ROW(B63)-1, "")</f>
        <v/>
      </c>
      <c r="L65" s="1" t="str">
        <f>IF(Ferien!$B$14+ROW(B63)-1&lt;=Ferien!$C$14, Ferien!$B$14+ROW(B63)-1, "")</f>
        <v/>
      </c>
      <c r="M65" s="1" t="str">
        <f>IF(Ferien!$B$15+ROW(B63)-1&lt;=Ferien!$C$15, Ferien!$B$15+ROW(B63)-1, "")</f>
        <v/>
      </c>
      <c r="N65" s="1" t="str">
        <f>IF(Ferien!$B$16+ROW(B63)-1&lt;=Ferien!$C$16, Ferien!$B$16+ROW(B63)-1, "")</f>
        <v/>
      </c>
      <c r="O65" s="1" t="str">
        <f>IF(Ferien!$B$17+ROW(B63)-1&lt;=Ferien!$C$17, Ferien!$B$17+ROW(B63)-1, "")</f>
        <v/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3">
      <c r="A66" s="1" t="str">
        <f>IF(Ferien!$B$3+ROW(A64)-1&lt;=Ferien!$C$3, Ferien!$B$3+ROW(A64)-1, "")</f>
        <v/>
      </c>
      <c r="B66" s="1" t="str">
        <f>IF(Ferien!$B$4+ROW(B64)-1&lt;=Ferien!$C$4, Ferien!$B$4+ROW(B64)-1, "")</f>
        <v/>
      </c>
      <c r="C66" s="1" t="str">
        <f>IF(Ferien!$B$5+ROW(B64)-1&lt;=Ferien!$C$5, Ferien!$B$5+ROW(B64)-1, "")</f>
        <v/>
      </c>
      <c r="D66" s="1" t="str">
        <f>IF(Ferien!$B$6+ROW(B64)-1&lt;=Ferien!$C$6, Ferien!$B$6+ROW(B64)-1, "")</f>
        <v/>
      </c>
      <c r="E66" s="1" t="str">
        <f>IF(Ferien!$B$7+ROW(B64)-1&lt;=Ferien!$C$7, Ferien!$B$7+ROW(B64)-1, "")</f>
        <v/>
      </c>
      <c r="F66" s="1" t="str">
        <f>IF(Ferien!$B$8+ROW(B64)-1&lt;=Ferien!$C$8, Ferien!$B$8+ROW(B64)-1, "")</f>
        <v/>
      </c>
      <c r="G66" s="1" t="str">
        <f>IF(Ferien!$B$9+ROW(B64)-1&lt;=Ferien!$C$9, Ferien!$B$9+ROW(B64)-1, "")</f>
        <v/>
      </c>
      <c r="H66" s="1" t="str">
        <f>IF(Ferien!$B$10+ROW(B64)-1&lt;=Ferien!$C$10, Ferien!$B$10+ROW(B64)-1, "")</f>
        <v/>
      </c>
      <c r="I66" s="1" t="str">
        <f>IF(Ferien!$B$11+ROW(B64)-1&lt;=Ferien!$C$11, Ferien!$B$11+ROW(B64)-1, "")</f>
        <v/>
      </c>
      <c r="J66" s="1" t="str">
        <f>IF(Ferien!$B$12+ROW(B64)-1&lt;=Ferien!$C$12, Ferien!$B$12+ROW(B64)-1, "")</f>
        <v/>
      </c>
      <c r="K66" s="1" t="str">
        <f>IF(Ferien!$B$13+ROW(B64)-1&lt;=Ferien!$C$13, Ferien!$B$13+ROW(B64)-1, "")</f>
        <v/>
      </c>
      <c r="L66" s="1" t="str">
        <f>IF(Ferien!$B$14+ROW(B64)-1&lt;=Ferien!$C$14, Ferien!$B$14+ROW(B64)-1, "")</f>
        <v/>
      </c>
      <c r="M66" s="1" t="str">
        <f>IF(Ferien!$B$15+ROW(B64)-1&lt;=Ferien!$C$15, Ferien!$B$15+ROW(B64)-1, "")</f>
        <v/>
      </c>
      <c r="N66" s="1" t="str">
        <f>IF(Ferien!$B$16+ROW(B64)-1&lt;=Ferien!$C$16, Ferien!$B$16+ROW(B64)-1, "")</f>
        <v/>
      </c>
      <c r="O66" s="1" t="str">
        <f>IF(Ferien!$B$17+ROW(B64)-1&lt;=Ferien!$C$17, Ferien!$B$17+ROW(B64)-1, "")</f>
        <v/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3">
      <c r="A67" s="1" t="str">
        <f>IF(Ferien!$B$3+ROW(A65)-1&lt;=Ferien!$C$3, Ferien!$B$3+ROW(A65)-1, "")</f>
        <v/>
      </c>
      <c r="B67" s="1" t="str">
        <f>IF(Ferien!$B$4+ROW(B65)-1&lt;=Ferien!$C$4, Ferien!$B$4+ROW(B65)-1, "")</f>
        <v/>
      </c>
      <c r="C67" s="1" t="str">
        <f>IF(Ferien!$B$5+ROW(B65)-1&lt;=Ferien!$C$5, Ferien!$B$5+ROW(B65)-1, "")</f>
        <v/>
      </c>
      <c r="D67" s="1" t="str">
        <f>IF(Ferien!$B$6+ROW(B65)-1&lt;=Ferien!$C$6, Ferien!$B$6+ROW(B65)-1, "")</f>
        <v/>
      </c>
      <c r="E67" s="1" t="str">
        <f>IF(Ferien!$B$7+ROW(B65)-1&lt;=Ferien!$C$7, Ferien!$B$7+ROW(B65)-1, "")</f>
        <v/>
      </c>
      <c r="F67" s="1" t="str">
        <f>IF(Ferien!$B$8+ROW(B65)-1&lt;=Ferien!$C$8, Ferien!$B$8+ROW(B65)-1, "")</f>
        <v/>
      </c>
      <c r="G67" s="1" t="str">
        <f>IF(Ferien!$B$9+ROW(B65)-1&lt;=Ferien!$C$9, Ferien!$B$9+ROW(B65)-1, "")</f>
        <v/>
      </c>
      <c r="H67" s="1" t="str">
        <f>IF(Ferien!$B$10+ROW(B65)-1&lt;=Ferien!$C$10, Ferien!$B$10+ROW(B65)-1, "")</f>
        <v/>
      </c>
      <c r="I67" s="1" t="str">
        <f>IF(Ferien!$B$11+ROW(B65)-1&lt;=Ferien!$C$11, Ferien!$B$11+ROW(B65)-1, "")</f>
        <v/>
      </c>
      <c r="J67" s="1" t="str">
        <f>IF(Ferien!$B$12+ROW(B65)-1&lt;=Ferien!$C$12, Ferien!$B$12+ROW(B65)-1, "")</f>
        <v/>
      </c>
      <c r="K67" s="1" t="str">
        <f>IF(Ferien!$B$13+ROW(B65)-1&lt;=Ferien!$C$13, Ferien!$B$13+ROW(B65)-1, "")</f>
        <v/>
      </c>
      <c r="L67" s="1" t="str">
        <f>IF(Ferien!$B$14+ROW(B65)-1&lt;=Ferien!$C$14, Ferien!$B$14+ROW(B65)-1, "")</f>
        <v/>
      </c>
      <c r="M67" s="1" t="str">
        <f>IF(Ferien!$B$15+ROW(B65)-1&lt;=Ferien!$C$15, Ferien!$B$15+ROW(B65)-1, "")</f>
        <v/>
      </c>
      <c r="N67" s="1" t="str">
        <f>IF(Ferien!$B$16+ROW(B65)-1&lt;=Ferien!$C$16, Ferien!$B$16+ROW(B65)-1, "")</f>
        <v/>
      </c>
      <c r="O67" s="1" t="str">
        <f>IF(Ferien!$B$17+ROW(B65)-1&lt;=Ferien!$C$17, Ferien!$B$17+ROW(B65)-1, "")</f>
        <v/>
      </c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3">
      <c r="A68" s="1" t="str">
        <f>IF(Ferien!$B$3+ROW(A66)-1&lt;=Ferien!$C$3, Ferien!$B$3+ROW(A66)-1, "")</f>
        <v/>
      </c>
      <c r="B68" s="1" t="str">
        <f>IF(Ferien!$B$4+ROW(B66)-1&lt;=Ferien!$C$4, Ferien!$B$4+ROW(B66)-1, "")</f>
        <v/>
      </c>
      <c r="C68" s="1" t="str">
        <f>IF(Ferien!$B$5+ROW(B66)-1&lt;=Ferien!$C$5, Ferien!$B$5+ROW(B66)-1, "")</f>
        <v/>
      </c>
      <c r="D68" s="1" t="str">
        <f>IF(Ferien!$B$6+ROW(B66)-1&lt;=Ferien!$C$6, Ferien!$B$6+ROW(B66)-1, "")</f>
        <v/>
      </c>
      <c r="E68" s="1" t="str">
        <f>IF(Ferien!$B$7+ROW(B66)-1&lt;=Ferien!$C$7, Ferien!$B$7+ROW(B66)-1, "")</f>
        <v/>
      </c>
      <c r="F68" s="1" t="str">
        <f>IF(Ferien!$B$8+ROW(B66)-1&lt;=Ferien!$C$8, Ferien!$B$8+ROW(B66)-1, "")</f>
        <v/>
      </c>
      <c r="G68" s="1" t="str">
        <f>IF(Ferien!$B$9+ROW(B66)-1&lt;=Ferien!$C$9, Ferien!$B$9+ROW(B66)-1, "")</f>
        <v/>
      </c>
      <c r="H68" s="1" t="str">
        <f>IF(Ferien!$B$10+ROW(B66)-1&lt;=Ferien!$C$10, Ferien!$B$10+ROW(B66)-1, "")</f>
        <v/>
      </c>
      <c r="I68" s="1" t="str">
        <f>IF(Ferien!$B$11+ROW(B66)-1&lt;=Ferien!$C$11, Ferien!$B$11+ROW(B66)-1, "")</f>
        <v/>
      </c>
      <c r="J68" s="1" t="str">
        <f>IF(Ferien!$B$12+ROW(B66)-1&lt;=Ferien!$C$12, Ferien!$B$12+ROW(B66)-1, "")</f>
        <v/>
      </c>
      <c r="K68" s="1" t="str">
        <f>IF(Ferien!$B$13+ROW(B66)-1&lt;=Ferien!$C$13, Ferien!$B$13+ROW(B66)-1, "")</f>
        <v/>
      </c>
      <c r="L68" s="1" t="str">
        <f>IF(Ferien!$B$14+ROW(B66)-1&lt;=Ferien!$C$14, Ferien!$B$14+ROW(B66)-1, "")</f>
        <v/>
      </c>
      <c r="M68" s="1" t="str">
        <f>IF(Ferien!$B$15+ROW(B66)-1&lt;=Ferien!$C$15, Ferien!$B$15+ROW(B66)-1, "")</f>
        <v/>
      </c>
      <c r="N68" s="1" t="str">
        <f>IF(Ferien!$B$16+ROW(B66)-1&lt;=Ferien!$C$16, Ferien!$B$16+ROW(B66)-1, "")</f>
        <v/>
      </c>
      <c r="O68" s="1" t="str">
        <f>IF(Ferien!$B$17+ROW(B66)-1&lt;=Ferien!$C$17, Ferien!$B$17+ROW(B66)-1, "")</f>
        <v/>
      </c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3">
      <c r="A69" s="1" t="str">
        <f>IF(Ferien!$B$3+ROW(A67)-1&lt;=Ferien!$C$3, Ferien!$B$3+ROW(A67)-1, "")</f>
        <v/>
      </c>
      <c r="B69" s="1" t="str">
        <f>IF(Ferien!$B$4+ROW(B67)-1&lt;=Ferien!$C$4, Ferien!$B$4+ROW(B67)-1, "")</f>
        <v/>
      </c>
      <c r="C69" s="1" t="str">
        <f>IF(Ferien!$B$5+ROW(B67)-1&lt;=Ferien!$C$5, Ferien!$B$5+ROW(B67)-1, "")</f>
        <v/>
      </c>
      <c r="D69" s="1" t="str">
        <f>IF(Ferien!$B$6+ROW(B67)-1&lt;=Ferien!$C$6, Ferien!$B$6+ROW(B67)-1, "")</f>
        <v/>
      </c>
      <c r="E69" s="1" t="str">
        <f>IF(Ferien!$B$7+ROW(B67)-1&lt;=Ferien!$C$7, Ferien!$B$7+ROW(B67)-1, "")</f>
        <v/>
      </c>
      <c r="F69" s="1" t="str">
        <f>IF(Ferien!$B$8+ROW(B67)-1&lt;=Ferien!$C$8, Ferien!$B$8+ROW(B67)-1, "")</f>
        <v/>
      </c>
      <c r="G69" s="1" t="str">
        <f>IF(Ferien!$B$9+ROW(B67)-1&lt;=Ferien!$C$9, Ferien!$B$9+ROW(B67)-1, "")</f>
        <v/>
      </c>
      <c r="H69" s="1" t="str">
        <f>IF(Ferien!$B$10+ROW(B67)-1&lt;=Ferien!$C$10, Ferien!$B$10+ROW(B67)-1, "")</f>
        <v/>
      </c>
      <c r="I69" s="1" t="str">
        <f>IF(Ferien!$B$11+ROW(B67)-1&lt;=Ferien!$C$11, Ferien!$B$11+ROW(B67)-1, "")</f>
        <v/>
      </c>
      <c r="J69" s="1" t="str">
        <f>IF(Ferien!$B$12+ROW(B67)-1&lt;=Ferien!$C$12, Ferien!$B$12+ROW(B67)-1, "")</f>
        <v/>
      </c>
      <c r="K69" s="1" t="str">
        <f>IF(Ferien!$B$13+ROW(B67)-1&lt;=Ferien!$C$13, Ferien!$B$13+ROW(B67)-1, "")</f>
        <v/>
      </c>
      <c r="L69" s="1" t="str">
        <f>IF(Ferien!$B$14+ROW(B67)-1&lt;=Ferien!$C$14, Ferien!$B$14+ROW(B67)-1, "")</f>
        <v/>
      </c>
      <c r="M69" s="1" t="str">
        <f>IF(Ferien!$B$15+ROW(B67)-1&lt;=Ferien!$C$15, Ferien!$B$15+ROW(B67)-1, "")</f>
        <v/>
      </c>
      <c r="N69" s="1" t="str">
        <f>IF(Ferien!$B$16+ROW(B67)-1&lt;=Ferien!$C$16, Ferien!$B$16+ROW(B67)-1, "")</f>
        <v/>
      </c>
      <c r="O69" s="1" t="str">
        <f>IF(Ferien!$B$17+ROW(B67)-1&lt;=Ferien!$C$17, Ferien!$B$17+ROW(B67)-1, "")</f>
        <v/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3">
      <c r="A70" s="1" t="str">
        <f>IF(Ferien!$B$3+ROW(A68)-1&lt;=Ferien!$C$3, Ferien!$B$3+ROW(A68)-1, "")</f>
        <v/>
      </c>
      <c r="B70" s="1" t="str">
        <f>IF(Ferien!$B$4+ROW(B68)-1&lt;=Ferien!$C$4, Ferien!$B$4+ROW(B68)-1, "")</f>
        <v/>
      </c>
      <c r="C70" s="1" t="str">
        <f>IF(Ferien!$B$5+ROW(B68)-1&lt;=Ferien!$C$5, Ferien!$B$5+ROW(B68)-1, "")</f>
        <v/>
      </c>
      <c r="D70" s="1" t="str">
        <f>IF(Ferien!$B$6+ROW(B68)-1&lt;=Ferien!$C$6, Ferien!$B$6+ROW(B68)-1, "")</f>
        <v/>
      </c>
      <c r="E70" s="1" t="str">
        <f>IF(Ferien!$B$7+ROW(B68)-1&lt;=Ferien!$C$7, Ferien!$B$7+ROW(B68)-1, "")</f>
        <v/>
      </c>
      <c r="F70" s="1" t="str">
        <f>IF(Ferien!$B$8+ROW(B68)-1&lt;=Ferien!$C$8, Ferien!$B$8+ROW(B68)-1, "")</f>
        <v/>
      </c>
      <c r="G70" s="1" t="str">
        <f>IF(Ferien!$B$9+ROW(B68)-1&lt;=Ferien!$C$9, Ferien!$B$9+ROW(B68)-1, "")</f>
        <v/>
      </c>
      <c r="H70" s="1" t="str">
        <f>IF(Ferien!$B$10+ROW(B68)-1&lt;=Ferien!$C$10, Ferien!$B$10+ROW(B68)-1, "")</f>
        <v/>
      </c>
      <c r="I70" s="1" t="str">
        <f>IF(Ferien!$B$11+ROW(B68)-1&lt;=Ferien!$C$11, Ferien!$B$11+ROW(B68)-1, "")</f>
        <v/>
      </c>
      <c r="J70" s="1" t="str">
        <f>IF(Ferien!$B$12+ROW(B68)-1&lt;=Ferien!$C$12, Ferien!$B$12+ROW(B68)-1, "")</f>
        <v/>
      </c>
      <c r="K70" s="1" t="str">
        <f>IF(Ferien!$B$13+ROW(B68)-1&lt;=Ferien!$C$13, Ferien!$B$13+ROW(B68)-1, "")</f>
        <v/>
      </c>
      <c r="L70" s="1" t="str">
        <f>IF(Ferien!$B$14+ROW(B68)-1&lt;=Ferien!$C$14, Ferien!$B$14+ROW(B68)-1, "")</f>
        <v/>
      </c>
      <c r="M70" s="1" t="str">
        <f>IF(Ferien!$B$15+ROW(B68)-1&lt;=Ferien!$C$15, Ferien!$B$15+ROW(B68)-1, "")</f>
        <v/>
      </c>
      <c r="N70" s="1" t="str">
        <f>IF(Ferien!$B$16+ROW(B68)-1&lt;=Ferien!$C$16, Ferien!$B$16+ROW(B68)-1, "")</f>
        <v/>
      </c>
      <c r="O70" s="1" t="str">
        <f>IF(Ferien!$B$17+ROW(B68)-1&lt;=Ferien!$C$17, Ferien!$B$17+ROW(B68)-1, "")</f>
        <v/>
      </c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3">
      <c r="A71" s="1" t="str">
        <f>IF(Ferien!$B$3+ROW(A69)-1&lt;=Ferien!$C$3, Ferien!$B$3+ROW(A69)-1, "")</f>
        <v/>
      </c>
      <c r="B71" s="1" t="str">
        <f>IF(Ferien!$B$4+ROW(B69)-1&lt;=Ferien!$C$4, Ferien!$B$4+ROW(B69)-1, "")</f>
        <v/>
      </c>
      <c r="C71" s="1" t="str">
        <f>IF(Ferien!$B$5+ROW(B69)-1&lt;=Ferien!$C$5, Ferien!$B$5+ROW(B69)-1, "")</f>
        <v/>
      </c>
      <c r="D71" s="1" t="str">
        <f>IF(Ferien!$B$6+ROW(B69)-1&lt;=Ferien!$C$6, Ferien!$B$6+ROW(B69)-1, "")</f>
        <v/>
      </c>
      <c r="E71" s="1" t="str">
        <f>IF(Ferien!$B$7+ROW(B69)-1&lt;=Ferien!$C$7, Ferien!$B$7+ROW(B69)-1, "")</f>
        <v/>
      </c>
      <c r="F71" s="1" t="str">
        <f>IF(Ferien!$B$8+ROW(B69)-1&lt;=Ferien!$C$8, Ferien!$B$8+ROW(B69)-1, "")</f>
        <v/>
      </c>
      <c r="G71" s="1" t="str">
        <f>IF(Ferien!$B$9+ROW(B69)-1&lt;=Ferien!$C$9, Ferien!$B$9+ROW(B69)-1, "")</f>
        <v/>
      </c>
      <c r="H71" s="1" t="str">
        <f>IF(Ferien!$B$10+ROW(B69)-1&lt;=Ferien!$C$10, Ferien!$B$10+ROW(B69)-1, "")</f>
        <v/>
      </c>
      <c r="I71" s="1" t="str">
        <f>IF(Ferien!$B$11+ROW(B69)-1&lt;=Ferien!$C$11, Ferien!$B$11+ROW(B69)-1, "")</f>
        <v/>
      </c>
      <c r="J71" s="1" t="str">
        <f>IF(Ferien!$B$12+ROW(B69)-1&lt;=Ferien!$C$12, Ferien!$B$12+ROW(B69)-1, "")</f>
        <v/>
      </c>
      <c r="K71" s="1" t="str">
        <f>IF(Ferien!$B$13+ROW(B69)-1&lt;=Ferien!$C$13, Ferien!$B$13+ROW(B69)-1, "")</f>
        <v/>
      </c>
      <c r="L71" s="1" t="str">
        <f>IF(Ferien!$B$14+ROW(B69)-1&lt;=Ferien!$C$14, Ferien!$B$14+ROW(B69)-1, "")</f>
        <v/>
      </c>
      <c r="M71" s="1" t="str">
        <f>IF(Ferien!$B$15+ROW(B69)-1&lt;=Ferien!$C$15, Ferien!$B$15+ROW(B69)-1, "")</f>
        <v/>
      </c>
      <c r="N71" s="1" t="str">
        <f>IF(Ferien!$B$16+ROW(B69)-1&lt;=Ferien!$C$16, Ferien!$B$16+ROW(B69)-1, "")</f>
        <v/>
      </c>
      <c r="O71" s="1" t="str">
        <f>IF(Ferien!$B$17+ROW(B69)-1&lt;=Ferien!$C$17, Ferien!$B$17+ROW(B69)-1, "")</f>
        <v/>
      </c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3">
      <c r="A72" s="1" t="str">
        <f>IF(Ferien!$B$3+ROW(A70)-1&lt;=Ferien!$C$3, Ferien!$B$3+ROW(A70)-1, "")</f>
        <v/>
      </c>
      <c r="B72" s="1" t="str">
        <f>IF(Ferien!$B$4+ROW(B70)-1&lt;=Ferien!$C$4, Ferien!$B$4+ROW(B70)-1, "")</f>
        <v/>
      </c>
      <c r="C72" s="1" t="str">
        <f>IF(Ferien!$B$5+ROW(B70)-1&lt;=Ferien!$C$5, Ferien!$B$5+ROW(B70)-1, "")</f>
        <v/>
      </c>
      <c r="D72" s="1" t="str">
        <f>IF(Ferien!$B$6+ROW(B70)-1&lt;=Ferien!$C$6, Ferien!$B$6+ROW(B70)-1, "")</f>
        <v/>
      </c>
      <c r="E72" s="1" t="str">
        <f>IF(Ferien!$B$7+ROW(B70)-1&lt;=Ferien!$C$7, Ferien!$B$7+ROW(B70)-1, "")</f>
        <v/>
      </c>
      <c r="F72" s="1" t="str">
        <f>IF(Ferien!$B$8+ROW(B70)-1&lt;=Ferien!$C$8, Ferien!$B$8+ROW(B70)-1, "")</f>
        <v/>
      </c>
      <c r="G72" s="1" t="str">
        <f>IF(Ferien!$B$9+ROW(B70)-1&lt;=Ferien!$C$9, Ferien!$B$9+ROW(B70)-1, "")</f>
        <v/>
      </c>
      <c r="H72" s="1" t="str">
        <f>IF(Ferien!$B$10+ROW(B70)-1&lt;=Ferien!$C$10, Ferien!$B$10+ROW(B70)-1, "")</f>
        <v/>
      </c>
      <c r="I72" s="1" t="str">
        <f>IF(Ferien!$B$11+ROW(B70)-1&lt;=Ferien!$C$11, Ferien!$B$11+ROW(B70)-1, "")</f>
        <v/>
      </c>
      <c r="J72" s="1" t="str">
        <f>IF(Ferien!$B$12+ROW(B70)-1&lt;=Ferien!$C$12, Ferien!$B$12+ROW(B70)-1, "")</f>
        <v/>
      </c>
      <c r="K72" s="1" t="str">
        <f>IF(Ferien!$B$13+ROW(B70)-1&lt;=Ferien!$C$13, Ferien!$B$13+ROW(B70)-1, "")</f>
        <v/>
      </c>
      <c r="L72" s="1" t="str">
        <f>IF(Ferien!$B$14+ROW(B70)-1&lt;=Ferien!$C$14, Ferien!$B$14+ROW(B70)-1, "")</f>
        <v/>
      </c>
      <c r="M72" s="1" t="str">
        <f>IF(Ferien!$B$15+ROW(B70)-1&lt;=Ferien!$C$15, Ferien!$B$15+ROW(B70)-1, "")</f>
        <v/>
      </c>
      <c r="N72" s="1" t="str">
        <f>IF(Ferien!$B$16+ROW(B70)-1&lt;=Ferien!$C$16, Ferien!$B$16+ROW(B70)-1, "")</f>
        <v/>
      </c>
      <c r="O72" s="1" t="str">
        <f>IF(Ferien!$B$17+ROW(B70)-1&lt;=Ferien!$C$17, Ferien!$B$17+ROW(B70)-1, "")</f>
        <v/>
      </c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3">
      <c r="A73" s="1" t="str">
        <f>IF(Ferien!$B$3+ROW(A71)-1&lt;=Ferien!$C$3, Ferien!$B$3+ROW(A71)-1, "")</f>
        <v/>
      </c>
      <c r="B73" s="1" t="str">
        <f>IF(Ferien!$B$4+ROW(B71)-1&lt;=Ferien!$C$4, Ferien!$B$4+ROW(B71)-1, "")</f>
        <v/>
      </c>
      <c r="C73" s="1" t="str">
        <f>IF(Ferien!$B$5+ROW(B71)-1&lt;=Ferien!$C$5, Ferien!$B$5+ROW(B71)-1, "")</f>
        <v/>
      </c>
      <c r="D73" s="1" t="str">
        <f>IF(Ferien!$B$6+ROW(B71)-1&lt;=Ferien!$C$6, Ferien!$B$6+ROW(B71)-1, "")</f>
        <v/>
      </c>
      <c r="E73" s="1" t="str">
        <f>IF(Ferien!$B$7+ROW(B71)-1&lt;=Ferien!$C$7, Ferien!$B$7+ROW(B71)-1, "")</f>
        <v/>
      </c>
      <c r="F73" s="1" t="str">
        <f>IF(Ferien!$B$8+ROW(B71)-1&lt;=Ferien!$C$8, Ferien!$B$8+ROW(B71)-1, "")</f>
        <v/>
      </c>
      <c r="G73" s="1" t="str">
        <f>IF(Ferien!$B$9+ROW(B71)-1&lt;=Ferien!$C$9, Ferien!$B$9+ROW(B71)-1, "")</f>
        <v/>
      </c>
      <c r="H73" s="1" t="str">
        <f>IF(Ferien!$B$10+ROW(B71)-1&lt;=Ferien!$C$10, Ferien!$B$10+ROW(B71)-1, "")</f>
        <v/>
      </c>
      <c r="I73" s="1" t="str">
        <f>IF(Ferien!$B$11+ROW(B71)-1&lt;=Ferien!$C$11, Ferien!$B$11+ROW(B71)-1, "")</f>
        <v/>
      </c>
      <c r="J73" s="1" t="str">
        <f>IF(Ferien!$B$12+ROW(B71)-1&lt;=Ferien!$C$12, Ferien!$B$12+ROW(B71)-1, "")</f>
        <v/>
      </c>
      <c r="K73" s="1" t="str">
        <f>IF(Ferien!$B$13+ROW(B71)-1&lt;=Ferien!$C$13, Ferien!$B$13+ROW(B71)-1, "")</f>
        <v/>
      </c>
      <c r="L73" s="1" t="str">
        <f>IF(Ferien!$B$14+ROW(B71)-1&lt;=Ferien!$C$14, Ferien!$B$14+ROW(B71)-1, "")</f>
        <v/>
      </c>
      <c r="M73" s="1" t="str">
        <f>IF(Ferien!$B$15+ROW(B71)-1&lt;=Ferien!$C$15, Ferien!$B$15+ROW(B71)-1, "")</f>
        <v/>
      </c>
      <c r="N73" s="1" t="str">
        <f>IF(Ferien!$B$16+ROW(B71)-1&lt;=Ferien!$C$16, Ferien!$B$16+ROW(B71)-1, "")</f>
        <v/>
      </c>
      <c r="O73" s="1" t="str">
        <f>IF(Ferien!$B$17+ROW(B71)-1&lt;=Ferien!$C$17, Ferien!$B$17+ROW(B71)-1, "")</f>
        <v/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3">
      <c r="A74" s="1" t="str">
        <f>IF(Ferien!$B$3+ROW(A72)-1&lt;=Ferien!$C$3, Ferien!$B$3+ROW(A72)-1, "")</f>
        <v/>
      </c>
      <c r="B74" s="1" t="str">
        <f>IF(Ferien!$B$4+ROW(B72)-1&lt;=Ferien!$C$4, Ferien!$B$4+ROW(B72)-1, "")</f>
        <v/>
      </c>
      <c r="C74" s="1" t="str">
        <f>IF(Ferien!$B$5+ROW(B72)-1&lt;=Ferien!$C$5, Ferien!$B$5+ROW(B72)-1, "")</f>
        <v/>
      </c>
      <c r="D74" s="1" t="str">
        <f>IF(Ferien!$B$6+ROW(B72)-1&lt;=Ferien!$C$6, Ferien!$B$6+ROW(B72)-1, "")</f>
        <v/>
      </c>
      <c r="E74" s="1" t="str">
        <f>IF(Ferien!$B$7+ROW(B72)-1&lt;=Ferien!$C$7, Ferien!$B$7+ROW(B72)-1, "")</f>
        <v/>
      </c>
      <c r="F74" s="1" t="str">
        <f>IF(Ferien!$B$8+ROW(B72)-1&lt;=Ferien!$C$8, Ferien!$B$8+ROW(B72)-1, "")</f>
        <v/>
      </c>
      <c r="G74" s="1" t="str">
        <f>IF(Ferien!$B$9+ROW(B72)-1&lt;=Ferien!$C$9, Ferien!$B$9+ROW(B72)-1, "")</f>
        <v/>
      </c>
      <c r="H74" s="1" t="str">
        <f>IF(Ferien!$B$10+ROW(B72)-1&lt;=Ferien!$C$10, Ferien!$B$10+ROW(B72)-1, "")</f>
        <v/>
      </c>
      <c r="I74" s="1" t="str">
        <f>IF(Ferien!$B$11+ROW(B72)-1&lt;=Ferien!$C$11, Ferien!$B$11+ROW(B72)-1, "")</f>
        <v/>
      </c>
      <c r="J74" s="1" t="str">
        <f>IF(Ferien!$B$12+ROW(B72)-1&lt;=Ferien!$C$12, Ferien!$B$12+ROW(B72)-1, "")</f>
        <v/>
      </c>
      <c r="K74" s="1" t="str">
        <f>IF(Ferien!$B$13+ROW(B72)-1&lt;=Ferien!$C$13, Ferien!$B$13+ROW(B72)-1, "")</f>
        <v/>
      </c>
      <c r="L74" s="1" t="str">
        <f>IF(Ferien!$B$14+ROW(B72)-1&lt;=Ferien!$C$14, Ferien!$B$14+ROW(B72)-1, "")</f>
        <v/>
      </c>
      <c r="M74" s="1" t="str">
        <f>IF(Ferien!$B$15+ROW(B72)-1&lt;=Ferien!$C$15, Ferien!$B$15+ROW(B72)-1, "")</f>
        <v/>
      </c>
      <c r="N74" s="1" t="str">
        <f>IF(Ferien!$B$16+ROW(B72)-1&lt;=Ferien!$C$16, Ferien!$B$16+ROW(B72)-1, "")</f>
        <v/>
      </c>
      <c r="O74" s="1" t="str">
        <f>IF(Ferien!$B$17+ROW(B72)-1&lt;=Ferien!$C$17, Ferien!$B$17+ROW(B72)-1, "")</f>
        <v/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3">
      <c r="A75" s="1" t="str">
        <f>IF(Ferien!$B$3+ROW(A73)-1&lt;=Ferien!$C$3, Ferien!$B$3+ROW(A73)-1, "")</f>
        <v/>
      </c>
      <c r="B75" s="1" t="str">
        <f>IF(Ferien!$B$4+ROW(B73)-1&lt;=Ferien!$C$4, Ferien!$B$4+ROW(B73)-1, "")</f>
        <v/>
      </c>
      <c r="C75" s="1" t="str">
        <f>IF(Ferien!$B$5+ROW(B73)-1&lt;=Ferien!$C$5, Ferien!$B$5+ROW(B73)-1, "")</f>
        <v/>
      </c>
      <c r="D75" s="1" t="str">
        <f>IF(Ferien!$B$6+ROW(B73)-1&lt;=Ferien!$C$6, Ferien!$B$6+ROW(B73)-1, "")</f>
        <v/>
      </c>
      <c r="E75" s="1" t="str">
        <f>IF(Ferien!$B$7+ROW(B73)-1&lt;=Ferien!$C$7, Ferien!$B$7+ROW(B73)-1, "")</f>
        <v/>
      </c>
      <c r="F75" s="1" t="str">
        <f>IF(Ferien!$B$8+ROW(B73)-1&lt;=Ferien!$C$8, Ferien!$B$8+ROW(B73)-1, "")</f>
        <v/>
      </c>
      <c r="G75" s="1" t="str">
        <f>IF(Ferien!$B$9+ROW(B73)-1&lt;=Ferien!$C$9, Ferien!$B$9+ROW(B73)-1, "")</f>
        <v/>
      </c>
      <c r="H75" s="1" t="str">
        <f>IF(Ferien!$B$10+ROW(B73)-1&lt;=Ferien!$C$10, Ferien!$B$10+ROW(B73)-1, "")</f>
        <v/>
      </c>
      <c r="I75" s="1" t="str">
        <f>IF(Ferien!$B$11+ROW(B73)-1&lt;=Ferien!$C$11, Ferien!$B$11+ROW(B73)-1, "")</f>
        <v/>
      </c>
      <c r="J75" s="1" t="str">
        <f>IF(Ferien!$B$12+ROW(B73)-1&lt;=Ferien!$C$12, Ferien!$B$12+ROW(B73)-1, "")</f>
        <v/>
      </c>
      <c r="K75" s="1" t="str">
        <f>IF(Ferien!$B$13+ROW(B73)-1&lt;=Ferien!$C$13, Ferien!$B$13+ROW(B73)-1, "")</f>
        <v/>
      </c>
      <c r="L75" s="1" t="str">
        <f>IF(Ferien!$B$14+ROW(B73)-1&lt;=Ferien!$C$14, Ferien!$B$14+ROW(B73)-1, "")</f>
        <v/>
      </c>
      <c r="M75" s="1" t="str">
        <f>IF(Ferien!$B$15+ROW(B73)-1&lt;=Ferien!$C$15, Ferien!$B$15+ROW(B73)-1, "")</f>
        <v/>
      </c>
      <c r="N75" s="1" t="str">
        <f>IF(Ferien!$B$16+ROW(B73)-1&lt;=Ferien!$C$16, Ferien!$B$16+ROW(B73)-1, "")</f>
        <v/>
      </c>
      <c r="O75" s="1" t="str">
        <f>IF(Ferien!$B$17+ROW(B73)-1&lt;=Ferien!$C$17, Ferien!$B$17+ROW(B73)-1, "")</f>
        <v/>
      </c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3">
      <c r="A76" s="1" t="str">
        <f>IF(Ferien!$B$3+ROW(A74)-1&lt;=Ferien!$C$3, Ferien!$B$3+ROW(A74)-1, "")</f>
        <v/>
      </c>
      <c r="B76" s="1" t="str">
        <f>IF(Ferien!$B$4+ROW(B74)-1&lt;=Ferien!$C$4, Ferien!$B$4+ROW(B74)-1, "")</f>
        <v/>
      </c>
      <c r="C76" s="1" t="str">
        <f>IF(Ferien!$B$5+ROW(B74)-1&lt;=Ferien!$C$5, Ferien!$B$5+ROW(B74)-1, "")</f>
        <v/>
      </c>
      <c r="D76" s="1" t="str">
        <f>IF(Ferien!$B$6+ROW(B74)-1&lt;=Ferien!$C$6, Ferien!$B$6+ROW(B74)-1, "")</f>
        <v/>
      </c>
      <c r="E76" s="1" t="str">
        <f>IF(Ferien!$B$7+ROW(B74)-1&lt;=Ferien!$C$7, Ferien!$B$7+ROW(B74)-1, "")</f>
        <v/>
      </c>
      <c r="F76" s="1" t="str">
        <f>IF(Ferien!$B$8+ROW(B74)-1&lt;=Ferien!$C$8, Ferien!$B$8+ROW(B74)-1, "")</f>
        <v/>
      </c>
      <c r="G76" s="1" t="str">
        <f>IF(Ferien!$B$9+ROW(B74)-1&lt;=Ferien!$C$9, Ferien!$B$9+ROW(B74)-1, "")</f>
        <v/>
      </c>
      <c r="H76" s="1" t="str">
        <f>IF(Ferien!$B$10+ROW(B74)-1&lt;=Ferien!$C$10, Ferien!$B$10+ROW(B74)-1, "")</f>
        <v/>
      </c>
      <c r="I76" s="1" t="str">
        <f>IF(Ferien!$B$11+ROW(B74)-1&lt;=Ferien!$C$11, Ferien!$B$11+ROW(B74)-1, "")</f>
        <v/>
      </c>
      <c r="J76" s="1" t="str">
        <f>IF(Ferien!$B$12+ROW(B74)-1&lt;=Ferien!$C$12, Ferien!$B$12+ROW(B74)-1, "")</f>
        <v/>
      </c>
      <c r="K76" s="1" t="str">
        <f>IF(Ferien!$B$13+ROW(B74)-1&lt;=Ferien!$C$13, Ferien!$B$13+ROW(B74)-1, "")</f>
        <v/>
      </c>
      <c r="L76" s="1" t="str">
        <f>IF(Ferien!$B$14+ROW(B74)-1&lt;=Ferien!$C$14, Ferien!$B$14+ROW(B74)-1, "")</f>
        <v/>
      </c>
      <c r="M76" s="1" t="str">
        <f>IF(Ferien!$B$15+ROW(B74)-1&lt;=Ferien!$C$15, Ferien!$B$15+ROW(B74)-1, "")</f>
        <v/>
      </c>
      <c r="N76" s="1" t="str">
        <f>IF(Ferien!$B$16+ROW(B74)-1&lt;=Ferien!$C$16, Ferien!$B$16+ROW(B74)-1, "")</f>
        <v/>
      </c>
      <c r="O76" s="1" t="str">
        <f>IF(Ferien!$B$17+ROW(B74)-1&lt;=Ferien!$C$17, Ferien!$B$17+ROW(B74)-1, "")</f>
        <v/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3">
      <c r="A77" s="1" t="str">
        <f>IF(Ferien!$B$3+ROW(A75)-1&lt;=Ferien!$C$3, Ferien!$B$3+ROW(A75)-1, "")</f>
        <v/>
      </c>
      <c r="B77" s="1" t="str">
        <f>IF(Ferien!$B$4+ROW(B75)-1&lt;=Ferien!$C$4, Ferien!$B$4+ROW(B75)-1, "")</f>
        <v/>
      </c>
      <c r="C77" s="1" t="str">
        <f>IF(Ferien!$B$5+ROW(B75)-1&lt;=Ferien!$C$5, Ferien!$B$5+ROW(B75)-1, "")</f>
        <v/>
      </c>
      <c r="D77" s="1" t="str">
        <f>IF(Ferien!$B$6+ROW(B75)-1&lt;=Ferien!$C$6, Ferien!$B$6+ROW(B75)-1, "")</f>
        <v/>
      </c>
      <c r="E77" s="1" t="str">
        <f>IF(Ferien!$B$7+ROW(B75)-1&lt;=Ferien!$C$7, Ferien!$B$7+ROW(B75)-1, "")</f>
        <v/>
      </c>
      <c r="F77" s="1" t="str">
        <f>IF(Ferien!$B$8+ROW(B75)-1&lt;=Ferien!$C$8, Ferien!$B$8+ROW(B75)-1, "")</f>
        <v/>
      </c>
      <c r="G77" s="1" t="str">
        <f>IF(Ferien!$B$9+ROW(B75)-1&lt;=Ferien!$C$9, Ferien!$B$9+ROW(B75)-1, "")</f>
        <v/>
      </c>
      <c r="H77" s="1" t="str">
        <f>IF(Ferien!$B$10+ROW(B75)-1&lt;=Ferien!$C$10, Ferien!$B$10+ROW(B75)-1, "")</f>
        <v/>
      </c>
      <c r="I77" s="1" t="str">
        <f>IF(Ferien!$B$11+ROW(B75)-1&lt;=Ferien!$C$11, Ferien!$B$11+ROW(B75)-1, "")</f>
        <v/>
      </c>
      <c r="J77" s="1" t="str">
        <f>IF(Ferien!$B$12+ROW(B75)-1&lt;=Ferien!$C$12, Ferien!$B$12+ROW(B75)-1, "")</f>
        <v/>
      </c>
      <c r="K77" s="1" t="str">
        <f>IF(Ferien!$B$13+ROW(B75)-1&lt;=Ferien!$C$13, Ferien!$B$13+ROW(B75)-1, "")</f>
        <v/>
      </c>
      <c r="L77" s="1" t="str">
        <f>IF(Ferien!$B$14+ROW(B75)-1&lt;=Ferien!$C$14, Ferien!$B$14+ROW(B75)-1, "")</f>
        <v/>
      </c>
      <c r="M77" s="1" t="str">
        <f>IF(Ferien!$B$15+ROW(B75)-1&lt;=Ferien!$C$15, Ferien!$B$15+ROW(B75)-1, "")</f>
        <v/>
      </c>
      <c r="N77" s="1" t="str">
        <f>IF(Ferien!$B$16+ROW(B75)-1&lt;=Ferien!$C$16, Ferien!$B$16+ROW(B75)-1, "")</f>
        <v/>
      </c>
      <c r="O77" s="1" t="str">
        <f>IF(Ferien!$B$17+ROW(B75)-1&lt;=Ferien!$C$17, Ferien!$B$17+ROW(B75)-1, "")</f>
        <v/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3">
      <c r="A78" s="1" t="str">
        <f>IF(Ferien!$B$3+ROW(A76)-1&lt;=Ferien!$C$3, Ferien!$B$3+ROW(A76)-1, "")</f>
        <v/>
      </c>
      <c r="B78" s="1" t="str">
        <f>IF(Ferien!$B$4+ROW(B76)-1&lt;=Ferien!$C$4, Ferien!$B$4+ROW(B76)-1, "")</f>
        <v/>
      </c>
      <c r="C78" s="1" t="str">
        <f>IF(Ferien!$B$5+ROW(B76)-1&lt;=Ferien!$C$5, Ferien!$B$5+ROW(B76)-1, "")</f>
        <v/>
      </c>
      <c r="D78" s="1" t="str">
        <f>IF(Ferien!$B$6+ROW(B76)-1&lt;=Ferien!$C$6, Ferien!$B$6+ROW(B76)-1, "")</f>
        <v/>
      </c>
      <c r="E78" s="1" t="str">
        <f>IF(Ferien!$B$7+ROW(B76)-1&lt;=Ferien!$C$7, Ferien!$B$7+ROW(B76)-1, "")</f>
        <v/>
      </c>
      <c r="F78" s="1" t="str">
        <f>IF(Ferien!$B$8+ROW(B76)-1&lt;=Ferien!$C$8, Ferien!$B$8+ROW(B76)-1, "")</f>
        <v/>
      </c>
      <c r="G78" s="1" t="str">
        <f>IF(Ferien!$B$9+ROW(B76)-1&lt;=Ferien!$C$9, Ferien!$B$9+ROW(B76)-1, "")</f>
        <v/>
      </c>
      <c r="H78" s="1" t="str">
        <f>IF(Ferien!$B$10+ROW(B76)-1&lt;=Ferien!$C$10, Ferien!$B$10+ROW(B76)-1, "")</f>
        <v/>
      </c>
      <c r="I78" s="1" t="str">
        <f>IF(Ferien!$B$11+ROW(B76)-1&lt;=Ferien!$C$11, Ferien!$B$11+ROW(B76)-1, "")</f>
        <v/>
      </c>
      <c r="J78" s="1" t="str">
        <f>IF(Ferien!$B$12+ROW(B76)-1&lt;=Ferien!$C$12, Ferien!$B$12+ROW(B76)-1, "")</f>
        <v/>
      </c>
      <c r="K78" s="1" t="str">
        <f>IF(Ferien!$B$13+ROW(B76)-1&lt;=Ferien!$C$13, Ferien!$B$13+ROW(B76)-1, "")</f>
        <v/>
      </c>
      <c r="L78" s="1" t="str">
        <f>IF(Ferien!$B$14+ROW(B76)-1&lt;=Ferien!$C$14, Ferien!$B$14+ROW(B76)-1, "")</f>
        <v/>
      </c>
      <c r="M78" s="1" t="str">
        <f>IF(Ferien!$B$15+ROW(B76)-1&lt;=Ferien!$C$15, Ferien!$B$15+ROW(B76)-1, "")</f>
        <v/>
      </c>
      <c r="N78" s="1" t="str">
        <f>IF(Ferien!$B$16+ROW(B76)-1&lt;=Ferien!$C$16, Ferien!$B$16+ROW(B76)-1, "")</f>
        <v/>
      </c>
      <c r="O78" s="1" t="str">
        <f>IF(Ferien!$B$17+ROW(B76)-1&lt;=Ferien!$C$17, Ferien!$B$17+ROW(B76)-1, "")</f>
        <v/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3">
      <c r="A79" s="1" t="str">
        <f>IF(Ferien!$B$3+ROW(A77)-1&lt;=Ferien!$C$3, Ferien!$B$3+ROW(A77)-1, "")</f>
        <v/>
      </c>
      <c r="B79" s="1" t="str">
        <f>IF(Ferien!$B$4+ROW(B77)-1&lt;=Ferien!$C$4, Ferien!$B$4+ROW(B77)-1, "")</f>
        <v/>
      </c>
      <c r="C79" s="1" t="str">
        <f>IF(Ferien!$B$5+ROW(B77)-1&lt;=Ferien!$C$5, Ferien!$B$5+ROW(B77)-1, "")</f>
        <v/>
      </c>
      <c r="D79" s="1" t="str">
        <f>IF(Ferien!$B$6+ROW(B77)-1&lt;=Ferien!$C$6, Ferien!$B$6+ROW(B77)-1, "")</f>
        <v/>
      </c>
      <c r="E79" s="1" t="str">
        <f>IF(Ferien!$B$7+ROW(B77)-1&lt;=Ferien!$C$7, Ferien!$B$7+ROW(B77)-1, "")</f>
        <v/>
      </c>
      <c r="F79" s="1" t="str">
        <f>IF(Ferien!$B$8+ROW(B77)-1&lt;=Ferien!$C$8, Ferien!$B$8+ROW(B77)-1, "")</f>
        <v/>
      </c>
      <c r="G79" s="1" t="str">
        <f>IF(Ferien!$B$9+ROW(B77)-1&lt;=Ferien!$C$9, Ferien!$B$9+ROW(B77)-1, "")</f>
        <v/>
      </c>
      <c r="H79" s="1" t="str">
        <f>IF(Ferien!$B$10+ROW(B77)-1&lt;=Ferien!$C$10, Ferien!$B$10+ROW(B77)-1, "")</f>
        <v/>
      </c>
      <c r="I79" s="1" t="str">
        <f>IF(Ferien!$B$11+ROW(B77)-1&lt;=Ferien!$C$11, Ferien!$B$11+ROW(B77)-1, "")</f>
        <v/>
      </c>
      <c r="J79" s="1" t="str">
        <f>IF(Ferien!$B$12+ROW(B77)-1&lt;=Ferien!$C$12, Ferien!$B$12+ROW(B77)-1, "")</f>
        <v/>
      </c>
      <c r="K79" s="1" t="str">
        <f>IF(Ferien!$B$13+ROW(B77)-1&lt;=Ferien!$C$13, Ferien!$B$13+ROW(B77)-1, "")</f>
        <v/>
      </c>
      <c r="L79" s="1" t="str">
        <f>IF(Ferien!$B$14+ROW(B77)-1&lt;=Ferien!$C$14, Ferien!$B$14+ROW(B77)-1, "")</f>
        <v/>
      </c>
      <c r="M79" s="1" t="str">
        <f>IF(Ferien!$B$15+ROW(B77)-1&lt;=Ferien!$C$15, Ferien!$B$15+ROW(B77)-1, "")</f>
        <v/>
      </c>
      <c r="N79" s="1" t="str">
        <f>IF(Ferien!$B$16+ROW(B77)-1&lt;=Ferien!$C$16, Ferien!$B$16+ROW(B77)-1, "")</f>
        <v/>
      </c>
      <c r="O79" s="1" t="str">
        <f>IF(Ferien!$B$17+ROW(B77)-1&lt;=Ferien!$C$17, Ferien!$B$17+ROW(B77)-1, "")</f>
        <v/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3">
      <c r="A80" s="1" t="str">
        <f>IF(Ferien!$B$3+ROW(A78)-1&lt;=Ferien!$C$3, Ferien!$B$3+ROW(A78)-1, "")</f>
        <v/>
      </c>
      <c r="B80" s="1" t="str">
        <f>IF(Ferien!$B$4+ROW(B78)-1&lt;=Ferien!$C$4, Ferien!$B$4+ROW(B78)-1, "")</f>
        <v/>
      </c>
      <c r="C80" s="1" t="str">
        <f>IF(Ferien!$B$5+ROW(B78)-1&lt;=Ferien!$C$5, Ferien!$B$5+ROW(B78)-1, "")</f>
        <v/>
      </c>
      <c r="D80" s="1" t="str">
        <f>IF(Ferien!$B$6+ROW(B78)-1&lt;=Ferien!$C$6, Ferien!$B$6+ROW(B78)-1, "")</f>
        <v/>
      </c>
      <c r="E80" s="1" t="str">
        <f>IF(Ferien!$B$7+ROW(B78)-1&lt;=Ferien!$C$7, Ferien!$B$7+ROW(B78)-1, "")</f>
        <v/>
      </c>
      <c r="F80" s="1" t="str">
        <f>IF(Ferien!$B$8+ROW(B78)-1&lt;=Ferien!$C$8, Ferien!$B$8+ROW(B78)-1, "")</f>
        <v/>
      </c>
      <c r="G80" s="1" t="str">
        <f>IF(Ferien!$B$9+ROW(B78)-1&lt;=Ferien!$C$9, Ferien!$B$9+ROW(B78)-1, "")</f>
        <v/>
      </c>
      <c r="H80" s="1" t="str">
        <f>IF(Ferien!$B$10+ROW(B78)-1&lt;=Ferien!$C$10, Ferien!$B$10+ROW(B78)-1, "")</f>
        <v/>
      </c>
      <c r="I80" s="1" t="str">
        <f>IF(Ferien!$B$11+ROW(B78)-1&lt;=Ferien!$C$11, Ferien!$B$11+ROW(B78)-1, "")</f>
        <v/>
      </c>
      <c r="J80" s="1" t="str">
        <f>IF(Ferien!$B$12+ROW(B78)-1&lt;=Ferien!$C$12, Ferien!$B$12+ROW(B78)-1, "")</f>
        <v/>
      </c>
      <c r="K80" s="1" t="str">
        <f>IF(Ferien!$B$13+ROW(B78)-1&lt;=Ferien!$C$13, Ferien!$B$13+ROW(B78)-1, "")</f>
        <v/>
      </c>
      <c r="L80" s="1" t="str">
        <f>IF(Ferien!$B$14+ROW(B78)-1&lt;=Ferien!$C$14, Ferien!$B$14+ROW(B78)-1, "")</f>
        <v/>
      </c>
      <c r="M80" s="1" t="str">
        <f>IF(Ferien!$B$15+ROW(B78)-1&lt;=Ferien!$C$15, Ferien!$B$15+ROW(B78)-1, "")</f>
        <v/>
      </c>
      <c r="N80" s="1" t="str">
        <f>IF(Ferien!$B$16+ROW(B78)-1&lt;=Ferien!$C$16, Ferien!$B$16+ROW(B78)-1, "")</f>
        <v/>
      </c>
      <c r="O80" s="1" t="str">
        <f>IF(Ferien!$B$17+ROW(B78)-1&lt;=Ferien!$C$17, Ferien!$B$17+ROW(B78)-1, "")</f>
        <v/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3">
      <c r="A81" s="1" t="str">
        <f>IF(Ferien!$B$3+ROW(A79)-1&lt;=Ferien!$C$3, Ferien!$B$3+ROW(A79)-1, "")</f>
        <v/>
      </c>
      <c r="B81" s="1" t="str">
        <f>IF(Ferien!$B$4+ROW(B79)-1&lt;=Ferien!$C$4, Ferien!$B$4+ROW(B79)-1, "")</f>
        <v/>
      </c>
      <c r="C81" s="1" t="str">
        <f>IF(Ferien!$B$5+ROW(B79)-1&lt;=Ferien!$C$5, Ferien!$B$5+ROW(B79)-1, "")</f>
        <v/>
      </c>
      <c r="D81" s="1" t="str">
        <f>IF(Ferien!$B$6+ROW(B79)-1&lt;=Ferien!$C$6, Ferien!$B$6+ROW(B79)-1, "")</f>
        <v/>
      </c>
      <c r="E81" s="1" t="str">
        <f>IF(Ferien!$B$7+ROW(B79)-1&lt;=Ferien!$C$7, Ferien!$B$7+ROW(B79)-1, "")</f>
        <v/>
      </c>
      <c r="F81" s="1" t="str">
        <f>IF(Ferien!$B$8+ROW(B79)-1&lt;=Ferien!$C$8, Ferien!$B$8+ROW(B79)-1, "")</f>
        <v/>
      </c>
      <c r="G81" s="1" t="str">
        <f>IF(Ferien!$B$9+ROW(B79)-1&lt;=Ferien!$C$9, Ferien!$B$9+ROW(B79)-1, "")</f>
        <v/>
      </c>
      <c r="H81" s="1" t="str">
        <f>IF(Ferien!$B$10+ROW(B79)-1&lt;=Ferien!$C$10, Ferien!$B$10+ROW(B79)-1, "")</f>
        <v/>
      </c>
      <c r="I81" s="1" t="str">
        <f>IF(Ferien!$B$11+ROW(B79)-1&lt;=Ferien!$C$11, Ferien!$B$11+ROW(B79)-1, "")</f>
        <v/>
      </c>
      <c r="J81" s="1" t="str">
        <f>IF(Ferien!$B$12+ROW(B79)-1&lt;=Ferien!$C$12, Ferien!$B$12+ROW(B79)-1, "")</f>
        <v/>
      </c>
      <c r="K81" s="1" t="str">
        <f>IF(Ferien!$B$13+ROW(B79)-1&lt;=Ferien!$C$13, Ferien!$B$13+ROW(B79)-1, "")</f>
        <v/>
      </c>
      <c r="L81" s="1" t="str">
        <f>IF(Ferien!$B$14+ROW(B79)-1&lt;=Ferien!$C$14, Ferien!$B$14+ROW(B79)-1, "")</f>
        <v/>
      </c>
      <c r="M81" s="1" t="str">
        <f>IF(Ferien!$B$15+ROW(B79)-1&lt;=Ferien!$C$15, Ferien!$B$15+ROW(B79)-1, "")</f>
        <v/>
      </c>
      <c r="N81" s="1" t="str">
        <f>IF(Ferien!$B$16+ROW(B79)-1&lt;=Ferien!$C$16, Ferien!$B$16+ROW(B79)-1, "")</f>
        <v/>
      </c>
      <c r="O81" s="1" t="str">
        <f>IF(Ferien!$B$17+ROW(B79)-1&lt;=Ferien!$C$17, Ferien!$B$17+ROW(B79)-1, "")</f>
        <v/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3">
      <c r="A82" s="1" t="str">
        <f>IF(Ferien!$B$3+ROW(A80)-1&lt;=Ferien!$C$3, Ferien!$B$3+ROW(A80)-1, "")</f>
        <v/>
      </c>
      <c r="B82" s="1" t="str">
        <f>IF(Ferien!$B$4+ROW(B80)-1&lt;=Ferien!$C$4, Ferien!$B$4+ROW(B80)-1, "")</f>
        <v/>
      </c>
      <c r="C82" s="1" t="str">
        <f>IF(Ferien!$B$5+ROW(B80)-1&lt;=Ferien!$C$5, Ferien!$B$5+ROW(B80)-1, "")</f>
        <v/>
      </c>
      <c r="D82" s="1" t="str">
        <f>IF(Ferien!$B$6+ROW(B80)-1&lt;=Ferien!$C$6, Ferien!$B$6+ROW(B80)-1, "")</f>
        <v/>
      </c>
      <c r="E82" s="1" t="str">
        <f>IF(Ferien!$B$7+ROW(B80)-1&lt;=Ferien!$C$7, Ferien!$B$7+ROW(B80)-1, "")</f>
        <v/>
      </c>
      <c r="F82" s="1" t="str">
        <f>IF(Ferien!$B$8+ROW(B80)-1&lt;=Ferien!$C$8, Ferien!$B$8+ROW(B80)-1, "")</f>
        <v/>
      </c>
      <c r="G82" s="1" t="str">
        <f>IF(Ferien!$B$9+ROW(B80)-1&lt;=Ferien!$C$9, Ferien!$B$9+ROW(B80)-1, "")</f>
        <v/>
      </c>
      <c r="H82" s="1" t="str">
        <f>IF(Ferien!$B$10+ROW(B80)-1&lt;=Ferien!$C$10, Ferien!$B$10+ROW(B80)-1, "")</f>
        <v/>
      </c>
      <c r="I82" s="1" t="str">
        <f>IF(Ferien!$B$11+ROW(B80)-1&lt;=Ferien!$C$11, Ferien!$B$11+ROW(B80)-1, "")</f>
        <v/>
      </c>
      <c r="J82" s="1" t="str">
        <f>IF(Ferien!$B$12+ROW(B80)-1&lt;=Ferien!$C$12, Ferien!$B$12+ROW(B80)-1, "")</f>
        <v/>
      </c>
      <c r="K82" s="1" t="str">
        <f>IF(Ferien!$B$13+ROW(B80)-1&lt;=Ferien!$C$13, Ferien!$B$13+ROW(B80)-1, "")</f>
        <v/>
      </c>
      <c r="L82" s="1" t="str">
        <f>IF(Ferien!$B$14+ROW(B80)-1&lt;=Ferien!$C$14, Ferien!$B$14+ROW(B80)-1, "")</f>
        <v/>
      </c>
      <c r="M82" s="1" t="str">
        <f>IF(Ferien!$B$15+ROW(B80)-1&lt;=Ferien!$C$15, Ferien!$B$15+ROW(B80)-1, "")</f>
        <v/>
      </c>
      <c r="N82" s="1" t="str">
        <f>IF(Ferien!$B$16+ROW(B80)-1&lt;=Ferien!$C$16, Ferien!$B$16+ROW(B80)-1, "")</f>
        <v/>
      </c>
      <c r="O82" s="1" t="str">
        <f>IF(Ferien!$B$17+ROW(B80)-1&lt;=Ferien!$C$17, Ferien!$B$17+ROW(B80)-1, "")</f>
        <v/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3">
      <c r="A83" s="1" t="str">
        <f>IF(Ferien!$B$3+ROW(A81)-1&lt;=Ferien!$C$3, Ferien!$B$3+ROW(A81)-1, "")</f>
        <v/>
      </c>
      <c r="B83" s="1" t="str">
        <f>IF(Ferien!$B$4+ROW(B81)-1&lt;=Ferien!$C$4, Ferien!$B$4+ROW(B81)-1, "")</f>
        <v/>
      </c>
      <c r="C83" s="1" t="str">
        <f>IF(Ferien!$B$5+ROW(B81)-1&lt;=Ferien!$C$5, Ferien!$B$5+ROW(B81)-1, "")</f>
        <v/>
      </c>
      <c r="D83" s="1" t="str">
        <f>IF(Ferien!$B$6+ROW(B81)-1&lt;=Ferien!$C$6, Ferien!$B$6+ROW(B81)-1, "")</f>
        <v/>
      </c>
      <c r="E83" s="1" t="str">
        <f>IF(Ferien!$B$7+ROW(B81)-1&lt;=Ferien!$C$7, Ferien!$B$7+ROW(B81)-1, "")</f>
        <v/>
      </c>
      <c r="F83" s="1" t="str">
        <f>IF(Ferien!$B$8+ROW(B81)-1&lt;=Ferien!$C$8, Ferien!$B$8+ROW(B81)-1, "")</f>
        <v/>
      </c>
      <c r="G83" s="1" t="str">
        <f>IF(Ferien!$B$9+ROW(B81)-1&lt;=Ferien!$C$9, Ferien!$B$9+ROW(B81)-1, "")</f>
        <v/>
      </c>
      <c r="H83" s="1" t="str">
        <f>IF(Ferien!$B$10+ROW(B81)-1&lt;=Ferien!$C$10, Ferien!$B$10+ROW(B81)-1, "")</f>
        <v/>
      </c>
      <c r="I83" s="1" t="str">
        <f>IF(Ferien!$B$11+ROW(B81)-1&lt;=Ferien!$C$11, Ferien!$B$11+ROW(B81)-1, "")</f>
        <v/>
      </c>
      <c r="J83" s="1" t="str">
        <f>IF(Ferien!$B$12+ROW(B81)-1&lt;=Ferien!$C$12, Ferien!$B$12+ROW(B81)-1, "")</f>
        <v/>
      </c>
      <c r="K83" s="1" t="str">
        <f>IF(Ferien!$B$13+ROW(B81)-1&lt;=Ferien!$C$13, Ferien!$B$13+ROW(B81)-1, "")</f>
        <v/>
      </c>
      <c r="L83" s="1" t="str">
        <f>IF(Ferien!$B$14+ROW(B81)-1&lt;=Ferien!$C$14, Ferien!$B$14+ROW(B81)-1, "")</f>
        <v/>
      </c>
      <c r="M83" s="1" t="str">
        <f>IF(Ferien!$B$15+ROW(B81)-1&lt;=Ferien!$C$15, Ferien!$B$15+ROW(B81)-1, "")</f>
        <v/>
      </c>
      <c r="N83" s="1" t="str">
        <f>IF(Ferien!$B$16+ROW(B81)-1&lt;=Ferien!$C$16, Ferien!$B$16+ROW(B81)-1, "")</f>
        <v/>
      </c>
      <c r="O83" s="1" t="str">
        <f>IF(Ferien!$B$17+ROW(B81)-1&lt;=Ferien!$C$17, Ferien!$B$17+ROW(B81)-1, "")</f>
        <v/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3">
      <c r="A84" s="1" t="str">
        <f>IF(Ferien!$B$3+ROW(A82)-1&lt;=Ferien!$C$3, Ferien!$B$3+ROW(A82)-1, "")</f>
        <v/>
      </c>
      <c r="B84" s="1" t="str">
        <f>IF(Ferien!$B$4+ROW(B82)-1&lt;=Ferien!$C$4, Ferien!$B$4+ROW(B82)-1, "")</f>
        <v/>
      </c>
      <c r="C84" s="1" t="str">
        <f>IF(Ferien!$B$5+ROW(B82)-1&lt;=Ferien!$C$5, Ferien!$B$5+ROW(B82)-1, "")</f>
        <v/>
      </c>
      <c r="D84" s="1" t="str">
        <f>IF(Ferien!$B$6+ROW(B82)-1&lt;=Ferien!$C$6, Ferien!$B$6+ROW(B82)-1, "")</f>
        <v/>
      </c>
      <c r="E84" s="1" t="str">
        <f>IF(Ferien!$B$7+ROW(B82)-1&lt;=Ferien!$C$7, Ferien!$B$7+ROW(B82)-1, "")</f>
        <v/>
      </c>
      <c r="F84" s="1" t="str">
        <f>IF(Ferien!$B$8+ROW(B82)-1&lt;=Ferien!$C$8, Ferien!$B$8+ROW(B82)-1, "")</f>
        <v/>
      </c>
      <c r="G84" s="1" t="str">
        <f>IF(Ferien!$B$9+ROW(B82)-1&lt;=Ferien!$C$9, Ferien!$B$9+ROW(B82)-1, "")</f>
        <v/>
      </c>
      <c r="H84" s="1" t="str">
        <f>IF(Ferien!$B$10+ROW(B82)-1&lt;=Ferien!$C$10, Ferien!$B$10+ROW(B82)-1, "")</f>
        <v/>
      </c>
      <c r="I84" s="1" t="str">
        <f>IF(Ferien!$B$11+ROW(B82)-1&lt;=Ferien!$C$11, Ferien!$B$11+ROW(B82)-1, "")</f>
        <v/>
      </c>
      <c r="J84" s="1" t="str">
        <f>IF(Ferien!$B$12+ROW(B82)-1&lt;=Ferien!$C$12, Ferien!$B$12+ROW(B82)-1, "")</f>
        <v/>
      </c>
      <c r="K84" s="1" t="str">
        <f>IF(Ferien!$B$13+ROW(B82)-1&lt;=Ferien!$C$13, Ferien!$B$13+ROW(B82)-1, "")</f>
        <v/>
      </c>
      <c r="L84" s="1" t="str">
        <f>IF(Ferien!$B$14+ROW(B82)-1&lt;=Ferien!$C$14, Ferien!$B$14+ROW(B82)-1, "")</f>
        <v/>
      </c>
      <c r="M84" s="1" t="str">
        <f>IF(Ferien!$B$15+ROW(B82)-1&lt;=Ferien!$C$15, Ferien!$B$15+ROW(B82)-1, "")</f>
        <v/>
      </c>
      <c r="N84" s="1" t="str">
        <f>IF(Ferien!$B$16+ROW(B82)-1&lt;=Ferien!$C$16, Ferien!$B$16+ROW(B82)-1, "")</f>
        <v/>
      </c>
      <c r="O84" s="1" t="str">
        <f>IF(Ferien!$B$17+ROW(B82)-1&lt;=Ferien!$C$17, Ferien!$B$17+ROW(B82)-1, "")</f>
        <v/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3">
      <c r="A85" s="1" t="str">
        <f>IF(Ferien!$B$3+ROW(A83)-1&lt;=Ferien!$C$3, Ferien!$B$3+ROW(A83)-1, "")</f>
        <v/>
      </c>
      <c r="B85" s="1" t="str">
        <f>IF(Ferien!$B$4+ROW(B83)-1&lt;=Ferien!$C$4, Ferien!$B$4+ROW(B83)-1, "")</f>
        <v/>
      </c>
      <c r="C85" s="1" t="str">
        <f>IF(Ferien!$B$5+ROW(B83)-1&lt;=Ferien!$C$5, Ferien!$B$5+ROW(B83)-1, "")</f>
        <v/>
      </c>
      <c r="D85" s="1" t="str">
        <f>IF(Ferien!$B$6+ROW(B83)-1&lt;=Ferien!$C$6, Ferien!$B$6+ROW(B83)-1, "")</f>
        <v/>
      </c>
      <c r="E85" s="1" t="str">
        <f>IF(Ferien!$B$7+ROW(B83)-1&lt;=Ferien!$C$7, Ferien!$B$7+ROW(B83)-1, "")</f>
        <v/>
      </c>
      <c r="F85" s="1" t="str">
        <f>IF(Ferien!$B$8+ROW(B83)-1&lt;=Ferien!$C$8, Ferien!$B$8+ROW(B83)-1, "")</f>
        <v/>
      </c>
      <c r="G85" s="1" t="str">
        <f>IF(Ferien!$B$9+ROW(B83)-1&lt;=Ferien!$C$9, Ferien!$B$9+ROW(B83)-1, "")</f>
        <v/>
      </c>
      <c r="H85" s="1" t="str">
        <f>IF(Ferien!$B$10+ROW(B83)-1&lt;=Ferien!$C$10, Ferien!$B$10+ROW(B83)-1, "")</f>
        <v/>
      </c>
      <c r="I85" s="1" t="str">
        <f>IF(Ferien!$B$11+ROW(B83)-1&lt;=Ferien!$C$11, Ferien!$B$11+ROW(B83)-1, "")</f>
        <v/>
      </c>
      <c r="J85" s="1" t="str">
        <f>IF(Ferien!$B$12+ROW(B83)-1&lt;=Ferien!$C$12, Ferien!$B$12+ROW(B83)-1, "")</f>
        <v/>
      </c>
      <c r="K85" s="1" t="str">
        <f>IF(Ferien!$B$13+ROW(B83)-1&lt;=Ferien!$C$13, Ferien!$B$13+ROW(B83)-1, "")</f>
        <v/>
      </c>
      <c r="L85" s="1" t="str">
        <f>IF(Ferien!$B$14+ROW(B83)-1&lt;=Ferien!$C$14, Ferien!$B$14+ROW(B83)-1, "")</f>
        <v/>
      </c>
      <c r="M85" s="1" t="str">
        <f>IF(Ferien!$B$15+ROW(B83)-1&lt;=Ferien!$C$15, Ferien!$B$15+ROW(B83)-1, "")</f>
        <v/>
      </c>
      <c r="N85" s="1" t="str">
        <f>IF(Ferien!$B$16+ROW(B83)-1&lt;=Ferien!$C$16, Ferien!$B$16+ROW(B83)-1, "")</f>
        <v/>
      </c>
      <c r="O85" s="1" t="str">
        <f>IF(Ferien!$B$17+ROW(B83)-1&lt;=Ferien!$C$17, Ferien!$B$17+ROW(B83)-1, "")</f>
        <v/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3">
      <c r="A86" s="1" t="str">
        <f>IF(Ferien!$B$3+ROW(A84)-1&lt;=Ferien!$C$3, Ferien!$B$3+ROW(A84)-1, "")</f>
        <v/>
      </c>
      <c r="B86" s="1" t="str">
        <f>IF(Ferien!$B$4+ROW(B84)-1&lt;=Ferien!$C$4, Ferien!$B$4+ROW(B84)-1, "")</f>
        <v/>
      </c>
      <c r="C86" s="1" t="str">
        <f>IF(Ferien!$B$5+ROW(B84)-1&lt;=Ferien!$C$5, Ferien!$B$5+ROW(B84)-1, "")</f>
        <v/>
      </c>
      <c r="D86" s="1" t="str">
        <f>IF(Ferien!$B$6+ROW(B84)-1&lt;=Ferien!$C$6, Ferien!$B$6+ROW(B84)-1, "")</f>
        <v/>
      </c>
      <c r="E86" s="1" t="str">
        <f>IF(Ferien!$B$7+ROW(B84)-1&lt;=Ferien!$C$7, Ferien!$B$7+ROW(B84)-1, "")</f>
        <v/>
      </c>
      <c r="F86" s="1" t="str">
        <f>IF(Ferien!$B$8+ROW(B84)-1&lt;=Ferien!$C$8, Ferien!$B$8+ROW(B84)-1, "")</f>
        <v/>
      </c>
      <c r="G86" s="1" t="str">
        <f>IF(Ferien!$B$9+ROW(B84)-1&lt;=Ferien!$C$9, Ferien!$B$9+ROW(B84)-1, "")</f>
        <v/>
      </c>
      <c r="H86" s="1" t="str">
        <f>IF(Ferien!$B$10+ROW(B84)-1&lt;=Ferien!$C$10, Ferien!$B$10+ROW(B84)-1, "")</f>
        <v/>
      </c>
      <c r="I86" s="1" t="str">
        <f>IF(Ferien!$B$11+ROW(B84)-1&lt;=Ferien!$C$11, Ferien!$B$11+ROW(B84)-1, "")</f>
        <v/>
      </c>
      <c r="J86" s="1" t="str">
        <f>IF(Ferien!$B$12+ROW(B84)-1&lt;=Ferien!$C$12, Ferien!$B$12+ROW(B84)-1, "")</f>
        <v/>
      </c>
      <c r="K86" s="1" t="str">
        <f>IF(Ferien!$B$13+ROW(B84)-1&lt;=Ferien!$C$13, Ferien!$B$13+ROW(B84)-1, "")</f>
        <v/>
      </c>
      <c r="L86" s="1" t="str">
        <f>IF(Ferien!$B$14+ROW(B84)-1&lt;=Ferien!$C$14, Ferien!$B$14+ROW(B84)-1, "")</f>
        <v/>
      </c>
      <c r="M86" s="1" t="str">
        <f>IF(Ferien!$B$15+ROW(B84)-1&lt;=Ferien!$C$15, Ferien!$B$15+ROW(B84)-1, "")</f>
        <v/>
      </c>
      <c r="N86" s="1" t="str">
        <f>IF(Ferien!$B$16+ROW(B84)-1&lt;=Ferien!$C$16, Ferien!$B$16+ROW(B84)-1, "")</f>
        <v/>
      </c>
      <c r="O86" s="1" t="str">
        <f>IF(Ferien!$B$17+ROW(B84)-1&lt;=Ferien!$C$17, Ferien!$B$17+ROW(B84)-1, "")</f>
        <v/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3">
      <c r="A87" s="1" t="str">
        <f>IF(Ferien!$B$3+ROW(A85)-1&lt;=Ferien!$C$3, Ferien!$B$3+ROW(A85)-1, "")</f>
        <v/>
      </c>
      <c r="B87" s="1" t="str">
        <f>IF(Ferien!$B$4+ROW(B85)-1&lt;=Ferien!$C$4, Ferien!$B$4+ROW(B85)-1, "")</f>
        <v/>
      </c>
      <c r="C87" s="1" t="str">
        <f>IF(Ferien!$B$5+ROW(B85)-1&lt;=Ferien!$C$5, Ferien!$B$5+ROW(B85)-1, "")</f>
        <v/>
      </c>
      <c r="D87" s="1" t="str">
        <f>IF(Ferien!$B$6+ROW(B85)-1&lt;=Ferien!$C$6, Ferien!$B$6+ROW(B85)-1, "")</f>
        <v/>
      </c>
      <c r="E87" s="1" t="str">
        <f>IF(Ferien!$B$7+ROW(B85)-1&lt;=Ferien!$C$7, Ferien!$B$7+ROW(B85)-1, "")</f>
        <v/>
      </c>
      <c r="F87" s="1" t="str">
        <f>IF(Ferien!$B$8+ROW(B85)-1&lt;=Ferien!$C$8, Ferien!$B$8+ROW(B85)-1, "")</f>
        <v/>
      </c>
      <c r="G87" s="1" t="str">
        <f>IF(Ferien!$B$9+ROW(B85)-1&lt;=Ferien!$C$9, Ferien!$B$9+ROW(B85)-1, "")</f>
        <v/>
      </c>
      <c r="H87" s="1" t="str">
        <f>IF(Ferien!$B$10+ROW(B85)-1&lt;=Ferien!$C$10, Ferien!$B$10+ROW(B85)-1, "")</f>
        <v/>
      </c>
      <c r="I87" s="1" t="str">
        <f>IF(Ferien!$B$11+ROW(B85)-1&lt;=Ferien!$C$11, Ferien!$B$11+ROW(B85)-1, "")</f>
        <v/>
      </c>
      <c r="J87" s="1" t="str">
        <f>IF(Ferien!$B$12+ROW(B85)-1&lt;=Ferien!$C$12, Ferien!$B$12+ROW(B85)-1, "")</f>
        <v/>
      </c>
      <c r="K87" s="1" t="str">
        <f>IF(Ferien!$B$13+ROW(B85)-1&lt;=Ferien!$C$13, Ferien!$B$13+ROW(B85)-1, "")</f>
        <v/>
      </c>
      <c r="L87" s="1" t="str">
        <f>IF(Ferien!$B$14+ROW(B85)-1&lt;=Ferien!$C$14, Ferien!$B$14+ROW(B85)-1, "")</f>
        <v/>
      </c>
      <c r="M87" s="1" t="str">
        <f>IF(Ferien!$B$15+ROW(B85)-1&lt;=Ferien!$C$15, Ferien!$B$15+ROW(B85)-1, "")</f>
        <v/>
      </c>
      <c r="N87" s="1" t="str">
        <f>IF(Ferien!$B$16+ROW(B85)-1&lt;=Ferien!$C$16, Ferien!$B$16+ROW(B85)-1, "")</f>
        <v/>
      </c>
      <c r="O87" s="1" t="str">
        <f>IF(Ferien!$B$17+ROW(B85)-1&lt;=Ferien!$C$17, Ferien!$B$17+ROW(B85)-1, "")</f>
        <v/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3">
      <c r="A88" s="1" t="str">
        <f>IF(Ferien!$B$3+ROW(A86)-1&lt;=Ferien!$C$3, Ferien!$B$3+ROW(A86)-1, "")</f>
        <v/>
      </c>
      <c r="B88" s="1" t="str">
        <f>IF(Ferien!$B$4+ROW(B86)-1&lt;=Ferien!$C$4, Ferien!$B$4+ROW(B86)-1, "")</f>
        <v/>
      </c>
      <c r="C88" s="1" t="str">
        <f>IF(Ferien!$B$5+ROW(B86)-1&lt;=Ferien!$C$5, Ferien!$B$5+ROW(B86)-1, "")</f>
        <v/>
      </c>
      <c r="D88" s="1" t="str">
        <f>IF(Ferien!$B$6+ROW(B86)-1&lt;=Ferien!$C$6, Ferien!$B$6+ROW(B86)-1, "")</f>
        <v/>
      </c>
      <c r="E88" s="1" t="str">
        <f>IF(Ferien!$B$7+ROW(B86)-1&lt;=Ferien!$C$7, Ferien!$B$7+ROW(B86)-1, "")</f>
        <v/>
      </c>
      <c r="F88" s="1" t="str">
        <f>IF(Ferien!$B$8+ROW(B86)-1&lt;=Ferien!$C$8, Ferien!$B$8+ROW(B86)-1, "")</f>
        <v/>
      </c>
      <c r="G88" s="1" t="str">
        <f>IF(Ferien!$B$9+ROW(B86)-1&lt;=Ferien!$C$9, Ferien!$B$9+ROW(B86)-1, "")</f>
        <v/>
      </c>
      <c r="H88" s="1" t="str">
        <f>IF(Ferien!$B$10+ROW(B86)-1&lt;=Ferien!$C$10, Ferien!$B$10+ROW(B86)-1, "")</f>
        <v/>
      </c>
      <c r="I88" s="1" t="str">
        <f>IF(Ferien!$B$11+ROW(B86)-1&lt;=Ferien!$C$11, Ferien!$B$11+ROW(B86)-1, "")</f>
        <v/>
      </c>
      <c r="J88" s="1" t="str">
        <f>IF(Ferien!$B$12+ROW(B86)-1&lt;=Ferien!$C$12, Ferien!$B$12+ROW(B86)-1, "")</f>
        <v/>
      </c>
      <c r="K88" s="1" t="str">
        <f>IF(Ferien!$B$13+ROW(B86)-1&lt;=Ferien!$C$13, Ferien!$B$13+ROW(B86)-1, "")</f>
        <v/>
      </c>
      <c r="L88" s="1" t="str">
        <f>IF(Ferien!$B$14+ROW(B86)-1&lt;=Ferien!$C$14, Ferien!$B$14+ROW(B86)-1, "")</f>
        <v/>
      </c>
      <c r="M88" s="1" t="str">
        <f>IF(Ferien!$B$15+ROW(B86)-1&lt;=Ferien!$C$15, Ferien!$B$15+ROW(B86)-1, "")</f>
        <v/>
      </c>
      <c r="N88" s="1" t="str">
        <f>IF(Ferien!$B$16+ROW(B86)-1&lt;=Ferien!$C$16, Ferien!$B$16+ROW(B86)-1, "")</f>
        <v/>
      </c>
      <c r="O88" s="1" t="str">
        <f>IF(Ferien!$B$17+ROW(B86)-1&lt;=Ferien!$C$17, Ferien!$B$17+ROW(B86)-1, "")</f>
        <v/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3">
      <c r="A89" s="1" t="str">
        <f>IF(Ferien!$B$3+ROW(A87)-1&lt;=Ferien!$C$3, Ferien!$B$3+ROW(A87)-1, "")</f>
        <v/>
      </c>
      <c r="B89" s="1" t="str">
        <f>IF(Ferien!$B$4+ROW(B87)-1&lt;=Ferien!$C$4, Ferien!$B$4+ROW(B87)-1, "")</f>
        <v/>
      </c>
      <c r="C89" s="1" t="str">
        <f>IF(Ferien!$B$5+ROW(B87)-1&lt;=Ferien!$C$5, Ferien!$B$5+ROW(B87)-1, "")</f>
        <v/>
      </c>
      <c r="D89" s="1" t="str">
        <f>IF(Ferien!$B$6+ROW(B87)-1&lt;=Ferien!$C$6, Ferien!$B$6+ROW(B87)-1, "")</f>
        <v/>
      </c>
      <c r="E89" s="1" t="str">
        <f>IF(Ferien!$B$7+ROW(B87)-1&lt;=Ferien!$C$7, Ferien!$B$7+ROW(B87)-1, "")</f>
        <v/>
      </c>
      <c r="F89" s="1" t="str">
        <f>IF(Ferien!$B$8+ROW(B87)-1&lt;=Ferien!$C$8, Ferien!$B$8+ROW(B87)-1, "")</f>
        <v/>
      </c>
      <c r="G89" s="1" t="str">
        <f>IF(Ferien!$B$9+ROW(B87)-1&lt;=Ferien!$C$9, Ferien!$B$9+ROW(B87)-1, "")</f>
        <v/>
      </c>
      <c r="H89" s="1" t="str">
        <f>IF(Ferien!$B$10+ROW(B87)-1&lt;=Ferien!$C$10, Ferien!$B$10+ROW(B87)-1, "")</f>
        <v/>
      </c>
      <c r="I89" s="1" t="str">
        <f>IF(Ferien!$B$11+ROW(B87)-1&lt;=Ferien!$C$11, Ferien!$B$11+ROW(B87)-1, "")</f>
        <v/>
      </c>
      <c r="J89" s="1" t="str">
        <f>IF(Ferien!$B$12+ROW(B87)-1&lt;=Ferien!$C$12, Ferien!$B$12+ROW(B87)-1, "")</f>
        <v/>
      </c>
      <c r="K89" s="1" t="str">
        <f>IF(Ferien!$B$13+ROW(B87)-1&lt;=Ferien!$C$13, Ferien!$B$13+ROW(B87)-1, "")</f>
        <v/>
      </c>
      <c r="L89" s="1" t="str">
        <f>IF(Ferien!$B$14+ROW(B87)-1&lt;=Ferien!$C$14, Ferien!$B$14+ROW(B87)-1, "")</f>
        <v/>
      </c>
      <c r="M89" s="1" t="str">
        <f>IF(Ferien!$B$15+ROW(B87)-1&lt;=Ferien!$C$15, Ferien!$B$15+ROW(B87)-1, "")</f>
        <v/>
      </c>
      <c r="N89" s="1" t="str">
        <f>IF(Ferien!$B$16+ROW(B87)-1&lt;=Ferien!$C$16, Ferien!$B$16+ROW(B87)-1, "")</f>
        <v/>
      </c>
      <c r="O89" s="1" t="str">
        <f>IF(Ferien!$B$17+ROW(B87)-1&lt;=Ferien!$C$17, Ferien!$B$17+ROW(B87)-1, "")</f>
        <v/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3">
      <c r="A90" s="1" t="str">
        <f>IF(Ferien!$B$3+ROW(A88)-1&lt;=Ferien!$C$3, Ferien!$B$3+ROW(A88)-1, "")</f>
        <v/>
      </c>
      <c r="B90" s="1" t="str">
        <f>IF(Ferien!$B$4+ROW(B88)-1&lt;=Ferien!$C$4, Ferien!$B$4+ROW(B88)-1, "")</f>
        <v/>
      </c>
      <c r="C90" s="1" t="str">
        <f>IF(Ferien!$B$5+ROW(B88)-1&lt;=Ferien!$C$5, Ferien!$B$5+ROW(B88)-1, "")</f>
        <v/>
      </c>
      <c r="D90" s="1" t="str">
        <f>IF(Ferien!$B$6+ROW(B88)-1&lt;=Ferien!$C$6, Ferien!$B$6+ROW(B88)-1, "")</f>
        <v/>
      </c>
      <c r="E90" s="1" t="str">
        <f>IF(Ferien!$B$7+ROW(B88)-1&lt;=Ferien!$C$7, Ferien!$B$7+ROW(B88)-1, "")</f>
        <v/>
      </c>
      <c r="F90" s="1" t="str">
        <f>IF(Ferien!$B$8+ROW(B88)-1&lt;=Ferien!$C$8, Ferien!$B$8+ROW(B88)-1, "")</f>
        <v/>
      </c>
      <c r="G90" s="1" t="str">
        <f>IF(Ferien!$B$9+ROW(B88)-1&lt;=Ferien!$C$9, Ferien!$B$9+ROW(B88)-1, "")</f>
        <v/>
      </c>
      <c r="H90" s="1" t="str">
        <f>IF(Ferien!$B$10+ROW(B88)-1&lt;=Ferien!$C$10, Ferien!$B$10+ROW(B88)-1, "")</f>
        <v/>
      </c>
      <c r="I90" s="1" t="str">
        <f>IF(Ferien!$B$11+ROW(B88)-1&lt;=Ferien!$C$11, Ferien!$B$11+ROW(B88)-1, "")</f>
        <v/>
      </c>
      <c r="J90" s="1" t="str">
        <f>IF(Ferien!$B$12+ROW(B88)-1&lt;=Ferien!$C$12, Ferien!$B$12+ROW(B88)-1, "")</f>
        <v/>
      </c>
      <c r="K90" s="1" t="str">
        <f>IF(Ferien!$B$13+ROW(B88)-1&lt;=Ferien!$C$13, Ferien!$B$13+ROW(B88)-1, "")</f>
        <v/>
      </c>
      <c r="L90" s="1" t="str">
        <f>IF(Ferien!$B$14+ROW(B88)-1&lt;=Ferien!$C$14, Ferien!$B$14+ROW(B88)-1, "")</f>
        <v/>
      </c>
      <c r="M90" s="1" t="str">
        <f>IF(Ferien!$B$15+ROW(B88)-1&lt;=Ferien!$C$15, Ferien!$B$15+ROW(B88)-1, "")</f>
        <v/>
      </c>
      <c r="N90" s="1" t="str">
        <f>IF(Ferien!$B$16+ROW(B88)-1&lt;=Ferien!$C$16, Ferien!$B$16+ROW(B88)-1, "")</f>
        <v/>
      </c>
      <c r="O90" s="1" t="str">
        <f>IF(Ferien!$B$17+ROW(B88)-1&lt;=Ferien!$C$17, Ferien!$B$17+ROW(B88)-1, "")</f>
        <v/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3">
      <c r="A91" s="1" t="str">
        <f>IF(Ferien!$B$3+ROW(A89)-1&lt;=Ferien!$C$3, Ferien!$B$3+ROW(A89)-1, "")</f>
        <v/>
      </c>
      <c r="B91" s="1" t="str">
        <f>IF(Ferien!$B$4+ROW(B89)-1&lt;=Ferien!$C$4, Ferien!$B$4+ROW(B89)-1, "")</f>
        <v/>
      </c>
      <c r="C91" s="1" t="str">
        <f>IF(Ferien!$B$5+ROW(B89)-1&lt;=Ferien!$C$5, Ferien!$B$5+ROW(B89)-1, "")</f>
        <v/>
      </c>
      <c r="D91" s="1" t="str">
        <f>IF(Ferien!$B$6+ROW(B89)-1&lt;=Ferien!$C$6, Ferien!$B$6+ROW(B89)-1, "")</f>
        <v/>
      </c>
      <c r="E91" s="1" t="str">
        <f>IF(Ferien!$B$7+ROW(B89)-1&lt;=Ferien!$C$7, Ferien!$B$7+ROW(B89)-1, "")</f>
        <v/>
      </c>
      <c r="F91" s="1" t="str">
        <f>IF(Ferien!$B$8+ROW(B89)-1&lt;=Ferien!$C$8, Ferien!$B$8+ROW(B89)-1, "")</f>
        <v/>
      </c>
      <c r="G91" s="1" t="str">
        <f>IF(Ferien!$B$9+ROW(B89)-1&lt;=Ferien!$C$9, Ferien!$B$9+ROW(B89)-1, "")</f>
        <v/>
      </c>
      <c r="H91" s="1" t="str">
        <f>IF(Ferien!$B$10+ROW(B89)-1&lt;=Ferien!$C$10, Ferien!$B$10+ROW(B89)-1, "")</f>
        <v/>
      </c>
      <c r="I91" s="1" t="str">
        <f>IF(Ferien!$B$11+ROW(B89)-1&lt;=Ferien!$C$11, Ferien!$B$11+ROW(B89)-1, "")</f>
        <v/>
      </c>
      <c r="J91" s="1" t="str">
        <f>IF(Ferien!$B$12+ROW(B89)-1&lt;=Ferien!$C$12, Ferien!$B$12+ROW(B89)-1, "")</f>
        <v/>
      </c>
      <c r="K91" s="1" t="str">
        <f>IF(Ferien!$B$13+ROW(B89)-1&lt;=Ferien!$C$13, Ferien!$B$13+ROW(B89)-1, "")</f>
        <v/>
      </c>
      <c r="L91" s="1" t="str">
        <f>IF(Ferien!$B$14+ROW(B89)-1&lt;=Ferien!$C$14, Ferien!$B$14+ROW(B89)-1, "")</f>
        <v/>
      </c>
      <c r="M91" s="1" t="str">
        <f>IF(Ferien!$B$15+ROW(B89)-1&lt;=Ferien!$C$15, Ferien!$B$15+ROW(B89)-1, "")</f>
        <v/>
      </c>
      <c r="N91" s="1" t="str">
        <f>IF(Ferien!$B$16+ROW(B89)-1&lt;=Ferien!$C$16, Ferien!$B$16+ROW(B89)-1, "")</f>
        <v/>
      </c>
      <c r="O91" s="1" t="str">
        <f>IF(Ferien!$B$17+ROW(B89)-1&lt;=Ferien!$C$17, Ferien!$B$17+ROW(B89)-1, "")</f>
        <v/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3">
      <c r="A92" s="1" t="str">
        <f>IF(Ferien!$B$3+ROW(A90)-1&lt;=Ferien!$C$3, Ferien!$B$3+ROW(A90)-1, "")</f>
        <v/>
      </c>
      <c r="B92" s="1" t="str">
        <f>IF(Ferien!$B$4+ROW(B90)-1&lt;=Ferien!$C$4, Ferien!$B$4+ROW(B90)-1, "")</f>
        <v/>
      </c>
      <c r="C92" s="1" t="str">
        <f>IF(Ferien!$B$5+ROW(B90)-1&lt;=Ferien!$C$5, Ferien!$B$5+ROW(B90)-1, "")</f>
        <v/>
      </c>
      <c r="D92" s="1" t="str">
        <f>IF(Ferien!$B$6+ROW(B90)-1&lt;=Ferien!$C$6, Ferien!$B$6+ROW(B90)-1, "")</f>
        <v/>
      </c>
      <c r="E92" s="1" t="str">
        <f>IF(Ferien!$B$7+ROW(B90)-1&lt;=Ferien!$C$7, Ferien!$B$7+ROW(B90)-1, "")</f>
        <v/>
      </c>
      <c r="F92" s="1" t="str">
        <f>IF(Ferien!$B$8+ROW(B90)-1&lt;=Ferien!$C$8, Ferien!$B$8+ROW(B90)-1, "")</f>
        <v/>
      </c>
      <c r="G92" s="1" t="str">
        <f>IF(Ferien!$B$9+ROW(B90)-1&lt;=Ferien!$C$9, Ferien!$B$9+ROW(B90)-1, "")</f>
        <v/>
      </c>
      <c r="H92" s="1" t="str">
        <f>IF(Ferien!$B$10+ROW(B90)-1&lt;=Ferien!$C$10, Ferien!$B$10+ROW(B90)-1, "")</f>
        <v/>
      </c>
      <c r="I92" s="1" t="str">
        <f>IF(Ferien!$B$11+ROW(B90)-1&lt;=Ferien!$C$11, Ferien!$B$11+ROW(B90)-1, "")</f>
        <v/>
      </c>
      <c r="J92" s="1" t="str">
        <f>IF(Ferien!$B$12+ROW(B90)-1&lt;=Ferien!$C$12, Ferien!$B$12+ROW(B90)-1, "")</f>
        <v/>
      </c>
      <c r="K92" s="1" t="str">
        <f>IF(Ferien!$B$13+ROW(B90)-1&lt;=Ferien!$C$13, Ferien!$B$13+ROW(B90)-1, "")</f>
        <v/>
      </c>
      <c r="L92" s="1" t="str">
        <f>IF(Ferien!$B$14+ROW(B90)-1&lt;=Ferien!$C$14, Ferien!$B$14+ROW(B90)-1, "")</f>
        <v/>
      </c>
      <c r="M92" s="1" t="str">
        <f>IF(Ferien!$B$15+ROW(B90)-1&lt;=Ferien!$C$15, Ferien!$B$15+ROW(B90)-1, "")</f>
        <v/>
      </c>
      <c r="N92" s="1" t="str">
        <f>IF(Ferien!$B$16+ROW(B90)-1&lt;=Ferien!$C$16, Ferien!$B$16+ROW(B90)-1, "")</f>
        <v/>
      </c>
      <c r="O92" s="1" t="str">
        <f>IF(Ferien!$B$17+ROW(B90)-1&lt;=Ferien!$C$17, Ferien!$B$17+ROW(B90)-1, "")</f>
        <v/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3">
      <c r="A93" s="1" t="str">
        <f>IF(Ferien!$B$3+ROW(A91)-1&lt;=Ferien!$C$3, Ferien!$B$3+ROW(A91)-1, "")</f>
        <v/>
      </c>
      <c r="B93" s="1" t="str">
        <f>IF(Ferien!$B$4+ROW(B91)-1&lt;=Ferien!$C$4, Ferien!$B$4+ROW(B91)-1, "")</f>
        <v/>
      </c>
      <c r="C93" s="1" t="str">
        <f>IF(Ferien!$B$5+ROW(B91)-1&lt;=Ferien!$C$5, Ferien!$B$5+ROW(B91)-1, "")</f>
        <v/>
      </c>
      <c r="D93" s="1" t="str">
        <f>IF(Ferien!$B$6+ROW(B91)-1&lt;=Ferien!$C$6, Ferien!$B$6+ROW(B91)-1, "")</f>
        <v/>
      </c>
      <c r="E93" s="1" t="str">
        <f>IF(Ferien!$B$7+ROW(B91)-1&lt;=Ferien!$C$7, Ferien!$B$7+ROW(B91)-1, "")</f>
        <v/>
      </c>
      <c r="F93" s="1" t="str">
        <f>IF(Ferien!$B$8+ROW(B91)-1&lt;=Ferien!$C$8, Ferien!$B$8+ROW(B91)-1, "")</f>
        <v/>
      </c>
      <c r="G93" s="1" t="str">
        <f>IF(Ferien!$B$9+ROW(B91)-1&lt;=Ferien!$C$9, Ferien!$B$9+ROW(B91)-1, "")</f>
        <v/>
      </c>
      <c r="H93" s="1" t="str">
        <f>IF(Ferien!$B$10+ROW(B91)-1&lt;=Ferien!$C$10, Ferien!$B$10+ROW(B91)-1, "")</f>
        <v/>
      </c>
      <c r="I93" s="1" t="str">
        <f>IF(Ferien!$B$11+ROW(B91)-1&lt;=Ferien!$C$11, Ferien!$B$11+ROW(B91)-1, "")</f>
        <v/>
      </c>
      <c r="J93" s="1" t="str">
        <f>IF(Ferien!$B$12+ROW(B91)-1&lt;=Ferien!$C$12, Ferien!$B$12+ROW(B91)-1, "")</f>
        <v/>
      </c>
      <c r="K93" s="1" t="str">
        <f>IF(Ferien!$B$13+ROW(B91)-1&lt;=Ferien!$C$13, Ferien!$B$13+ROW(B91)-1, "")</f>
        <v/>
      </c>
      <c r="L93" s="1" t="str">
        <f>IF(Ferien!$B$14+ROW(B91)-1&lt;=Ferien!$C$14, Ferien!$B$14+ROW(B91)-1, "")</f>
        <v/>
      </c>
      <c r="M93" s="1" t="str">
        <f>IF(Ferien!$B$15+ROW(B91)-1&lt;=Ferien!$C$15, Ferien!$B$15+ROW(B91)-1, "")</f>
        <v/>
      </c>
      <c r="N93" s="1" t="str">
        <f>IF(Ferien!$B$16+ROW(B91)-1&lt;=Ferien!$C$16, Ferien!$B$16+ROW(B91)-1, "")</f>
        <v/>
      </c>
      <c r="O93" s="1" t="str">
        <f>IF(Ferien!$B$17+ROW(B91)-1&lt;=Ferien!$C$17, Ferien!$B$17+ROW(B91)-1, "")</f>
        <v/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3">
      <c r="A94" s="1" t="str">
        <f>IF(Ferien!$B$3+ROW(A92)-1&lt;=Ferien!$C$3, Ferien!$B$3+ROW(A92)-1, "")</f>
        <v/>
      </c>
      <c r="B94" s="1" t="str">
        <f>IF(Ferien!$B$4+ROW(B92)-1&lt;=Ferien!$C$4, Ferien!$B$4+ROW(B92)-1, "")</f>
        <v/>
      </c>
      <c r="C94" s="1" t="str">
        <f>IF(Ferien!$B$5+ROW(B92)-1&lt;=Ferien!$C$5, Ferien!$B$5+ROW(B92)-1, "")</f>
        <v/>
      </c>
      <c r="D94" s="1" t="str">
        <f>IF(Ferien!$B$6+ROW(B92)-1&lt;=Ferien!$C$6, Ferien!$B$6+ROW(B92)-1, "")</f>
        <v/>
      </c>
      <c r="E94" s="1" t="str">
        <f>IF(Ferien!$B$7+ROW(B92)-1&lt;=Ferien!$C$7, Ferien!$B$7+ROW(B92)-1, "")</f>
        <v/>
      </c>
      <c r="F94" s="1" t="str">
        <f>IF(Ferien!$B$8+ROW(B92)-1&lt;=Ferien!$C$8, Ferien!$B$8+ROW(B92)-1, "")</f>
        <v/>
      </c>
      <c r="G94" s="1" t="str">
        <f>IF(Ferien!$B$9+ROW(B92)-1&lt;=Ferien!$C$9, Ferien!$B$9+ROW(B92)-1, "")</f>
        <v/>
      </c>
      <c r="H94" s="1" t="str">
        <f>IF(Ferien!$B$10+ROW(B92)-1&lt;=Ferien!$C$10, Ferien!$B$10+ROW(B92)-1, "")</f>
        <v/>
      </c>
      <c r="I94" s="1" t="str">
        <f>IF(Ferien!$B$11+ROW(B92)-1&lt;=Ferien!$C$11, Ferien!$B$11+ROW(B92)-1, "")</f>
        <v/>
      </c>
      <c r="J94" s="1" t="str">
        <f>IF(Ferien!$B$12+ROW(B92)-1&lt;=Ferien!$C$12, Ferien!$B$12+ROW(B92)-1, "")</f>
        <v/>
      </c>
      <c r="K94" s="1" t="str">
        <f>IF(Ferien!$B$13+ROW(B92)-1&lt;=Ferien!$C$13, Ferien!$B$13+ROW(B92)-1, "")</f>
        <v/>
      </c>
      <c r="L94" s="1" t="str">
        <f>IF(Ferien!$B$14+ROW(B92)-1&lt;=Ferien!$C$14, Ferien!$B$14+ROW(B92)-1, "")</f>
        <v/>
      </c>
      <c r="M94" s="1" t="str">
        <f>IF(Ferien!$B$15+ROW(B92)-1&lt;=Ferien!$C$15, Ferien!$B$15+ROW(B92)-1, "")</f>
        <v/>
      </c>
      <c r="N94" s="1" t="str">
        <f>IF(Ferien!$B$16+ROW(B92)-1&lt;=Ferien!$C$16, Ferien!$B$16+ROW(B92)-1, "")</f>
        <v/>
      </c>
      <c r="O94" s="1" t="str">
        <f>IF(Ferien!$B$17+ROW(B92)-1&lt;=Ferien!$C$17, Ferien!$B$17+ROW(B92)-1, "")</f>
        <v/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3">
      <c r="A95" s="1" t="str">
        <f>IF(Ferien!$B$3+ROW(A93)-1&lt;=Ferien!$C$3, Ferien!$B$3+ROW(A93)-1, "")</f>
        <v/>
      </c>
      <c r="B95" s="1" t="str">
        <f>IF(Ferien!$B$4+ROW(B93)-1&lt;=Ferien!$C$4, Ferien!$B$4+ROW(B93)-1, "")</f>
        <v/>
      </c>
      <c r="C95" s="1" t="str">
        <f>IF(Ferien!$B$5+ROW(B93)-1&lt;=Ferien!$C$5, Ferien!$B$5+ROW(B93)-1, "")</f>
        <v/>
      </c>
      <c r="D95" s="1" t="str">
        <f>IF(Ferien!$B$6+ROW(B93)-1&lt;=Ferien!$C$6, Ferien!$B$6+ROW(B93)-1, "")</f>
        <v/>
      </c>
      <c r="E95" s="1" t="str">
        <f>IF(Ferien!$B$7+ROW(B93)-1&lt;=Ferien!$C$7, Ferien!$B$7+ROW(B93)-1, "")</f>
        <v/>
      </c>
      <c r="F95" s="1" t="str">
        <f>IF(Ferien!$B$8+ROW(B93)-1&lt;=Ferien!$C$8, Ferien!$B$8+ROW(B93)-1, "")</f>
        <v/>
      </c>
      <c r="G95" s="1" t="str">
        <f>IF(Ferien!$B$9+ROW(B93)-1&lt;=Ferien!$C$9, Ferien!$B$9+ROW(B93)-1, "")</f>
        <v/>
      </c>
      <c r="H95" s="1" t="str">
        <f>IF(Ferien!$B$10+ROW(B93)-1&lt;=Ferien!$C$10, Ferien!$B$10+ROW(B93)-1, "")</f>
        <v/>
      </c>
      <c r="I95" s="1" t="str">
        <f>IF(Ferien!$B$11+ROW(B93)-1&lt;=Ferien!$C$11, Ferien!$B$11+ROW(B93)-1, "")</f>
        <v/>
      </c>
      <c r="J95" s="1" t="str">
        <f>IF(Ferien!$B$12+ROW(B93)-1&lt;=Ferien!$C$12, Ferien!$B$12+ROW(B93)-1, "")</f>
        <v/>
      </c>
      <c r="K95" s="1" t="str">
        <f>IF(Ferien!$B$13+ROW(B93)-1&lt;=Ferien!$C$13, Ferien!$B$13+ROW(B93)-1, "")</f>
        <v/>
      </c>
      <c r="L95" s="1" t="str">
        <f>IF(Ferien!$B$14+ROW(B93)-1&lt;=Ferien!$C$14, Ferien!$B$14+ROW(B93)-1, "")</f>
        <v/>
      </c>
      <c r="M95" s="1" t="str">
        <f>IF(Ferien!$B$15+ROW(B93)-1&lt;=Ferien!$C$15, Ferien!$B$15+ROW(B93)-1, "")</f>
        <v/>
      </c>
      <c r="N95" s="1" t="str">
        <f>IF(Ferien!$B$16+ROW(B93)-1&lt;=Ferien!$C$16, Ferien!$B$16+ROW(B93)-1, "")</f>
        <v/>
      </c>
      <c r="O95" s="1" t="str">
        <f>IF(Ferien!$B$17+ROW(B93)-1&lt;=Ferien!$C$17, Ferien!$B$17+ROW(B93)-1, "")</f>
        <v/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3">
      <c r="A96" s="1" t="str">
        <f>IF(Ferien!$B$3+ROW(A94)-1&lt;=Ferien!$C$3, Ferien!$B$3+ROW(A94)-1, "")</f>
        <v/>
      </c>
      <c r="B96" s="1" t="str">
        <f>IF(Ferien!$B$4+ROW(B94)-1&lt;=Ferien!$C$4, Ferien!$B$4+ROW(B94)-1, "")</f>
        <v/>
      </c>
      <c r="C96" s="1" t="str">
        <f>IF(Ferien!$B$5+ROW(B94)-1&lt;=Ferien!$C$5, Ferien!$B$5+ROW(B94)-1, "")</f>
        <v/>
      </c>
      <c r="D96" s="1" t="str">
        <f>IF(Ferien!$B$6+ROW(B94)-1&lt;=Ferien!$C$6, Ferien!$B$6+ROW(B94)-1, "")</f>
        <v/>
      </c>
      <c r="E96" s="1" t="str">
        <f>IF(Ferien!$B$7+ROW(B94)-1&lt;=Ferien!$C$7, Ferien!$B$7+ROW(B94)-1, "")</f>
        <v/>
      </c>
      <c r="F96" s="1" t="str">
        <f>IF(Ferien!$B$8+ROW(B94)-1&lt;=Ferien!$C$8, Ferien!$B$8+ROW(B94)-1, "")</f>
        <v/>
      </c>
      <c r="G96" s="1" t="str">
        <f>IF(Ferien!$B$9+ROW(B94)-1&lt;=Ferien!$C$9, Ferien!$B$9+ROW(B94)-1, "")</f>
        <v/>
      </c>
      <c r="H96" s="1" t="str">
        <f>IF(Ferien!$B$10+ROW(B94)-1&lt;=Ferien!$C$10, Ferien!$B$10+ROW(B94)-1, "")</f>
        <v/>
      </c>
      <c r="I96" s="1" t="str">
        <f>IF(Ferien!$B$11+ROW(B94)-1&lt;=Ferien!$C$11, Ferien!$B$11+ROW(B94)-1, "")</f>
        <v/>
      </c>
      <c r="J96" s="1" t="str">
        <f>IF(Ferien!$B$12+ROW(B94)-1&lt;=Ferien!$C$12, Ferien!$B$12+ROW(B94)-1, "")</f>
        <v/>
      </c>
      <c r="K96" s="1" t="str">
        <f>IF(Ferien!$B$13+ROW(B94)-1&lt;=Ferien!$C$13, Ferien!$B$13+ROW(B94)-1, "")</f>
        <v/>
      </c>
      <c r="L96" s="1" t="str">
        <f>IF(Ferien!$B$14+ROW(B94)-1&lt;=Ferien!$C$14, Ferien!$B$14+ROW(B94)-1, "")</f>
        <v/>
      </c>
      <c r="M96" s="1" t="str">
        <f>IF(Ferien!$B$15+ROW(B94)-1&lt;=Ferien!$C$15, Ferien!$B$15+ROW(B94)-1, "")</f>
        <v/>
      </c>
      <c r="N96" s="1" t="str">
        <f>IF(Ferien!$B$16+ROW(B94)-1&lt;=Ferien!$C$16, Ferien!$B$16+ROW(B94)-1, "")</f>
        <v/>
      </c>
      <c r="O96" s="1" t="str">
        <f>IF(Ferien!$B$17+ROW(B94)-1&lt;=Ferien!$C$17, Ferien!$B$17+ROW(B94)-1, "")</f>
        <v/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3">
      <c r="A97" s="1" t="str">
        <f>IF(Ferien!$B$3+ROW(A95)-1&lt;=Ferien!$C$3, Ferien!$B$3+ROW(A95)-1, "")</f>
        <v/>
      </c>
      <c r="B97" s="1" t="str">
        <f>IF(Ferien!$B$4+ROW(B95)-1&lt;=Ferien!$C$4, Ferien!$B$4+ROW(B95)-1, "")</f>
        <v/>
      </c>
      <c r="C97" s="1" t="str">
        <f>IF(Ferien!$B$5+ROW(B95)-1&lt;=Ferien!$C$5, Ferien!$B$5+ROW(B95)-1, "")</f>
        <v/>
      </c>
      <c r="D97" s="1" t="str">
        <f>IF(Ferien!$B$6+ROW(B95)-1&lt;=Ferien!$C$6, Ferien!$B$6+ROW(B95)-1, "")</f>
        <v/>
      </c>
      <c r="E97" s="1" t="str">
        <f>IF(Ferien!$B$7+ROW(B95)-1&lt;=Ferien!$C$7, Ferien!$B$7+ROW(B95)-1, "")</f>
        <v/>
      </c>
      <c r="F97" s="1" t="str">
        <f>IF(Ferien!$B$8+ROW(B95)-1&lt;=Ferien!$C$8, Ferien!$B$8+ROW(B95)-1, "")</f>
        <v/>
      </c>
      <c r="G97" s="1" t="str">
        <f>IF(Ferien!$B$9+ROW(B95)-1&lt;=Ferien!$C$9, Ferien!$B$9+ROW(B95)-1, "")</f>
        <v/>
      </c>
      <c r="H97" s="1" t="str">
        <f>IF(Ferien!$B$10+ROW(B95)-1&lt;=Ferien!$C$10, Ferien!$B$10+ROW(B95)-1, "")</f>
        <v/>
      </c>
      <c r="I97" s="1" t="str">
        <f>IF(Ferien!$B$11+ROW(B95)-1&lt;=Ferien!$C$11, Ferien!$B$11+ROW(B95)-1, "")</f>
        <v/>
      </c>
      <c r="J97" s="1" t="str">
        <f>IF(Ferien!$B$12+ROW(B95)-1&lt;=Ferien!$C$12, Ferien!$B$12+ROW(B95)-1, "")</f>
        <v/>
      </c>
      <c r="K97" s="1" t="str">
        <f>IF(Ferien!$B$13+ROW(B95)-1&lt;=Ferien!$C$13, Ferien!$B$13+ROW(B95)-1, "")</f>
        <v/>
      </c>
      <c r="L97" s="1" t="str">
        <f>IF(Ferien!$B$14+ROW(B95)-1&lt;=Ferien!$C$14, Ferien!$B$14+ROW(B95)-1, "")</f>
        <v/>
      </c>
      <c r="M97" s="1" t="str">
        <f>IF(Ferien!$B$15+ROW(B95)-1&lt;=Ferien!$C$15, Ferien!$B$15+ROW(B95)-1, "")</f>
        <v/>
      </c>
      <c r="N97" s="1" t="str">
        <f>IF(Ferien!$B$16+ROW(B95)-1&lt;=Ferien!$C$16, Ferien!$B$16+ROW(B95)-1, "")</f>
        <v/>
      </c>
      <c r="O97" s="1" t="str">
        <f>IF(Ferien!$B$17+ROW(B95)-1&lt;=Ferien!$C$17, Ferien!$B$17+ROW(B95)-1, "")</f>
        <v/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3">
      <c r="A98" s="1" t="str">
        <f>IF(Ferien!$B$3+ROW(A96)-1&lt;=Ferien!$C$3, Ferien!$B$3+ROW(A96)-1, "")</f>
        <v/>
      </c>
      <c r="B98" s="1" t="str">
        <f>IF(Ferien!$B$4+ROW(B96)-1&lt;=Ferien!$C$4, Ferien!$B$4+ROW(B96)-1, "")</f>
        <v/>
      </c>
      <c r="C98" s="1" t="str">
        <f>IF(Ferien!$B$5+ROW(B96)-1&lt;=Ferien!$C$5, Ferien!$B$5+ROW(B96)-1, "")</f>
        <v/>
      </c>
      <c r="D98" s="1" t="str">
        <f>IF(Ferien!$B$6+ROW(B96)-1&lt;=Ferien!$C$6, Ferien!$B$6+ROW(B96)-1, "")</f>
        <v/>
      </c>
      <c r="E98" s="1" t="str">
        <f>IF(Ferien!$B$7+ROW(B96)-1&lt;=Ferien!$C$7, Ferien!$B$7+ROW(B96)-1, "")</f>
        <v/>
      </c>
      <c r="F98" s="1" t="str">
        <f>IF(Ferien!$B$8+ROW(B96)-1&lt;=Ferien!$C$8, Ferien!$B$8+ROW(B96)-1, "")</f>
        <v/>
      </c>
      <c r="G98" s="1" t="str">
        <f>IF(Ferien!$B$9+ROW(B96)-1&lt;=Ferien!$C$9, Ferien!$B$9+ROW(B96)-1, "")</f>
        <v/>
      </c>
      <c r="H98" s="1" t="str">
        <f>IF(Ferien!$B$10+ROW(B96)-1&lt;=Ferien!$C$10, Ferien!$B$10+ROW(B96)-1, "")</f>
        <v/>
      </c>
      <c r="I98" s="1" t="str">
        <f>IF(Ferien!$B$11+ROW(B96)-1&lt;=Ferien!$C$11, Ferien!$B$11+ROW(B96)-1, "")</f>
        <v/>
      </c>
      <c r="J98" s="1" t="str">
        <f>IF(Ferien!$B$12+ROW(B96)-1&lt;=Ferien!$C$12, Ferien!$B$12+ROW(B96)-1, "")</f>
        <v/>
      </c>
      <c r="K98" s="1" t="str">
        <f>IF(Ferien!$B$13+ROW(B96)-1&lt;=Ferien!$C$13, Ferien!$B$13+ROW(B96)-1, "")</f>
        <v/>
      </c>
      <c r="L98" s="1" t="str">
        <f>IF(Ferien!$B$14+ROW(B96)-1&lt;=Ferien!$C$14, Ferien!$B$14+ROW(B96)-1, "")</f>
        <v/>
      </c>
      <c r="M98" s="1" t="str">
        <f>IF(Ferien!$B$15+ROW(B96)-1&lt;=Ferien!$C$15, Ferien!$B$15+ROW(B96)-1, "")</f>
        <v/>
      </c>
      <c r="N98" s="1" t="str">
        <f>IF(Ferien!$B$16+ROW(B96)-1&lt;=Ferien!$C$16, Ferien!$B$16+ROW(B96)-1, "")</f>
        <v/>
      </c>
      <c r="O98" s="1" t="str">
        <f>IF(Ferien!$B$17+ROW(B96)-1&lt;=Ferien!$C$17, Ferien!$B$17+ROW(B96)-1, "")</f>
        <v/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3">
      <c r="A99" s="1" t="str">
        <f>IF(Ferien!$B$3+ROW(A97)-1&lt;=Ferien!$C$3, Ferien!$B$3+ROW(A97)-1, "")</f>
        <v/>
      </c>
      <c r="B99" s="1" t="str">
        <f>IF(Ferien!$B$4+ROW(B97)-1&lt;=Ferien!$C$4, Ferien!$B$4+ROW(B97)-1, "")</f>
        <v/>
      </c>
      <c r="C99" s="1" t="str">
        <f>IF(Ferien!$B$5+ROW(B97)-1&lt;=Ferien!$C$5, Ferien!$B$5+ROW(B97)-1, "")</f>
        <v/>
      </c>
      <c r="D99" s="1" t="str">
        <f>IF(Ferien!$B$6+ROW(B97)-1&lt;=Ferien!$C$6, Ferien!$B$6+ROW(B97)-1, "")</f>
        <v/>
      </c>
      <c r="E99" s="1" t="str">
        <f>IF(Ferien!$B$7+ROW(B97)-1&lt;=Ferien!$C$7, Ferien!$B$7+ROW(B97)-1, "")</f>
        <v/>
      </c>
      <c r="F99" s="1" t="str">
        <f>IF(Ferien!$B$8+ROW(B97)-1&lt;=Ferien!$C$8, Ferien!$B$8+ROW(B97)-1, "")</f>
        <v/>
      </c>
      <c r="G99" s="1" t="str">
        <f>IF(Ferien!$B$9+ROW(B97)-1&lt;=Ferien!$C$9, Ferien!$B$9+ROW(B97)-1, "")</f>
        <v/>
      </c>
      <c r="H99" s="1" t="str">
        <f>IF(Ferien!$B$10+ROW(B97)-1&lt;=Ferien!$C$10, Ferien!$B$10+ROW(B97)-1, "")</f>
        <v/>
      </c>
      <c r="I99" s="1" t="str">
        <f>IF(Ferien!$B$11+ROW(B97)-1&lt;=Ferien!$C$11, Ferien!$B$11+ROW(B97)-1, "")</f>
        <v/>
      </c>
      <c r="J99" s="1" t="str">
        <f>IF(Ferien!$B$12+ROW(B97)-1&lt;=Ferien!$C$12, Ferien!$B$12+ROW(B97)-1, "")</f>
        <v/>
      </c>
      <c r="K99" s="1" t="str">
        <f>IF(Ferien!$B$13+ROW(B97)-1&lt;=Ferien!$C$13, Ferien!$B$13+ROW(B97)-1, "")</f>
        <v/>
      </c>
      <c r="L99" s="1" t="str">
        <f>IF(Ferien!$B$14+ROW(B97)-1&lt;=Ferien!$C$14, Ferien!$B$14+ROW(B97)-1, "")</f>
        <v/>
      </c>
      <c r="M99" s="1" t="str">
        <f>IF(Ferien!$B$15+ROW(B97)-1&lt;=Ferien!$C$15, Ferien!$B$15+ROW(B97)-1, "")</f>
        <v/>
      </c>
      <c r="N99" s="1" t="str">
        <f>IF(Ferien!$B$16+ROW(B97)-1&lt;=Ferien!$C$16, Ferien!$B$16+ROW(B97)-1, "")</f>
        <v/>
      </c>
      <c r="O99" s="1" t="str">
        <f>IF(Ferien!$B$17+ROW(B97)-1&lt;=Ferien!$C$17, Ferien!$B$17+ROW(B97)-1, "")</f>
        <v/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3">
      <c r="A100" s="1" t="str">
        <f>IF(Ferien!$B$3+ROW(A98)-1&lt;=Ferien!$C$3, Ferien!$B$3+ROW(A98)-1, "")</f>
        <v/>
      </c>
      <c r="B100" s="1" t="str">
        <f>IF(Ferien!$B$4+ROW(B98)-1&lt;=Ferien!$C$4, Ferien!$B$4+ROW(B98)-1, "")</f>
        <v/>
      </c>
      <c r="C100" s="1" t="str">
        <f>IF(Ferien!$B$5+ROW(B98)-1&lt;=Ferien!$C$5, Ferien!$B$5+ROW(B98)-1, "")</f>
        <v/>
      </c>
      <c r="D100" s="1" t="str">
        <f>IF(Ferien!$B$6+ROW(B98)-1&lt;=Ferien!$C$6, Ferien!$B$6+ROW(B98)-1, "")</f>
        <v/>
      </c>
      <c r="E100" s="1" t="str">
        <f>IF(Ferien!$B$7+ROW(B98)-1&lt;=Ferien!$C$7, Ferien!$B$7+ROW(B98)-1, "")</f>
        <v/>
      </c>
      <c r="F100" s="1" t="str">
        <f>IF(Ferien!$B$8+ROW(B98)-1&lt;=Ferien!$C$8, Ferien!$B$8+ROW(B98)-1, "")</f>
        <v/>
      </c>
      <c r="G100" s="1" t="str">
        <f>IF(Ferien!$B$9+ROW(B98)-1&lt;=Ferien!$C$9, Ferien!$B$9+ROW(B98)-1, "")</f>
        <v/>
      </c>
      <c r="H100" s="1" t="str">
        <f>IF(Ferien!$B$10+ROW(B98)-1&lt;=Ferien!$C$10, Ferien!$B$10+ROW(B98)-1, "")</f>
        <v/>
      </c>
      <c r="I100" s="1" t="str">
        <f>IF(Ferien!$B$11+ROW(B98)-1&lt;=Ferien!$C$11, Ferien!$B$11+ROW(B98)-1, "")</f>
        <v/>
      </c>
      <c r="J100" s="1" t="str">
        <f>IF(Ferien!$B$12+ROW(B98)-1&lt;=Ferien!$C$12, Ferien!$B$12+ROW(B98)-1, "")</f>
        <v/>
      </c>
      <c r="K100" s="1" t="str">
        <f>IF(Ferien!$B$13+ROW(B98)-1&lt;=Ferien!$C$13, Ferien!$B$13+ROW(B98)-1, "")</f>
        <v/>
      </c>
      <c r="L100" s="1" t="str">
        <f>IF(Ferien!$B$14+ROW(B98)-1&lt;=Ferien!$C$14, Ferien!$B$14+ROW(B98)-1, "")</f>
        <v/>
      </c>
      <c r="M100" s="1" t="str">
        <f>IF(Ferien!$B$15+ROW(B98)-1&lt;=Ferien!$C$15, Ferien!$B$15+ROW(B98)-1, "")</f>
        <v/>
      </c>
      <c r="N100" s="1" t="str">
        <f>IF(Ferien!$B$16+ROW(B98)-1&lt;=Ferien!$C$16, Ferien!$B$16+ROW(B98)-1, "")</f>
        <v/>
      </c>
      <c r="O100" s="1" t="str">
        <f>IF(Ferien!$B$17+ROW(B98)-1&lt;=Ferien!$C$17, Ferien!$B$17+ROW(B98)-1, "")</f>
        <v/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3">
      <c r="A101" s="1" t="str">
        <f>IF(Ferien!$B$3+ROW(A99)-1&lt;=Ferien!$C$3, Ferien!$B$3+ROW(A99)-1, "")</f>
        <v/>
      </c>
      <c r="B101" s="1" t="str">
        <f>IF(Ferien!$B$4+ROW(B99)-1&lt;=Ferien!$C$4, Ferien!$B$4+ROW(B99)-1, "")</f>
        <v/>
      </c>
      <c r="C101" s="1"/>
      <c r="D101" s="1" t="str">
        <f>IF(Ferien!$B$6+ROW(B99)-1&lt;=Ferien!$C$6, Ferien!$B$6+ROW(B99)-1, "")</f>
        <v/>
      </c>
      <c r="E101" s="1" t="str">
        <f>IF(Ferien!$B$7+ROW(B99)-1&lt;=Ferien!$C$7, Ferien!$B$7+ROW(B99)-1, "")</f>
        <v/>
      </c>
      <c r="F101" s="1" t="str">
        <f>IF(Ferien!$B$8+ROW(B99)-1&lt;=Ferien!$C$8, Ferien!$B$8+ROW(B99)-1, "")</f>
        <v/>
      </c>
      <c r="G101" s="1" t="str">
        <f>IF(Ferien!$B$9+ROW(B99)-1&lt;=Ferien!$C$9, Ferien!$B$9+ROW(B99)-1, "")</f>
        <v/>
      </c>
      <c r="H101" s="1" t="str">
        <f>IF(Ferien!$B$10+ROW(B99)-1&lt;=Ferien!$C$10, Ferien!$B$10+ROW(B99)-1, "")</f>
        <v/>
      </c>
      <c r="I101" s="1" t="str">
        <f>IF(Ferien!$B$11+ROW(B99)-1&lt;=Ferien!$C$11, Ferien!$B$11+ROW(B99)-1, "")</f>
        <v/>
      </c>
      <c r="J101" s="1" t="str">
        <f>IF(Ferien!$B$12+ROW(B99)-1&lt;=Ferien!$C$12, Ferien!$B$12+ROW(B99)-1, "")</f>
        <v/>
      </c>
      <c r="K101" s="1" t="str">
        <f>IF(Ferien!$B$13+ROW(B99)-1&lt;=Ferien!$C$13, Ferien!$B$13+ROW(B99)-1, "")</f>
        <v/>
      </c>
      <c r="L101" s="1" t="str">
        <f>IF(Ferien!$B$14+ROW(B99)-1&lt;=Ferien!$C$14, Ferien!$B$14+ROW(B99)-1, "")</f>
        <v/>
      </c>
      <c r="M101" s="1" t="str">
        <f>IF(Ferien!$B$15+ROW(B99)-1&lt;=Ferien!$C$15, Ferien!$B$15+ROW(B99)-1, "")</f>
        <v/>
      </c>
      <c r="N101" s="1" t="str">
        <f>IF(Ferien!$B$16+ROW(B99)-1&lt;=Ferien!$C$16, Ferien!$B$16+ROW(B99)-1, "")</f>
        <v/>
      </c>
      <c r="O101" s="1" t="str">
        <f>IF(Ferien!$B$17+ROW(B99)-1&lt;=Ferien!$C$17, Ferien!$B$17+ROW(B99)-1, "")</f>
        <v/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3">
      <c r="A102" s="1" t="str">
        <f>IF(Ferien!$B$3+ROW(A100)-1&lt;=Ferien!$C$3, Ferien!$B$3+ROW(A100)-1, "")</f>
        <v/>
      </c>
      <c r="B102" s="1" t="str">
        <f>IF(Ferien!$B$4+ROW(B100)-1&lt;=Ferien!$C$4, Ferien!$B$4+ROW(B100)-1, "")</f>
        <v/>
      </c>
      <c r="C102" s="1"/>
      <c r="D102" s="1" t="str">
        <f>IF(Ferien!$B$6+ROW(B100)-1&lt;=Ferien!$C$6, Ferien!$B$6+ROW(B100)-1, "")</f>
        <v/>
      </c>
      <c r="E102" s="1" t="str">
        <f>IF(Ferien!$B$7+ROW(B100)-1&lt;=Ferien!$C$7, Ferien!$B$7+ROW(B100)-1, "")</f>
        <v/>
      </c>
      <c r="F102" s="1" t="str">
        <f>IF(Ferien!$B$8+ROW(B100)-1&lt;=Ferien!$C$8, Ferien!$B$8+ROW(B100)-1, "")</f>
        <v/>
      </c>
      <c r="G102" s="1" t="str">
        <f>IF(Ferien!$B$9+ROW(B100)-1&lt;=Ferien!$C$9, Ferien!$B$9+ROW(B100)-1, "")</f>
        <v/>
      </c>
      <c r="H102" s="1" t="str">
        <f>IF(Ferien!$B$10+ROW(B100)-1&lt;=Ferien!$C$10, Ferien!$B$10+ROW(B100)-1, "")</f>
        <v/>
      </c>
      <c r="I102" s="1" t="str">
        <f>IF(Ferien!$B$11+ROW(B100)-1&lt;=Ferien!$C$11, Ferien!$B$11+ROW(B100)-1, "")</f>
        <v/>
      </c>
      <c r="J102" s="1" t="str">
        <f>IF(Ferien!$B$12+ROW(B100)-1&lt;=Ferien!$C$12, Ferien!$B$12+ROW(B100)-1, "")</f>
        <v/>
      </c>
      <c r="K102" s="1" t="str">
        <f>IF(Ferien!$B$13+ROW(B100)-1&lt;=Ferien!$C$13, Ferien!$B$13+ROW(B100)-1, "")</f>
        <v/>
      </c>
      <c r="L102" s="1" t="str">
        <f>IF(Ferien!$B$14+ROW(B100)-1&lt;=Ferien!$C$14, Ferien!$B$14+ROW(B100)-1, "")</f>
        <v/>
      </c>
      <c r="M102" s="1" t="str">
        <f>IF(Ferien!$B$15+ROW(B100)-1&lt;=Ferien!$C$15, Ferien!$B$15+ROW(B100)-1, "")</f>
        <v/>
      </c>
      <c r="N102" s="1" t="str">
        <f>IF(Ferien!$B$16+ROW(B100)-1&lt;=Ferien!$C$16, Ferien!$B$16+ROW(B100)-1, "")</f>
        <v/>
      </c>
      <c r="O102" s="1" t="str">
        <f>IF(Ferien!$B$17+ROW(B100)-1&lt;=Ferien!$C$17, Ferien!$B$17+ROW(B100)-1, "")</f>
        <v/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3">
      <c r="A103" s="1" t="str">
        <f>IF(Ferien!$B$3+ROW(A101)-1&lt;=Ferien!$C$3, Ferien!$B$3+ROW(A101)-1, "")</f>
        <v/>
      </c>
      <c r="B103" s="1" t="str">
        <f>IF(Ferien!$B$4+ROW(B101)-1&lt;=Ferien!$C$4, Ferien!$B$4+ROW(B101)-1, "")</f>
        <v/>
      </c>
      <c r="C103" s="1"/>
      <c r="D103" s="1" t="str">
        <f>IF(Ferien!$B$6+ROW(B101)-1&lt;=Ferien!$C$6, Ferien!$B$6+ROW(B101)-1, "")</f>
        <v/>
      </c>
      <c r="E103" s="1" t="str">
        <f>IF(Ferien!$B$7+ROW(B101)-1&lt;=Ferien!$C$7, Ferien!$B$7+ROW(B101)-1, "")</f>
        <v/>
      </c>
      <c r="F103" s="1" t="str">
        <f>IF(Ferien!$B$8+ROW(B101)-1&lt;=Ferien!$C$8, Ferien!$B$8+ROW(B101)-1, "")</f>
        <v/>
      </c>
      <c r="G103" s="1" t="str">
        <f>IF(Ferien!$B$9+ROW(B101)-1&lt;=Ferien!$C$9, Ferien!$B$9+ROW(B101)-1, "")</f>
        <v/>
      </c>
      <c r="H103" s="1" t="str">
        <f>IF(Ferien!$B$10+ROW(B101)-1&lt;=Ferien!$C$10, Ferien!$B$10+ROW(B101)-1, "")</f>
        <v/>
      </c>
      <c r="I103" s="1" t="str">
        <f>IF(Ferien!$B$11+ROW(B101)-1&lt;=Ferien!$C$11, Ferien!$B$11+ROW(B101)-1, "")</f>
        <v/>
      </c>
      <c r="J103" s="1" t="str">
        <f>IF(Ferien!$B$12+ROW(B101)-1&lt;=Ferien!$C$12, Ferien!$B$12+ROW(B101)-1, "")</f>
        <v/>
      </c>
      <c r="K103" s="1" t="str">
        <f>IF(Ferien!$B$13+ROW(B101)-1&lt;=Ferien!$C$13, Ferien!$B$13+ROW(B101)-1, "")</f>
        <v/>
      </c>
      <c r="L103" s="1" t="str">
        <f>IF(Ferien!$B$14+ROW(B101)-1&lt;=Ferien!$C$14, Ferien!$B$14+ROW(B101)-1, "")</f>
        <v/>
      </c>
      <c r="M103" s="1" t="str">
        <f>IF(Ferien!$B$15+ROW(B101)-1&lt;=Ferien!$C$15, Ferien!$B$15+ROW(B101)-1, "")</f>
        <v/>
      </c>
      <c r="N103" s="1" t="str">
        <f>IF(Ferien!$B$16+ROW(B101)-1&lt;=Ferien!$C$16, Ferien!$B$16+ROW(B101)-1, "")</f>
        <v/>
      </c>
      <c r="O103" s="1" t="str">
        <f>IF(Ferien!$B$17+ROW(B101)-1&lt;=Ferien!$C$17, Ferien!$B$17+ROW(B101)-1, "")</f>
        <v/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x14ac:dyDescent="0.3">
      <c r="A104" s="1" t="str">
        <f>IF(Ferien!$B$3+ROW(A102)-1&lt;=Ferien!$C$3, Ferien!$B$3+ROW(A102)-1, "")</f>
        <v/>
      </c>
      <c r="B104" s="1" t="str">
        <f>IF(Ferien!$B$4+ROW(B102)-1&lt;=Ferien!$C$4, Ferien!$B$4+ROW(B102)-1, "")</f>
        <v/>
      </c>
      <c r="C104" s="1"/>
      <c r="D104" s="1" t="str">
        <f>IF(Ferien!$B$6+ROW(B102)-1&lt;=Ferien!$C$6, Ferien!$B$6+ROW(B102)-1, "")</f>
        <v/>
      </c>
      <c r="E104" s="1" t="str">
        <f>IF(Ferien!$B$7+ROW(B102)-1&lt;=Ferien!$C$7, Ferien!$B$7+ROW(B102)-1, "")</f>
        <v/>
      </c>
      <c r="F104" s="1" t="str">
        <f>IF(Ferien!$B$8+ROW(B102)-1&lt;=Ferien!$C$8, Ferien!$B$8+ROW(B102)-1, "")</f>
        <v/>
      </c>
      <c r="G104" s="1" t="str">
        <f>IF(Ferien!$B$9+ROW(B102)-1&lt;=Ferien!$C$9, Ferien!$B$9+ROW(B102)-1, "")</f>
        <v/>
      </c>
      <c r="H104" s="1" t="str">
        <f>IF(Ferien!$B$10+ROW(B102)-1&lt;=Ferien!$C$10, Ferien!$B$10+ROW(B102)-1, "")</f>
        <v/>
      </c>
      <c r="I104" s="1" t="str">
        <f>IF(Ferien!$B$11+ROW(B102)-1&lt;=Ferien!$C$11, Ferien!$B$11+ROW(B102)-1, "")</f>
        <v/>
      </c>
      <c r="J104" s="1" t="str">
        <f>IF(Ferien!$B$12+ROW(B102)-1&lt;=Ferien!$C$12, Ferien!$B$12+ROW(B102)-1, "")</f>
        <v/>
      </c>
      <c r="K104" s="1" t="str">
        <f>IF(Ferien!$B$13+ROW(B102)-1&lt;=Ferien!$C$13, Ferien!$B$13+ROW(B102)-1, "")</f>
        <v/>
      </c>
      <c r="L104" s="1" t="str">
        <f>IF(Ferien!$B$14+ROW(B102)-1&lt;=Ferien!$C$14, Ferien!$B$14+ROW(B102)-1, "")</f>
        <v/>
      </c>
      <c r="M104" s="1" t="str">
        <f>IF(Ferien!$B$15+ROW(B102)-1&lt;=Ferien!$C$15, Ferien!$B$15+ROW(B102)-1, "")</f>
        <v/>
      </c>
      <c r="N104" s="1" t="str">
        <f>IF(Ferien!$B$16+ROW(B102)-1&lt;=Ferien!$C$16, Ferien!$B$16+ROW(B102)-1, "")</f>
        <v/>
      </c>
      <c r="O104" s="1" t="str">
        <f>IF(Ferien!$B$17+ROW(B102)-1&lt;=Ferien!$C$17, Ferien!$B$17+ROW(B102)-1, "")</f>
        <v/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x14ac:dyDescent="0.3">
      <c r="A105" s="1" t="str">
        <f>IF(Ferien!$B$3+ROW(A103)-1&lt;=Ferien!$C$3, Ferien!$B$3+ROW(A103)-1, "")</f>
        <v/>
      </c>
      <c r="B105" s="1" t="str">
        <f>IF(Ferien!$B$4+ROW(B103)-1&lt;=Ferien!$C$4, Ferien!$B$4+ROW(B103)-1, "")</f>
        <v/>
      </c>
      <c r="C105" s="1"/>
      <c r="D105" s="1" t="str">
        <f>IF(Ferien!$B$6+ROW(B103)-1&lt;=Ferien!$C$6, Ferien!$B$6+ROW(B103)-1, "")</f>
        <v/>
      </c>
      <c r="E105" s="1" t="str">
        <f>IF(Ferien!$B$7+ROW(B103)-1&lt;=Ferien!$C$7, Ferien!$B$7+ROW(B103)-1, "")</f>
        <v/>
      </c>
      <c r="F105" s="1" t="str">
        <f>IF(Ferien!$B$8+ROW(B103)-1&lt;=Ferien!$C$8, Ferien!$B$8+ROW(B103)-1, "")</f>
        <v/>
      </c>
      <c r="G105" s="1" t="str">
        <f>IF(Ferien!$B$9+ROW(B103)-1&lt;=Ferien!$C$9, Ferien!$B$9+ROW(B103)-1, "")</f>
        <v/>
      </c>
      <c r="H105" s="1" t="str">
        <f>IF(Ferien!$B$10+ROW(B103)-1&lt;=Ferien!$C$10, Ferien!$B$10+ROW(B103)-1, "")</f>
        <v/>
      </c>
      <c r="I105" s="1" t="str">
        <f>IF(Ferien!$B$11+ROW(B103)-1&lt;=Ferien!$C$11, Ferien!$B$11+ROW(B103)-1, "")</f>
        <v/>
      </c>
      <c r="J105" s="1" t="str">
        <f>IF(Ferien!$B$12+ROW(B103)-1&lt;=Ferien!$C$12, Ferien!$B$12+ROW(B103)-1, "")</f>
        <v/>
      </c>
      <c r="K105" s="1" t="str">
        <f>IF(Ferien!$B$13+ROW(B103)-1&lt;=Ferien!$C$13, Ferien!$B$13+ROW(B103)-1, "")</f>
        <v/>
      </c>
      <c r="L105" s="1" t="str">
        <f>IF(Ferien!$B$14+ROW(B103)-1&lt;=Ferien!$C$14, Ferien!$B$14+ROW(B103)-1, "")</f>
        <v/>
      </c>
      <c r="M105" s="1" t="str">
        <f>IF(Ferien!$B$15+ROW(B103)-1&lt;=Ferien!$C$15, Ferien!$B$15+ROW(B103)-1, "")</f>
        <v/>
      </c>
      <c r="N105" s="1" t="str">
        <f>IF(Ferien!$B$16+ROW(B103)-1&lt;=Ferien!$C$16, Ferien!$B$16+ROW(B103)-1, "")</f>
        <v/>
      </c>
      <c r="O105" s="1" t="str">
        <f>IF(Ferien!$B$17+ROW(B103)-1&lt;=Ferien!$C$17, Ferien!$B$17+ROW(B103)-1, "")</f>
        <v/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x14ac:dyDescent="0.3">
      <c r="A106" s="1" t="str">
        <f>IF(Ferien!$B$3+ROW(A104)-1&lt;=Ferien!$C$3, Ferien!$B$3+ROW(A104)-1, "")</f>
        <v/>
      </c>
      <c r="B106" s="1" t="str">
        <f>IF(Ferien!$B$4+ROW(B104)-1&lt;=Ferien!$C$4, Ferien!$B$4+ROW(B104)-1, "")</f>
        <v/>
      </c>
      <c r="C106" s="1"/>
      <c r="D106" s="1" t="str">
        <f>IF(Ferien!$B$6+ROW(B104)-1&lt;=Ferien!$C$6, Ferien!$B$6+ROW(B104)-1, "")</f>
        <v/>
      </c>
      <c r="E106" s="1" t="str">
        <f>IF(Ferien!$B$7+ROW(B104)-1&lt;=Ferien!$C$7, Ferien!$B$7+ROW(B104)-1, "")</f>
        <v/>
      </c>
      <c r="F106" s="1" t="str">
        <f>IF(Ferien!$B$8+ROW(B104)-1&lt;=Ferien!$C$8, Ferien!$B$8+ROW(B104)-1, "")</f>
        <v/>
      </c>
      <c r="G106" s="1" t="str">
        <f>IF(Ferien!$B$9+ROW(B104)-1&lt;=Ferien!$C$9, Ferien!$B$9+ROW(B104)-1, "")</f>
        <v/>
      </c>
      <c r="H106" s="1" t="str">
        <f>IF(Ferien!$B$10+ROW(B104)-1&lt;=Ferien!$C$10, Ferien!$B$10+ROW(B104)-1, "")</f>
        <v/>
      </c>
      <c r="I106" s="1" t="str">
        <f>IF(Ferien!$B$11+ROW(B104)-1&lt;=Ferien!$C$11, Ferien!$B$11+ROW(B104)-1, "")</f>
        <v/>
      </c>
      <c r="J106" s="1" t="str">
        <f>IF(Ferien!$B$12+ROW(B104)-1&lt;=Ferien!$C$12, Ferien!$B$12+ROW(B104)-1, "")</f>
        <v/>
      </c>
      <c r="K106" s="1" t="str">
        <f>IF(Ferien!$B$13+ROW(B104)-1&lt;=Ferien!$C$13, Ferien!$B$13+ROW(B104)-1, "")</f>
        <v/>
      </c>
      <c r="L106" s="1" t="str">
        <f>IF(Ferien!$B$14+ROW(B104)-1&lt;=Ferien!$C$14, Ferien!$B$14+ROW(B104)-1, "")</f>
        <v/>
      </c>
      <c r="M106" s="1" t="str">
        <f>IF(Ferien!$B$15+ROW(B104)-1&lt;=Ferien!$C$15, Ferien!$B$15+ROW(B104)-1, "")</f>
        <v/>
      </c>
      <c r="N106" s="1" t="str">
        <f>IF(Ferien!$B$16+ROW(B104)-1&lt;=Ferien!$C$16, Ferien!$B$16+ROW(B104)-1, "")</f>
        <v/>
      </c>
      <c r="O106" s="1" t="str">
        <f>IF(Ferien!$B$17+ROW(B104)-1&lt;=Ferien!$C$17, Ferien!$B$17+ROW(B104)-1, "")</f>
        <v/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x14ac:dyDescent="0.3">
      <c r="A107" s="1" t="str">
        <f>IF(Ferien!$B$3+ROW(A105)-1&lt;=Ferien!$C$3, Ferien!$B$3+ROW(A105)-1, "")</f>
        <v/>
      </c>
      <c r="B107" s="1" t="str">
        <f>IF(Ferien!$B$4+ROW(B105)-1&lt;=Ferien!$C$4, Ferien!$B$4+ROW(B105)-1, "")</f>
        <v/>
      </c>
      <c r="C107" s="1"/>
      <c r="D107" s="1" t="str">
        <f>IF(Ferien!$B$6+ROW(B105)-1&lt;=Ferien!$C$6, Ferien!$B$6+ROW(B105)-1, "")</f>
        <v/>
      </c>
      <c r="E107" s="1" t="str">
        <f>IF(Ferien!$B$7+ROW(B105)-1&lt;=Ferien!$C$7, Ferien!$B$7+ROW(B105)-1, "")</f>
        <v/>
      </c>
      <c r="F107" s="1" t="str">
        <f>IF(Ferien!$B$8+ROW(B105)-1&lt;=Ferien!$C$8, Ferien!$B$8+ROW(B105)-1, "")</f>
        <v/>
      </c>
      <c r="G107" s="1" t="str">
        <f>IF(Ferien!$B$9+ROW(B105)-1&lt;=Ferien!$C$9, Ferien!$B$9+ROW(B105)-1, "")</f>
        <v/>
      </c>
      <c r="H107" s="1" t="str">
        <f>IF(Ferien!$B$10+ROW(B105)-1&lt;=Ferien!$C$10, Ferien!$B$10+ROW(B105)-1, "")</f>
        <v/>
      </c>
      <c r="I107" s="1" t="str">
        <f>IF(Ferien!$B$11+ROW(B105)-1&lt;=Ferien!$C$11, Ferien!$B$11+ROW(B105)-1, "")</f>
        <v/>
      </c>
      <c r="J107" s="1" t="str">
        <f>IF(Ferien!$B$12+ROW(B105)-1&lt;=Ferien!$C$12, Ferien!$B$12+ROW(B105)-1, "")</f>
        <v/>
      </c>
      <c r="K107" s="1" t="str">
        <f>IF(Ferien!$B$13+ROW(B105)-1&lt;=Ferien!$C$13, Ferien!$B$13+ROW(B105)-1, "")</f>
        <v/>
      </c>
      <c r="L107" s="1" t="str">
        <f>IF(Ferien!$B$14+ROW(B105)-1&lt;=Ferien!$C$14, Ferien!$B$14+ROW(B105)-1, "")</f>
        <v/>
      </c>
      <c r="M107" s="1" t="str">
        <f>IF(Ferien!$B$15+ROW(B105)-1&lt;=Ferien!$C$15, Ferien!$B$15+ROW(B105)-1, "")</f>
        <v/>
      </c>
      <c r="N107" s="1" t="str">
        <f>IF(Ferien!$B$16+ROW(B105)-1&lt;=Ferien!$C$16, Ferien!$B$16+ROW(B105)-1, "")</f>
        <v/>
      </c>
      <c r="O107" s="1" t="str">
        <f>IF(Ferien!$B$17+ROW(B105)-1&lt;=Ferien!$C$17, Ferien!$B$17+ROW(B105)-1, "")</f>
        <v/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x14ac:dyDescent="0.3">
      <c r="A108" s="1" t="str">
        <f>IF(Ferien!$B$3+ROW(A106)-1&lt;=Ferien!$C$3, Ferien!$B$3+ROW(A106)-1, "")</f>
        <v/>
      </c>
      <c r="B108" s="1" t="str">
        <f>IF(Ferien!$B$4+ROW(B106)-1&lt;=Ferien!$C$4, Ferien!$B$4+ROW(B106)-1, "")</f>
        <v/>
      </c>
      <c r="C108" s="1"/>
      <c r="D108" s="1" t="str">
        <f>IF(Ferien!$B$6+ROW(B106)-1&lt;=Ferien!$C$6, Ferien!$B$6+ROW(B106)-1, "")</f>
        <v/>
      </c>
      <c r="E108" s="1" t="str">
        <f>IF(Ferien!$B$7+ROW(B106)-1&lt;=Ferien!$C$7, Ferien!$B$7+ROW(B106)-1, "")</f>
        <v/>
      </c>
      <c r="F108" s="1" t="str">
        <f>IF(Ferien!$B$8+ROW(B106)-1&lt;=Ferien!$C$8, Ferien!$B$8+ROW(B106)-1, "")</f>
        <v/>
      </c>
      <c r="G108" s="1" t="str">
        <f>IF(Ferien!$B$9+ROW(B106)-1&lt;=Ferien!$C$9, Ferien!$B$9+ROW(B106)-1, "")</f>
        <v/>
      </c>
      <c r="H108" s="1" t="str">
        <f>IF(Ferien!$B$10+ROW(B106)-1&lt;=Ferien!$C$10, Ferien!$B$10+ROW(B106)-1, "")</f>
        <v/>
      </c>
      <c r="I108" s="1" t="str">
        <f>IF(Ferien!$B$11+ROW(B106)-1&lt;=Ferien!$C$11, Ferien!$B$11+ROW(B106)-1, "")</f>
        <v/>
      </c>
      <c r="J108" s="1" t="str">
        <f>IF(Ferien!$B$12+ROW(B106)-1&lt;=Ferien!$C$12, Ferien!$B$12+ROW(B106)-1, "")</f>
        <v/>
      </c>
      <c r="K108" s="1" t="str">
        <f>IF(Ferien!$B$13+ROW(B106)-1&lt;=Ferien!$C$13, Ferien!$B$13+ROW(B106)-1, "")</f>
        <v/>
      </c>
      <c r="L108" s="1" t="str">
        <f>IF(Ferien!$B$14+ROW(B106)-1&lt;=Ferien!$C$14, Ferien!$B$14+ROW(B106)-1, "")</f>
        <v/>
      </c>
      <c r="M108" s="1" t="str">
        <f>IF(Ferien!$B$15+ROW(B106)-1&lt;=Ferien!$C$15, Ferien!$B$15+ROW(B106)-1, "")</f>
        <v/>
      </c>
      <c r="N108" s="1" t="str">
        <f>IF(Ferien!$B$16+ROW(B106)-1&lt;=Ferien!$C$16, Ferien!$B$16+ROW(B106)-1, "")</f>
        <v/>
      </c>
      <c r="O108" s="1" t="str">
        <f>IF(Ferien!$B$17+ROW(B106)-1&lt;=Ferien!$C$17, Ferien!$B$17+ROW(B106)-1, "")</f>
        <v/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x14ac:dyDescent="0.3">
      <c r="A109" s="1" t="str">
        <f>IF(Ferien!$B$3+ROW(A107)-1&lt;=Ferien!$C$3, Ferien!$B$3+ROW(A107)-1, "")</f>
        <v/>
      </c>
      <c r="B109" s="1" t="str">
        <f>IF(Ferien!$B$4+ROW(B107)-1&lt;=Ferien!$C$4, Ferien!$B$4+ROW(B107)-1, "")</f>
        <v/>
      </c>
      <c r="C109" s="1"/>
      <c r="D109" s="1" t="str">
        <f>IF(Ferien!$B$6+ROW(B107)-1&lt;=Ferien!$C$6, Ferien!$B$6+ROW(B107)-1, "")</f>
        <v/>
      </c>
      <c r="E109" s="1" t="str">
        <f>IF(Ferien!$B$7+ROW(B107)-1&lt;=Ferien!$C$7, Ferien!$B$7+ROW(B107)-1, "")</f>
        <v/>
      </c>
      <c r="F109" s="1" t="str">
        <f>IF(Ferien!$B$8+ROW(B107)-1&lt;=Ferien!$C$8, Ferien!$B$8+ROW(B107)-1, "")</f>
        <v/>
      </c>
      <c r="G109" s="1" t="str">
        <f>IF(Ferien!$B$9+ROW(B107)-1&lt;=Ferien!$C$9, Ferien!$B$9+ROW(B107)-1, "")</f>
        <v/>
      </c>
      <c r="H109" s="1" t="str">
        <f>IF(Ferien!$B$10+ROW(B107)-1&lt;=Ferien!$C$10, Ferien!$B$10+ROW(B107)-1, "")</f>
        <v/>
      </c>
      <c r="I109" s="1" t="str">
        <f>IF(Ferien!$B$11+ROW(B107)-1&lt;=Ferien!$C$11, Ferien!$B$11+ROW(B107)-1, "")</f>
        <v/>
      </c>
      <c r="J109" s="1" t="str">
        <f>IF(Ferien!$B$12+ROW(B107)-1&lt;=Ferien!$C$12, Ferien!$B$12+ROW(B107)-1, "")</f>
        <v/>
      </c>
      <c r="K109" s="1" t="str">
        <f>IF(Ferien!$B$13+ROW(B107)-1&lt;=Ferien!$C$13, Ferien!$B$13+ROW(B107)-1, "")</f>
        <v/>
      </c>
      <c r="L109" s="1" t="str">
        <f>IF(Ferien!$B$14+ROW(B107)-1&lt;=Ferien!$C$14, Ferien!$B$14+ROW(B107)-1, "")</f>
        <v/>
      </c>
      <c r="M109" s="1" t="str">
        <f>IF(Ferien!$B$15+ROW(B107)-1&lt;=Ferien!$C$15, Ferien!$B$15+ROW(B107)-1, "")</f>
        <v/>
      </c>
      <c r="N109" s="1" t="str">
        <f>IF(Ferien!$B$16+ROW(B107)-1&lt;=Ferien!$C$16, Ferien!$B$16+ROW(B107)-1, "")</f>
        <v/>
      </c>
      <c r="O109" s="1" t="str">
        <f>IF(Ferien!$B$17+ROW(B107)-1&lt;=Ferien!$C$17, Ferien!$B$17+ROW(B107)-1, "")</f>
        <v/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x14ac:dyDescent="0.3">
      <c r="A110" s="1" t="str">
        <f>IF(Ferien!$B$3+ROW(A108)-1&lt;=Ferien!$C$3, Ferien!$B$3+ROW(A108)-1, "")</f>
        <v/>
      </c>
      <c r="B110" s="1" t="str">
        <f>IF(Ferien!$B$4+ROW(B108)-1&lt;=Ferien!$C$4, Ferien!$B$4+ROW(B108)-1, "")</f>
        <v/>
      </c>
      <c r="C110" s="1"/>
      <c r="D110" s="1"/>
      <c r="E110" s="1" t="str">
        <f>IF(Ferien!$B$7+ROW(B108)-1&lt;=Ferien!$C$7, Ferien!$B$7+ROW(B108)-1, "")</f>
        <v/>
      </c>
      <c r="F110" s="1" t="str">
        <f>IF(Ferien!$B$8+ROW(B108)-1&lt;=Ferien!$C$8, Ferien!$B$8+ROW(B108)-1, "")</f>
        <v/>
      </c>
      <c r="G110" s="1" t="str">
        <f>IF(Ferien!$B$9+ROW(B108)-1&lt;=Ferien!$C$9, Ferien!$B$9+ROW(B108)-1, "")</f>
        <v/>
      </c>
      <c r="H110" s="1" t="str">
        <f>IF(Ferien!$B$10+ROW(B108)-1&lt;=Ferien!$C$10, Ferien!$B$10+ROW(B108)-1, "")</f>
        <v/>
      </c>
      <c r="I110" s="1" t="str">
        <f>IF(Ferien!$B$11+ROW(B108)-1&lt;=Ferien!$C$11, Ferien!$B$11+ROW(B108)-1, "")</f>
        <v/>
      </c>
      <c r="J110" s="1" t="str">
        <f>IF(Ferien!$B$12+ROW(B108)-1&lt;=Ferien!$C$12, Ferien!$B$12+ROW(B108)-1, "")</f>
        <v/>
      </c>
      <c r="K110" s="1" t="str">
        <f>IF(Ferien!$B$13+ROW(B108)-1&lt;=Ferien!$C$13, Ferien!$B$13+ROW(B108)-1, "")</f>
        <v/>
      </c>
      <c r="L110" s="1" t="str">
        <f>IF(Ferien!$B$14+ROW(B108)-1&lt;=Ferien!$C$14, Ferien!$B$14+ROW(B108)-1, "")</f>
        <v/>
      </c>
      <c r="M110" s="1" t="str">
        <f>IF(Ferien!$B$15+ROW(B108)-1&lt;=Ferien!$C$15, Ferien!$B$15+ROW(B108)-1, "")</f>
        <v/>
      </c>
      <c r="N110" s="1" t="str">
        <f>IF(Ferien!$B$16+ROW(B108)-1&lt;=Ferien!$C$16, Ferien!$B$16+ROW(B108)-1, "")</f>
        <v/>
      </c>
      <c r="O110" s="1" t="str">
        <f>IF(Ferien!$B$17+ROW(B108)-1&lt;=Ferien!$C$17, Ferien!$B$17+ROW(B108)-1, "")</f>
        <v/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x14ac:dyDescent="0.3">
      <c r="A111" s="1" t="str">
        <f>IF(Ferien!$B$3+ROW(A109)-1&lt;=Ferien!$C$3, Ferien!$B$3+ROW(A109)-1, "")</f>
        <v/>
      </c>
      <c r="B111" s="1"/>
      <c r="C111" s="1"/>
      <c r="D111" s="1"/>
      <c r="E111" s="1" t="str">
        <f>IF(Ferien!$B$7+ROW(B109)-1&lt;=Ferien!$C$7, Ferien!$B$7+ROW(B109)-1, "")</f>
        <v/>
      </c>
      <c r="F111" s="1" t="str">
        <f>IF(Ferien!$B$8+ROW(B109)-1&lt;=Ferien!$C$8, Ferien!$B$8+ROW(B109)-1, "")</f>
        <v/>
      </c>
      <c r="G111" s="1" t="str">
        <f>IF(Ferien!$B$9+ROW(B109)-1&lt;=Ferien!$C$9, Ferien!$B$9+ROW(B109)-1, "")</f>
        <v/>
      </c>
      <c r="H111" s="1" t="str">
        <f>IF(Ferien!$B$10+ROW(B109)-1&lt;=Ferien!$C$10, Ferien!$B$10+ROW(B109)-1, "")</f>
        <v/>
      </c>
      <c r="I111" s="1" t="str">
        <f>IF(Ferien!$B$11+ROW(B109)-1&lt;=Ferien!$C$11, Ferien!$B$11+ROW(B109)-1, "")</f>
        <v/>
      </c>
      <c r="J111" s="1" t="str">
        <f>IF(Ferien!$B$12+ROW(B109)-1&lt;=Ferien!$C$12, Ferien!$B$12+ROW(B109)-1, "")</f>
        <v/>
      </c>
      <c r="K111" s="1" t="str">
        <f>IF(Ferien!$B$13+ROW(B109)-1&lt;=Ferien!$C$13, Ferien!$B$13+ROW(B109)-1, "")</f>
        <v/>
      </c>
      <c r="L111" s="1" t="str">
        <f>IF(Ferien!$B$14+ROW(B109)-1&lt;=Ferien!$C$14, Ferien!$B$14+ROW(B109)-1, "")</f>
        <v/>
      </c>
      <c r="M111" s="1" t="str">
        <f>IF(Ferien!$B$15+ROW(B109)-1&lt;=Ferien!$C$15, Ferien!$B$15+ROW(B109)-1, "")</f>
        <v/>
      </c>
      <c r="N111" s="1" t="str">
        <f>IF(Ferien!$B$16+ROW(B109)-1&lt;=Ferien!$C$16, Ferien!$B$16+ROW(B109)-1, "")</f>
        <v/>
      </c>
      <c r="O111" s="1" t="str">
        <f>IF(Ferien!$B$17+ROW(B109)-1&lt;=Ferien!$C$17, Ferien!$B$17+ROW(B109)-1, "")</f>
        <v/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x14ac:dyDescent="0.3">
      <c r="A112" s="1" t="str">
        <f>IF(Ferien!$B$3+ROW(A110)-1&lt;=Ferien!$C$3, Ferien!$B$3+ROW(A110)-1, "")</f>
        <v/>
      </c>
      <c r="B112" s="1"/>
      <c r="C112" s="1"/>
      <c r="D112" s="1"/>
      <c r="E112" s="1" t="str">
        <f>IF(Ferien!$B$7+ROW(B110)-1&lt;=Ferien!$C$7, Ferien!$B$7+ROW(B110)-1, "")</f>
        <v/>
      </c>
      <c r="F112" s="1" t="str">
        <f>IF(Ferien!$B$8+ROW(B110)-1&lt;=Ferien!$C$8, Ferien!$B$8+ROW(B110)-1, "")</f>
        <v/>
      </c>
      <c r="G112" s="1" t="str">
        <f>IF(Ferien!$B$9+ROW(B110)-1&lt;=Ferien!$C$9, Ferien!$B$9+ROW(B110)-1, "")</f>
        <v/>
      </c>
      <c r="H112" s="1" t="str">
        <f>IF(Ferien!$B$10+ROW(B110)-1&lt;=Ferien!$C$10, Ferien!$B$10+ROW(B110)-1, "")</f>
        <v/>
      </c>
      <c r="I112" s="1" t="str">
        <f>IF(Ferien!$B$11+ROW(B110)-1&lt;=Ferien!$C$11, Ferien!$B$11+ROW(B110)-1, "")</f>
        <v/>
      </c>
      <c r="J112" s="1" t="str">
        <f>IF(Ferien!$B$12+ROW(B110)-1&lt;=Ferien!$C$12, Ferien!$B$12+ROW(B110)-1, "")</f>
        <v/>
      </c>
      <c r="K112" s="1" t="str">
        <f>IF(Ferien!$B$13+ROW(B110)-1&lt;=Ferien!$C$13, Ferien!$B$13+ROW(B110)-1, "")</f>
        <v/>
      </c>
      <c r="L112" s="1" t="str">
        <f>IF(Ferien!$B$14+ROW(B110)-1&lt;=Ferien!$C$14, Ferien!$B$14+ROW(B110)-1, "")</f>
        <v/>
      </c>
      <c r="M112" s="1" t="str">
        <f>IF(Ferien!$B$15+ROW(B110)-1&lt;=Ferien!$C$15, Ferien!$B$15+ROW(B110)-1, "")</f>
        <v/>
      </c>
      <c r="N112" s="1" t="str">
        <f>IF(Ferien!$B$16+ROW(B110)-1&lt;=Ferien!$C$16, Ferien!$B$16+ROW(B110)-1, "")</f>
        <v/>
      </c>
      <c r="O112" s="1" t="str">
        <f>IF(Ferien!$B$17+ROW(B110)-1&lt;=Ferien!$C$17, Ferien!$B$17+ROW(B110)-1, "")</f>
        <v/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3">
      <c r="A113" s="1" t="str">
        <f>IF(Ferien!$B$3+ROW(A111)-1&lt;=Ferien!$C$3, Ferien!$B$3+ROW(A111)-1, "")</f>
        <v/>
      </c>
      <c r="B113" s="1"/>
      <c r="C113" s="1"/>
      <c r="D113" s="1"/>
      <c r="E113" s="1" t="str">
        <f>IF(Ferien!$B$7+ROW(B111)-1&lt;=Ferien!$C$7, Ferien!$B$7+ROW(B111)-1, "")</f>
        <v/>
      </c>
      <c r="F113" s="1" t="str">
        <f>IF(Ferien!$B$8+ROW(B111)-1&lt;=Ferien!$C$8, Ferien!$B$8+ROW(B111)-1, "")</f>
        <v/>
      </c>
      <c r="G113" s="1" t="str">
        <f>IF(Ferien!$B$9+ROW(B111)-1&lt;=Ferien!$C$9, Ferien!$B$9+ROW(B111)-1, "")</f>
        <v/>
      </c>
      <c r="H113" s="1" t="str">
        <f>IF(Ferien!$B$10+ROW(B111)-1&lt;=Ferien!$C$10, Ferien!$B$10+ROW(B111)-1, "")</f>
        <v/>
      </c>
      <c r="I113" s="1" t="str">
        <f>IF(Ferien!$B$11+ROW(B111)-1&lt;=Ferien!$C$11, Ferien!$B$11+ROW(B111)-1, "")</f>
        <v/>
      </c>
      <c r="J113" s="1" t="str">
        <f>IF(Ferien!$B$12+ROW(B111)-1&lt;=Ferien!$C$12, Ferien!$B$12+ROW(B111)-1, "")</f>
        <v/>
      </c>
      <c r="K113" s="1" t="str">
        <f>IF(Ferien!$B$13+ROW(B111)-1&lt;=Ferien!$C$13, Ferien!$B$13+ROW(B111)-1, "")</f>
        <v/>
      </c>
      <c r="L113" s="1" t="str">
        <f>IF(Ferien!$B$14+ROW(B111)-1&lt;=Ferien!$C$14, Ferien!$B$14+ROW(B111)-1, "")</f>
        <v/>
      </c>
      <c r="M113" s="1" t="str">
        <f>IF(Ferien!$B$15+ROW(B111)-1&lt;=Ferien!$C$15, Ferien!$B$15+ROW(B111)-1, "")</f>
        <v/>
      </c>
      <c r="N113" s="1" t="str">
        <f>IF(Ferien!$B$16+ROW(B111)-1&lt;=Ferien!$C$16, Ferien!$B$16+ROW(B111)-1, "")</f>
        <v/>
      </c>
      <c r="O113" s="1" t="str">
        <f>IF(Ferien!$B$17+ROW(B111)-1&lt;=Ferien!$C$17, Ferien!$B$17+ROW(B111)-1, "")</f>
        <v/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x14ac:dyDescent="0.3">
      <c r="A114" s="1" t="str">
        <f>IF(Ferien!$B$3+ROW(A112)-1&lt;=Ferien!$C$3, Ferien!$B$3+ROW(A112)-1, "")</f>
        <v/>
      </c>
      <c r="B114" s="1"/>
      <c r="C114" s="1"/>
      <c r="D114" s="1"/>
      <c r="E114" s="1" t="str">
        <f>IF(Ferien!$B$7+ROW(B112)-1&lt;=Ferien!$C$7, Ferien!$B$7+ROW(B112)-1, "")</f>
        <v/>
      </c>
      <c r="F114" s="1" t="str">
        <f>IF(Ferien!$B$8+ROW(B112)-1&lt;=Ferien!$C$8, Ferien!$B$8+ROW(B112)-1, "")</f>
        <v/>
      </c>
      <c r="G114" s="1" t="str">
        <f>IF(Ferien!$B$9+ROW(B112)-1&lt;=Ferien!$C$9, Ferien!$B$9+ROW(B112)-1, "")</f>
        <v/>
      </c>
      <c r="H114" s="1" t="str">
        <f>IF(Ferien!$B$10+ROW(B112)-1&lt;=Ferien!$C$10, Ferien!$B$10+ROW(B112)-1, "")</f>
        <v/>
      </c>
      <c r="I114" s="1" t="str">
        <f>IF(Ferien!$B$11+ROW(B112)-1&lt;=Ferien!$C$11, Ferien!$B$11+ROW(B112)-1, "")</f>
        <v/>
      </c>
      <c r="J114" s="1" t="str">
        <f>IF(Ferien!$B$12+ROW(B112)-1&lt;=Ferien!$C$12, Ferien!$B$12+ROW(B112)-1, "")</f>
        <v/>
      </c>
      <c r="K114" s="1" t="str">
        <f>IF(Ferien!$B$13+ROW(B112)-1&lt;=Ferien!$C$13, Ferien!$B$13+ROW(B112)-1, "")</f>
        <v/>
      </c>
      <c r="L114" s="1" t="str">
        <f>IF(Ferien!$B$14+ROW(B112)-1&lt;=Ferien!$C$14, Ferien!$B$14+ROW(B112)-1, "")</f>
        <v/>
      </c>
      <c r="M114" s="1" t="str">
        <f>IF(Ferien!$B$15+ROW(B112)-1&lt;=Ferien!$C$15, Ferien!$B$15+ROW(B112)-1, "")</f>
        <v/>
      </c>
      <c r="N114" s="1" t="str">
        <f>IF(Ferien!$B$16+ROW(B112)-1&lt;=Ferien!$C$16, Ferien!$B$16+ROW(B112)-1, "")</f>
        <v/>
      </c>
      <c r="O114" s="1" t="str">
        <f>IF(Ferien!$B$17+ROW(B112)-1&lt;=Ferien!$C$17, Ferien!$B$17+ROW(B112)-1, "")</f>
        <v/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x14ac:dyDescent="0.3">
      <c r="A115" s="1" t="str">
        <f>IF(Ferien!$B$3+ROW(A113)-1&lt;=Ferien!$C$3, Ferien!$B$3+ROW(A113)-1, "")</f>
        <v/>
      </c>
      <c r="B115" s="1"/>
      <c r="C115" s="1"/>
      <c r="D115" s="1"/>
      <c r="E115" s="1" t="str">
        <f>IF(Ferien!$B$7+ROW(B113)-1&lt;=Ferien!$C$7, Ferien!$B$7+ROW(B113)-1, "")</f>
        <v/>
      </c>
      <c r="F115" s="1" t="str">
        <f>IF(Ferien!$B$8+ROW(B113)-1&lt;=Ferien!$C$8, Ferien!$B$8+ROW(B113)-1, "")</f>
        <v/>
      </c>
      <c r="G115" s="1" t="str">
        <f>IF(Ferien!$B$9+ROW(B113)-1&lt;=Ferien!$C$9, Ferien!$B$9+ROW(B113)-1, "")</f>
        <v/>
      </c>
      <c r="H115" s="1" t="str">
        <f>IF(Ferien!$B$10+ROW(B113)-1&lt;=Ferien!$C$10, Ferien!$B$10+ROW(B113)-1, "")</f>
        <v/>
      </c>
      <c r="I115" s="1" t="str">
        <f>IF(Ferien!$B$11+ROW(B113)-1&lt;=Ferien!$C$11, Ferien!$B$11+ROW(B113)-1, "")</f>
        <v/>
      </c>
      <c r="J115" s="1" t="str">
        <f>IF(Ferien!$B$12+ROW(B113)-1&lt;=Ferien!$C$12, Ferien!$B$12+ROW(B113)-1, "")</f>
        <v/>
      </c>
      <c r="K115" s="1" t="str">
        <f>IF(Ferien!$B$13+ROW(B113)-1&lt;=Ferien!$C$13, Ferien!$B$13+ROW(B113)-1, "")</f>
        <v/>
      </c>
      <c r="L115" s="1" t="str">
        <f>IF(Ferien!$B$14+ROW(B113)-1&lt;=Ferien!$C$14, Ferien!$B$14+ROW(B113)-1, "")</f>
        <v/>
      </c>
      <c r="M115" s="1" t="str">
        <f>IF(Ferien!$B$15+ROW(B113)-1&lt;=Ferien!$C$15, Ferien!$B$15+ROW(B113)-1, "")</f>
        <v/>
      </c>
      <c r="N115" s="1" t="str">
        <f>IF(Ferien!$B$16+ROW(B113)-1&lt;=Ferien!$C$16, Ferien!$B$16+ROW(B113)-1, "")</f>
        <v/>
      </c>
      <c r="O115" s="1" t="str">
        <f>IF(Ferien!$B$17+ROW(B113)-1&lt;=Ferien!$C$17, Ferien!$B$17+ROW(B113)-1, "")</f>
        <v/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3">
      <c r="A116" s="1" t="str">
        <f>IF(Ferien!$B$3+ROW(A114)-1&lt;=Ferien!$C$3, Ferien!$B$3+ROW(A114)-1, "")</f>
        <v/>
      </c>
      <c r="B116" s="1"/>
      <c r="C116" s="1"/>
      <c r="D116" s="1"/>
      <c r="E116" s="1" t="str">
        <f>IF(Ferien!$B$7+ROW(B114)-1&lt;=Ferien!$C$7, Ferien!$B$7+ROW(B114)-1, "")</f>
        <v/>
      </c>
      <c r="F116" s="1" t="str">
        <f>IF(Ferien!$B$8+ROW(B114)-1&lt;=Ferien!$C$8, Ferien!$B$8+ROW(B114)-1, "")</f>
        <v/>
      </c>
      <c r="G116" s="1" t="str">
        <f>IF(Ferien!$B$9+ROW(B114)-1&lt;=Ferien!$C$9, Ferien!$B$9+ROW(B114)-1, "")</f>
        <v/>
      </c>
      <c r="H116" s="1" t="str">
        <f>IF(Ferien!$B$10+ROW(B114)-1&lt;=Ferien!$C$10, Ferien!$B$10+ROW(B114)-1, "")</f>
        <v/>
      </c>
      <c r="I116" s="1" t="str">
        <f>IF(Ferien!$B$11+ROW(B114)-1&lt;=Ferien!$C$11, Ferien!$B$11+ROW(B114)-1, "")</f>
        <v/>
      </c>
      <c r="J116" s="1" t="str">
        <f>IF(Ferien!$B$12+ROW(B114)-1&lt;=Ferien!$C$12, Ferien!$B$12+ROW(B114)-1, "")</f>
        <v/>
      </c>
      <c r="K116" s="1" t="str">
        <f>IF(Ferien!$B$13+ROW(B114)-1&lt;=Ferien!$C$13, Ferien!$B$13+ROW(B114)-1, "")</f>
        <v/>
      </c>
      <c r="L116" s="1" t="str">
        <f>IF(Ferien!$B$14+ROW(B114)-1&lt;=Ferien!$C$14, Ferien!$B$14+ROW(B114)-1, "")</f>
        <v/>
      </c>
      <c r="M116" s="1" t="str">
        <f>IF(Ferien!$B$15+ROW(B114)-1&lt;=Ferien!$C$15, Ferien!$B$15+ROW(B114)-1, "")</f>
        <v/>
      </c>
      <c r="N116" s="1" t="str">
        <f>IF(Ferien!$B$16+ROW(B114)-1&lt;=Ferien!$C$16, Ferien!$B$16+ROW(B114)-1, "")</f>
        <v/>
      </c>
      <c r="O116" s="1" t="str">
        <f>IF(Ferien!$B$17+ROW(B114)-1&lt;=Ferien!$C$17, Ferien!$B$17+ROW(B114)-1, "")</f>
        <v/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x14ac:dyDescent="0.3">
      <c r="A117" s="1" t="str">
        <f>IF(Ferien!$B$3+ROW(A115)-1&lt;=Ferien!$C$3, Ferien!$B$3+ROW(A115)-1, "")</f>
        <v/>
      </c>
      <c r="B117" s="1"/>
      <c r="C117" s="1"/>
      <c r="D117" s="1"/>
      <c r="E117" s="1" t="str">
        <f>IF(Ferien!$B$7+ROW(B115)-1&lt;=Ferien!$C$7, Ferien!$B$7+ROW(B115)-1, "")</f>
        <v/>
      </c>
      <c r="F117" s="1" t="str">
        <f>IF(Ferien!$B$8+ROW(B115)-1&lt;=Ferien!$C$8, Ferien!$B$8+ROW(B115)-1, "")</f>
        <v/>
      </c>
      <c r="G117" s="1" t="str">
        <f>IF(Ferien!$B$9+ROW(B115)-1&lt;=Ferien!$C$9, Ferien!$B$9+ROW(B115)-1, "")</f>
        <v/>
      </c>
      <c r="H117" s="1" t="str">
        <f>IF(Ferien!$B$10+ROW(B115)-1&lt;=Ferien!$C$10, Ferien!$B$10+ROW(B115)-1, "")</f>
        <v/>
      </c>
      <c r="I117" s="1" t="str">
        <f>IF(Ferien!$B$11+ROW(B115)-1&lt;=Ferien!$C$11, Ferien!$B$11+ROW(B115)-1, "")</f>
        <v/>
      </c>
      <c r="J117" s="1" t="str">
        <f>IF(Ferien!$B$12+ROW(B115)-1&lt;=Ferien!$C$12, Ferien!$B$12+ROW(B115)-1, "")</f>
        <v/>
      </c>
      <c r="K117" s="1" t="str">
        <f>IF(Ferien!$B$13+ROW(B115)-1&lt;=Ferien!$C$13, Ferien!$B$13+ROW(B115)-1, "")</f>
        <v/>
      </c>
      <c r="L117" s="1" t="str">
        <f>IF(Ferien!$B$14+ROW(B115)-1&lt;=Ferien!$C$14, Ferien!$B$14+ROW(B115)-1, "")</f>
        <v/>
      </c>
      <c r="M117" s="1" t="str">
        <f>IF(Ferien!$B$15+ROW(B115)-1&lt;=Ferien!$C$15, Ferien!$B$15+ROW(B115)-1, "")</f>
        <v/>
      </c>
      <c r="N117" s="1" t="str">
        <f>IF(Ferien!$B$16+ROW(B115)-1&lt;=Ferien!$C$16, Ferien!$B$16+ROW(B115)-1, "")</f>
        <v/>
      </c>
      <c r="O117" s="1" t="str">
        <f>IF(Ferien!$B$17+ROW(B115)-1&lt;=Ferien!$C$17, Ferien!$B$17+ROW(B115)-1, "")</f>
        <v/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x14ac:dyDescent="0.3">
      <c r="A118" s="1" t="str">
        <f>IF(Ferien!$B$3+ROW(A116)-1&lt;=Ferien!$C$3, Ferien!$B$3+ROW(A116)-1, "")</f>
        <v/>
      </c>
      <c r="B118" s="1"/>
      <c r="C118" s="1"/>
      <c r="D118" s="1"/>
      <c r="E118" s="1" t="str">
        <f>IF(Ferien!$B$7+ROW(B116)-1&lt;=Ferien!$C$7, Ferien!$B$7+ROW(B116)-1, "")</f>
        <v/>
      </c>
      <c r="F118" s="1" t="str">
        <f>IF(Ferien!$B$8+ROW(B116)-1&lt;=Ferien!$C$8, Ferien!$B$8+ROW(B116)-1, "")</f>
        <v/>
      </c>
      <c r="G118" s="1" t="str">
        <f>IF(Ferien!$B$9+ROW(B116)-1&lt;=Ferien!$C$9, Ferien!$B$9+ROW(B116)-1, "")</f>
        <v/>
      </c>
      <c r="H118" s="1" t="str">
        <f>IF(Ferien!$B$10+ROW(B116)-1&lt;=Ferien!$C$10, Ferien!$B$10+ROW(B116)-1, "")</f>
        <v/>
      </c>
      <c r="I118" s="1" t="str">
        <f>IF(Ferien!$B$11+ROW(B116)-1&lt;=Ferien!$C$11, Ferien!$B$11+ROW(B116)-1, "")</f>
        <v/>
      </c>
      <c r="J118" s="1" t="str">
        <f>IF(Ferien!$B$12+ROW(B116)-1&lt;=Ferien!$C$12, Ferien!$B$12+ROW(B116)-1, "")</f>
        <v/>
      </c>
      <c r="K118" s="1" t="str">
        <f>IF(Ferien!$B$13+ROW(B116)-1&lt;=Ferien!$C$13, Ferien!$B$13+ROW(B116)-1, "")</f>
        <v/>
      </c>
      <c r="L118" s="1" t="str">
        <f>IF(Ferien!$B$14+ROW(B116)-1&lt;=Ferien!$C$14, Ferien!$B$14+ROW(B116)-1, "")</f>
        <v/>
      </c>
      <c r="M118" s="1" t="str">
        <f>IF(Ferien!$B$15+ROW(B116)-1&lt;=Ferien!$C$15, Ferien!$B$15+ROW(B116)-1, "")</f>
        <v/>
      </c>
      <c r="N118" s="1" t="str">
        <f>IF(Ferien!$B$16+ROW(B116)-1&lt;=Ferien!$C$16, Ferien!$B$16+ROW(B116)-1, "")</f>
        <v/>
      </c>
      <c r="O118" s="1" t="str">
        <f>IF(Ferien!$B$17+ROW(B116)-1&lt;=Ferien!$C$17, Ferien!$B$17+ROW(B116)-1, "")</f>
        <v/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x14ac:dyDescent="0.3">
      <c r="A119" s="1" t="str">
        <f>IF(Ferien!$B$3+ROW(A117)-1&lt;=Ferien!$C$3, Ferien!$B$3+ROW(A117)-1, "")</f>
        <v/>
      </c>
      <c r="B119" s="1"/>
      <c r="C119" s="1"/>
      <c r="D119" s="1"/>
      <c r="E119" s="1" t="str">
        <f>IF(Ferien!$B$7+ROW(B117)-1&lt;=Ferien!$C$7, Ferien!$B$7+ROW(B117)-1, "")</f>
        <v/>
      </c>
      <c r="F119" s="1" t="str">
        <f>IF(Ferien!$B$8+ROW(B117)-1&lt;=Ferien!$C$8, Ferien!$B$8+ROW(B117)-1, "")</f>
        <v/>
      </c>
      <c r="G119" s="1" t="str">
        <f>IF(Ferien!$B$9+ROW(B117)-1&lt;=Ferien!$C$9, Ferien!$B$9+ROW(B117)-1, "")</f>
        <v/>
      </c>
      <c r="H119" s="1" t="str">
        <f>IF(Ferien!$B$10+ROW(B117)-1&lt;=Ferien!$C$10, Ferien!$B$10+ROW(B117)-1, "")</f>
        <v/>
      </c>
      <c r="I119" s="1" t="str">
        <f>IF(Ferien!$B$11+ROW(B117)-1&lt;=Ferien!$C$11, Ferien!$B$11+ROW(B117)-1, "")</f>
        <v/>
      </c>
      <c r="J119" s="1" t="str">
        <f>IF(Ferien!$B$12+ROW(B117)-1&lt;=Ferien!$C$12, Ferien!$B$12+ROW(B117)-1, "")</f>
        <v/>
      </c>
      <c r="K119" s="1" t="str">
        <f>IF(Ferien!$B$13+ROW(B117)-1&lt;=Ferien!$C$13, Ferien!$B$13+ROW(B117)-1, "")</f>
        <v/>
      </c>
      <c r="L119" s="1" t="str">
        <f>IF(Ferien!$B$14+ROW(B117)-1&lt;=Ferien!$C$14, Ferien!$B$14+ROW(B117)-1, "")</f>
        <v/>
      </c>
      <c r="M119" s="1" t="str">
        <f>IF(Ferien!$B$15+ROW(B117)-1&lt;=Ferien!$C$15, Ferien!$B$15+ROW(B117)-1, "")</f>
        <v/>
      </c>
      <c r="N119" s="1" t="str">
        <f>IF(Ferien!$B$16+ROW(B117)-1&lt;=Ferien!$C$16, Ferien!$B$16+ROW(B117)-1, "")</f>
        <v/>
      </c>
      <c r="O119" s="1" t="str">
        <f>IF(Ferien!$B$17+ROW(B117)-1&lt;=Ferien!$C$17, Ferien!$B$17+ROW(B117)-1, "")</f>
        <v/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x14ac:dyDescent="0.3">
      <c r="A120" s="1" t="str">
        <f>IF(Ferien!$B$3+ROW(A118)-1&lt;=Ferien!$C$3, Ferien!$B$3+ROW(A118)-1, "")</f>
        <v/>
      </c>
      <c r="B120" s="1"/>
      <c r="C120" s="1"/>
      <c r="D120" s="1"/>
      <c r="E120" s="1" t="str">
        <f>IF(Ferien!$B$7+ROW(B118)-1&lt;=Ferien!$C$7, Ferien!$B$7+ROW(B118)-1, "")</f>
        <v/>
      </c>
      <c r="F120" s="1" t="str">
        <f>IF(Ferien!$B$8+ROW(B118)-1&lt;=Ferien!$C$8, Ferien!$B$8+ROW(B118)-1, "")</f>
        <v/>
      </c>
      <c r="G120" s="1" t="str">
        <f>IF(Ferien!$B$9+ROW(B118)-1&lt;=Ferien!$C$9, Ferien!$B$9+ROW(B118)-1, "")</f>
        <v/>
      </c>
      <c r="H120" s="1" t="str">
        <f>IF(Ferien!$B$10+ROW(B118)-1&lt;=Ferien!$C$10, Ferien!$B$10+ROW(B118)-1, "")</f>
        <v/>
      </c>
      <c r="I120" s="1" t="str">
        <f>IF(Ferien!$B$11+ROW(B118)-1&lt;=Ferien!$C$11, Ferien!$B$11+ROW(B118)-1, "")</f>
        <v/>
      </c>
      <c r="J120" s="1" t="str">
        <f>IF(Ferien!$B$12+ROW(B118)-1&lt;=Ferien!$C$12, Ferien!$B$12+ROW(B118)-1, "")</f>
        <v/>
      </c>
      <c r="K120" s="1" t="str">
        <f>IF(Ferien!$B$13+ROW(B118)-1&lt;=Ferien!$C$13, Ferien!$B$13+ROW(B118)-1, "")</f>
        <v/>
      </c>
      <c r="L120" s="1" t="str">
        <f>IF(Ferien!$B$14+ROW(B118)-1&lt;=Ferien!$C$14, Ferien!$B$14+ROW(B118)-1, "")</f>
        <v/>
      </c>
      <c r="M120" s="1" t="str">
        <f>IF(Ferien!$B$15+ROW(B118)-1&lt;=Ferien!$C$15, Ferien!$B$15+ROW(B118)-1, "")</f>
        <v/>
      </c>
      <c r="N120" s="1" t="str">
        <f>IF(Ferien!$B$16+ROW(B118)-1&lt;=Ferien!$C$16, Ferien!$B$16+ROW(B118)-1, "")</f>
        <v/>
      </c>
      <c r="O120" s="1" t="str">
        <f>IF(Ferien!$B$17+ROW(B118)-1&lt;=Ferien!$C$17, Ferien!$B$17+ROW(B118)-1, "")</f>
        <v/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x14ac:dyDescent="0.3">
      <c r="A121" s="1" t="str">
        <f>IF(Ferien!$B$3+ROW(A119)-1&lt;=Ferien!$C$3, Ferien!$B$3+ROW(A119)-1, "")</f>
        <v/>
      </c>
      <c r="B121" s="1"/>
      <c r="C121" s="1"/>
      <c r="D121" s="1"/>
      <c r="E121" s="1" t="str">
        <f>IF(Ferien!$B$7+ROW(B119)-1&lt;=Ferien!$C$7, Ferien!$B$7+ROW(B119)-1, "")</f>
        <v/>
      </c>
      <c r="F121" s="1" t="str">
        <f>IF(Ferien!$B$8+ROW(B119)-1&lt;=Ferien!$C$8, Ferien!$B$8+ROW(B119)-1, "")</f>
        <v/>
      </c>
      <c r="G121" s="1" t="str">
        <f>IF(Ferien!$B$9+ROW(B119)-1&lt;=Ferien!$C$9, Ferien!$B$9+ROW(B119)-1, "")</f>
        <v/>
      </c>
      <c r="H121" s="1" t="str">
        <f>IF(Ferien!$B$10+ROW(B119)-1&lt;=Ferien!$C$10, Ferien!$B$10+ROW(B119)-1, "")</f>
        <v/>
      </c>
      <c r="I121" s="1" t="str">
        <f>IF(Ferien!$B$11+ROW(B119)-1&lt;=Ferien!$C$11, Ferien!$B$11+ROW(B119)-1, "")</f>
        <v/>
      </c>
      <c r="J121" s="1" t="str">
        <f>IF(Ferien!$B$12+ROW(B119)-1&lt;=Ferien!$C$12, Ferien!$B$12+ROW(B119)-1, "")</f>
        <v/>
      </c>
      <c r="K121" s="1" t="str">
        <f>IF(Ferien!$B$13+ROW(B119)-1&lt;=Ferien!$C$13, Ferien!$B$13+ROW(B119)-1, "")</f>
        <v/>
      </c>
      <c r="L121" s="1" t="str">
        <f>IF(Ferien!$B$14+ROW(B119)-1&lt;=Ferien!$C$14, Ferien!$B$14+ROW(B119)-1, "")</f>
        <v/>
      </c>
      <c r="M121" s="1" t="str">
        <f>IF(Ferien!$B$15+ROW(B119)-1&lt;=Ferien!$C$15, Ferien!$B$15+ROW(B119)-1, "")</f>
        <v/>
      </c>
      <c r="N121" s="1" t="str">
        <f>IF(Ferien!$B$16+ROW(B119)-1&lt;=Ferien!$C$16, Ferien!$B$16+ROW(B119)-1, "")</f>
        <v/>
      </c>
      <c r="O121" s="1" t="str">
        <f>IF(Ferien!$B$17+ROW(B119)-1&lt;=Ferien!$C$17, Ferien!$B$17+ROW(B119)-1, "")</f>
        <v/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3">
      <c r="A122" s="1" t="str">
        <f>IF(Ferien!$B$3+ROW(A120)-1&lt;=Ferien!$C$3, Ferien!$B$3+ROW(A120)-1, "")</f>
        <v/>
      </c>
      <c r="B122" s="1"/>
      <c r="C122" s="1"/>
      <c r="D122" s="1"/>
      <c r="E122" s="1" t="str">
        <f>IF(Ferien!$B$7+ROW(B120)-1&lt;=Ferien!$C$7, Ferien!$B$7+ROW(B120)-1, "")</f>
        <v/>
      </c>
      <c r="F122" s="1" t="str">
        <f>IF(Ferien!$B$8+ROW(B120)-1&lt;=Ferien!$C$8, Ferien!$B$8+ROW(B120)-1, "")</f>
        <v/>
      </c>
      <c r="G122" s="1" t="str">
        <f>IF(Ferien!$B$9+ROW(B120)-1&lt;=Ferien!$C$9, Ferien!$B$9+ROW(B120)-1, "")</f>
        <v/>
      </c>
      <c r="H122" s="1" t="str">
        <f>IF(Ferien!$B$10+ROW(B120)-1&lt;=Ferien!$C$10, Ferien!$B$10+ROW(B120)-1, "")</f>
        <v/>
      </c>
      <c r="I122" s="1" t="str">
        <f>IF(Ferien!$B$11+ROW(B120)-1&lt;=Ferien!$C$11, Ferien!$B$11+ROW(B120)-1, "")</f>
        <v/>
      </c>
      <c r="J122" s="1" t="str">
        <f>IF(Ferien!$B$12+ROW(B120)-1&lt;=Ferien!$C$12, Ferien!$B$12+ROW(B120)-1, "")</f>
        <v/>
      </c>
      <c r="K122" s="1" t="str">
        <f>IF(Ferien!$B$13+ROW(B120)-1&lt;=Ferien!$C$13, Ferien!$B$13+ROW(B120)-1, "")</f>
        <v/>
      </c>
      <c r="L122" s="1" t="str">
        <f>IF(Ferien!$B$14+ROW(B120)-1&lt;=Ferien!$C$14, Ferien!$B$14+ROW(B120)-1, "")</f>
        <v/>
      </c>
      <c r="M122" s="1" t="str">
        <f>IF(Ferien!$B$15+ROW(B120)-1&lt;=Ferien!$C$15, Ferien!$B$15+ROW(B120)-1, "")</f>
        <v/>
      </c>
      <c r="N122" s="1" t="str">
        <f>IF(Ferien!$B$16+ROW(B120)-1&lt;=Ferien!$C$16, Ferien!$B$16+ROW(B120)-1, "")</f>
        <v/>
      </c>
      <c r="O122" s="1" t="str">
        <f>IF(Ferien!$B$17+ROW(B120)-1&lt;=Ferien!$C$17, Ferien!$B$17+ROW(B120)-1, "")</f>
        <v/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3">
      <c r="A123" s="1" t="str">
        <f>IF(Ferien!$B$3+ROW(A121)-1&lt;=Ferien!$C$3, Ferien!$B$3+ROW(A121)-1, "")</f>
        <v/>
      </c>
      <c r="B123" s="1"/>
      <c r="C123" s="1"/>
      <c r="D123" s="1"/>
      <c r="E123" s="1" t="str">
        <f>IF(Ferien!$B$7+ROW(B121)-1&lt;=Ferien!$C$7, Ferien!$B$7+ROW(B121)-1, "")</f>
        <v/>
      </c>
      <c r="F123" s="1" t="str">
        <f>IF(Ferien!$B$8+ROW(B121)-1&lt;=Ferien!$C$8, Ferien!$B$8+ROW(B121)-1, "")</f>
        <v/>
      </c>
      <c r="G123" s="1" t="str">
        <f>IF(Ferien!$B$9+ROW(B121)-1&lt;=Ferien!$C$9, Ferien!$B$9+ROW(B121)-1, "")</f>
        <v/>
      </c>
      <c r="H123" s="1" t="str">
        <f>IF(Ferien!$B$10+ROW(B121)-1&lt;=Ferien!$C$10, Ferien!$B$10+ROW(B121)-1, "")</f>
        <v/>
      </c>
      <c r="I123" s="1" t="str">
        <f>IF(Ferien!$B$11+ROW(B121)-1&lt;=Ferien!$C$11, Ferien!$B$11+ROW(B121)-1, "")</f>
        <v/>
      </c>
      <c r="J123" s="1" t="str">
        <f>IF(Ferien!$B$12+ROW(B121)-1&lt;=Ferien!$C$12, Ferien!$B$12+ROW(B121)-1, "")</f>
        <v/>
      </c>
      <c r="K123" s="1" t="str">
        <f>IF(Ferien!$B$13+ROW(B121)-1&lt;=Ferien!$C$13, Ferien!$B$13+ROW(B121)-1, "")</f>
        <v/>
      </c>
      <c r="L123" s="1" t="str">
        <f>IF(Ferien!$B$14+ROW(B121)-1&lt;=Ferien!$C$14, Ferien!$B$14+ROW(B121)-1, "")</f>
        <v/>
      </c>
      <c r="M123" s="1" t="str">
        <f>IF(Ferien!$B$15+ROW(B121)-1&lt;=Ferien!$C$15, Ferien!$B$15+ROW(B121)-1, "")</f>
        <v/>
      </c>
      <c r="N123" s="1" t="str">
        <f>IF(Ferien!$B$16+ROW(B121)-1&lt;=Ferien!$C$16, Ferien!$B$16+ROW(B121)-1, "")</f>
        <v/>
      </c>
      <c r="O123" s="1" t="str">
        <f>IF(Ferien!$B$17+ROW(B121)-1&lt;=Ferien!$C$17, Ferien!$B$17+ROW(B121)-1, "")</f>
        <v/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x14ac:dyDescent="0.3">
      <c r="A124" s="1" t="str">
        <f>IF(Ferien!$B$3+ROW(A122)-1&lt;=Ferien!$C$3, Ferien!$B$3+ROW(A122)-1, "")</f>
        <v/>
      </c>
      <c r="B124" s="1"/>
      <c r="C124" s="1"/>
      <c r="D124" s="1"/>
      <c r="E124" s="1" t="str">
        <f>IF(Ferien!$B$7+ROW(B122)-1&lt;=Ferien!$C$7, Ferien!$B$7+ROW(B122)-1, "")</f>
        <v/>
      </c>
      <c r="F124" s="1" t="str">
        <f>IF(Ferien!$B$8+ROW(B122)-1&lt;=Ferien!$C$8, Ferien!$B$8+ROW(B122)-1, "")</f>
        <v/>
      </c>
      <c r="G124" s="1" t="str">
        <f>IF(Ferien!$B$9+ROW(B122)-1&lt;=Ferien!$C$9, Ferien!$B$9+ROW(B122)-1, "")</f>
        <v/>
      </c>
      <c r="H124" s="1" t="str">
        <f>IF(Ferien!$B$10+ROW(B122)-1&lt;=Ferien!$C$10, Ferien!$B$10+ROW(B122)-1, "")</f>
        <v/>
      </c>
      <c r="I124" s="1" t="str">
        <f>IF(Ferien!$B$11+ROW(B122)-1&lt;=Ferien!$C$11, Ferien!$B$11+ROW(B122)-1, "")</f>
        <v/>
      </c>
      <c r="J124" s="1" t="str">
        <f>IF(Ferien!$B$12+ROW(B122)-1&lt;=Ferien!$C$12, Ferien!$B$12+ROW(B122)-1, "")</f>
        <v/>
      </c>
      <c r="K124" s="1" t="str">
        <f>IF(Ferien!$B$13+ROW(B122)-1&lt;=Ferien!$C$13, Ferien!$B$13+ROW(B122)-1, "")</f>
        <v/>
      </c>
      <c r="L124" s="1" t="str">
        <f>IF(Ferien!$B$14+ROW(B122)-1&lt;=Ferien!$C$14, Ferien!$B$14+ROW(B122)-1, "")</f>
        <v/>
      </c>
      <c r="M124" s="1" t="str">
        <f>IF(Ferien!$B$15+ROW(B122)-1&lt;=Ferien!$C$15, Ferien!$B$15+ROW(B122)-1, "")</f>
        <v/>
      </c>
      <c r="N124" s="1" t="str">
        <f>IF(Ferien!$B$16+ROW(B122)-1&lt;=Ferien!$C$16, Ferien!$B$16+ROW(B122)-1, "")</f>
        <v/>
      </c>
      <c r="O124" s="1" t="str">
        <f>IF(Ferien!$B$17+ROW(B122)-1&lt;=Ferien!$C$17, Ferien!$B$17+ROW(B122)-1, "")</f>
        <v/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x14ac:dyDescent="0.3">
      <c r="A125" s="1" t="str">
        <f>IF(Ferien!$B$3+ROW(A123)-1&lt;=Ferien!$C$3, Ferien!$B$3+ROW(A123)-1, "")</f>
        <v/>
      </c>
      <c r="B125" s="1"/>
      <c r="C125" s="1"/>
      <c r="D125" s="1"/>
      <c r="E125" s="1" t="str">
        <f>IF(Ferien!$B$7+ROW(B123)-1&lt;=Ferien!$C$7, Ferien!$B$7+ROW(B123)-1, "")</f>
        <v/>
      </c>
      <c r="F125" s="1" t="str">
        <f>IF(Ferien!$B$8+ROW(B123)-1&lt;=Ferien!$C$8, Ferien!$B$8+ROW(B123)-1, "")</f>
        <v/>
      </c>
      <c r="G125" s="1" t="str">
        <f>IF(Ferien!$B$9+ROW(B123)-1&lt;=Ferien!$C$9, Ferien!$B$9+ROW(B123)-1, "")</f>
        <v/>
      </c>
      <c r="H125" s="1" t="str">
        <f>IF(Ferien!$B$10+ROW(B123)-1&lt;=Ferien!$C$10, Ferien!$B$10+ROW(B123)-1, "")</f>
        <v/>
      </c>
      <c r="I125" s="1" t="str">
        <f>IF(Ferien!$B$11+ROW(B123)-1&lt;=Ferien!$C$11, Ferien!$B$11+ROW(B123)-1, "")</f>
        <v/>
      </c>
      <c r="J125" s="1" t="str">
        <f>IF(Ferien!$B$12+ROW(B123)-1&lt;=Ferien!$C$12, Ferien!$B$12+ROW(B123)-1, "")</f>
        <v/>
      </c>
      <c r="K125" s="1" t="str">
        <f>IF(Ferien!$B$13+ROW(B123)-1&lt;=Ferien!$C$13, Ferien!$B$13+ROW(B123)-1, "")</f>
        <v/>
      </c>
      <c r="L125" s="1" t="str">
        <f>IF(Ferien!$B$14+ROW(B123)-1&lt;=Ferien!$C$14, Ferien!$B$14+ROW(B123)-1, "")</f>
        <v/>
      </c>
      <c r="M125" s="1" t="str">
        <f>IF(Ferien!$B$15+ROW(B123)-1&lt;=Ferien!$C$15, Ferien!$B$15+ROW(B123)-1, "")</f>
        <v/>
      </c>
      <c r="N125" s="1" t="str">
        <f>IF(Ferien!$B$16+ROW(B123)-1&lt;=Ferien!$C$16, Ferien!$B$16+ROW(B123)-1, "")</f>
        <v/>
      </c>
      <c r="O125" s="1" t="str">
        <f>IF(Ferien!$B$17+ROW(B123)-1&lt;=Ferien!$C$17, Ferien!$B$17+ROW(B123)-1, "")</f>
        <v/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x14ac:dyDescent="0.3">
      <c r="A126" s="1" t="str">
        <f>IF(Ferien!$B$3+ROW(A124)-1&lt;=Ferien!$C$3, Ferien!$B$3+ROW(A124)-1, "")</f>
        <v/>
      </c>
      <c r="B126" s="1"/>
      <c r="C126" s="1"/>
      <c r="D126" s="1"/>
      <c r="E126" s="1" t="str">
        <f>IF(Ferien!$B$7+ROW(B124)-1&lt;=Ferien!$C$7, Ferien!$B$7+ROW(B124)-1, "")</f>
        <v/>
      </c>
      <c r="F126" s="1" t="str">
        <f>IF(Ferien!$B$8+ROW(B124)-1&lt;=Ferien!$C$8, Ferien!$B$8+ROW(B124)-1, "")</f>
        <v/>
      </c>
      <c r="G126" s="1" t="str">
        <f>IF(Ferien!$B$9+ROW(B124)-1&lt;=Ferien!$C$9, Ferien!$B$9+ROW(B124)-1, "")</f>
        <v/>
      </c>
      <c r="H126" s="1" t="str">
        <f>IF(Ferien!$B$10+ROW(B124)-1&lt;=Ferien!$C$10, Ferien!$B$10+ROW(B124)-1, "")</f>
        <v/>
      </c>
      <c r="I126" s="1" t="str">
        <f>IF(Ferien!$B$11+ROW(B124)-1&lt;=Ferien!$C$11, Ferien!$B$11+ROW(B124)-1, "")</f>
        <v/>
      </c>
      <c r="J126" s="1" t="str">
        <f>IF(Ferien!$B$12+ROW(B124)-1&lt;=Ferien!$C$12, Ferien!$B$12+ROW(B124)-1, "")</f>
        <v/>
      </c>
      <c r="K126" s="1" t="str">
        <f>IF(Ferien!$B$13+ROW(B124)-1&lt;=Ferien!$C$13, Ferien!$B$13+ROW(B124)-1, "")</f>
        <v/>
      </c>
      <c r="L126" s="1" t="str">
        <f>IF(Ferien!$B$14+ROW(B124)-1&lt;=Ferien!$C$14, Ferien!$B$14+ROW(B124)-1, "")</f>
        <v/>
      </c>
      <c r="M126" s="1" t="str">
        <f>IF(Ferien!$B$15+ROW(B124)-1&lt;=Ferien!$C$15, Ferien!$B$15+ROW(B124)-1, "")</f>
        <v/>
      </c>
      <c r="N126" s="1" t="str">
        <f>IF(Ferien!$B$16+ROW(B124)-1&lt;=Ferien!$C$16, Ferien!$B$16+ROW(B124)-1, "")</f>
        <v/>
      </c>
      <c r="O126" s="1" t="str">
        <f>IF(Ferien!$B$17+ROW(B124)-1&lt;=Ferien!$C$17, Ferien!$B$17+ROW(B124)-1, "")</f>
        <v/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x14ac:dyDescent="0.3">
      <c r="A127" s="1" t="str">
        <f>IF(Ferien!$B$3+ROW(A125)-1&lt;=Ferien!$C$3, Ferien!$B$3+ROW(A125)-1, "")</f>
        <v/>
      </c>
      <c r="B127" s="1"/>
      <c r="C127" s="1"/>
      <c r="D127" s="1"/>
      <c r="E127" s="1" t="str">
        <f>IF(Ferien!$B$7+ROW(B125)-1&lt;=Ferien!$C$7, Ferien!$B$7+ROW(B125)-1, "")</f>
        <v/>
      </c>
      <c r="F127" s="1" t="str">
        <f>IF(Ferien!$B$8+ROW(B125)-1&lt;=Ferien!$C$8, Ferien!$B$8+ROW(B125)-1, "")</f>
        <v/>
      </c>
      <c r="G127" s="1" t="str">
        <f>IF(Ferien!$B$9+ROW(B125)-1&lt;=Ferien!$C$9, Ferien!$B$9+ROW(B125)-1, "")</f>
        <v/>
      </c>
      <c r="H127" s="1" t="str">
        <f>IF(Ferien!$B$10+ROW(B125)-1&lt;=Ferien!$C$10, Ferien!$B$10+ROW(B125)-1, "")</f>
        <v/>
      </c>
      <c r="I127" s="1" t="str">
        <f>IF(Ferien!$B$11+ROW(B125)-1&lt;=Ferien!$C$11, Ferien!$B$11+ROW(B125)-1, "")</f>
        <v/>
      </c>
      <c r="J127" s="1" t="str">
        <f>IF(Ferien!$B$12+ROW(B125)-1&lt;=Ferien!$C$12, Ferien!$B$12+ROW(B125)-1, "")</f>
        <v/>
      </c>
      <c r="K127" s="1" t="str">
        <f>IF(Ferien!$B$13+ROW(B125)-1&lt;=Ferien!$C$13, Ferien!$B$13+ROW(B125)-1, "")</f>
        <v/>
      </c>
      <c r="L127" s="1" t="str">
        <f>IF(Ferien!$B$14+ROW(B125)-1&lt;=Ferien!$C$14, Ferien!$B$14+ROW(B125)-1, "")</f>
        <v/>
      </c>
      <c r="M127" s="1" t="str">
        <f>IF(Ferien!$B$15+ROW(B125)-1&lt;=Ferien!$C$15, Ferien!$B$15+ROW(B125)-1, "")</f>
        <v/>
      </c>
      <c r="N127" s="1" t="str">
        <f>IF(Ferien!$B$16+ROW(B125)-1&lt;=Ferien!$C$16, Ferien!$B$16+ROW(B125)-1, "")</f>
        <v/>
      </c>
      <c r="O127" s="1" t="str">
        <f>IF(Ferien!$B$17+ROW(B125)-1&lt;=Ferien!$C$17, Ferien!$B$17+ROW(B125)-1, "")</f>
        <v/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x14ac:dyDescent="0.3">
      <c r="A128" s="1" t="str">
        <f>IF(Ferien!$B$3+ROW(A126)-1&lt;=Ferien!$C$3, Ferien!$B$3+ROW(A126)-1, "")</f>
        <v/>
      </c>
      <c r="B128" s="1"/>
      <c r="C128" s="1"/>
      <c r="D128" s="1"/>
      <c r="E128" s="1" t="str">
        <f>IF(Ferien!$B$7+ROW(B126)-1&lt;=Ferien!$C$7, Ferien!$B$7+ROW(B126)-1, "")</f>
        <v/>
      </c>
      <c r="F128" s="1" t="str">
        <f>IF(Ferien!$B$8+ROW(B126)-1&lt;=Ferien!$C$8, Ferien!$B$8+ROW(B126)-1, "")</f>
        <v/>
      </c>
      <c r="G128" s="1" t="str">
        <f>IF(Ferien!$B$9+ROW(B126)-1&lt;=Ferien!$C$9, Ferien!$B$9+ROW(B126)-1, "")</f>
        <v/>
      </c>
      <c r="H128" s="1" t="str">
        <f>IF(Ferien!$B$10+ROW(B126)-1&lt;=Ferien!$C$10, Ferien!$B$10+ROW(B126)-1, "")</f>
        <v/>
      </c>
      <c r="I128" s="1" t="str">
        <f>IF(Ferien!$B$11+ROW(B126)-1&lt;=Ferien!$C$11, Ferien!$B$11+ROW(B126)-1, "")</f>
        <v/>
      </c>
      <c r="J128" s="1" t="str">
        <f>IF(Ferien!$B$12+ROW(B126)-1&lt;=Ferien!$C$12, Ferien!$B$12+ROW(B126)-1, "")</f>
        <v/>
      </c>
      <c r="K128" s="1" t="str">
        <f>IF(Ferien!$B$13+ROW(B126)-1&lt;=Ferien!$C$13, Ferien!$B$13+ROW(B126)-1, "")</f>
        <v/>
      </c>
      <c r="L128" s="1" t="str">
        <f>IF(Ferien!$B$14+ROW(B126)-1&lt;=Ferien!$C$14, Ferien!$B$14+ROW(B126)-1, "")</f>
        <v/>
      </c>
      <c r="M128" s="1" t="str">
        <f>IF(Ferien!$B$15+ROW(B126)-1&lt;=Ferien!$C$15, Ferien!$B$15+ROW(B126)-1, "")</f>
        <v/>
      </c>
      <c r="N128" s="1" t="str">
        <f>IF(Ferien!$B$16+ROW(B126)-1&lt;=Ferien!$C$16, Ferien!$B$16+ROW(B126)-1, "")</f>
        <v/>
      </c>
      <c r="O128" s="1" t="str">
        <f>IF(Ferien!$B$17+ROW(B126)-1&lt;=Ferien!$C$17, Ferien!$B$17+ROW(B126)-1, "")</f>
        <v/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x14ac:dyDescent="0.3">
      <c r="A129" s="1" t="str">
        <f>IF(Ferien!$B$3+ROW(A127)-1&lt;=Ferien!$C$3, Ferien!$B$3+ROW(A127)-1, "")</f>
        <v/>
      </c>
      <c r="B129" s="1"/>
      <c r="C129" s="1"/>
      <c r="D129" s="1"/>
      <c r="E129" s="1" t="str">
        <f>IF(Ferien!$B$7+ROW(B127)-1&lt;=Ferien!$C$7, Ferien!$B$7+ROW(B127)-1, "")</f>
        <v/>
      </c>
      <c r="F129" s="1" t="str">
        <f>IF(Ferien!$B$8+ROW(B127)-1&lt;=Ferien!$C$8, Ferien!$B$8+ROW(B127)-1, "")</f>
        <v/>
      </c>
      <c r="G129" s="1" t="str">
        <f>IF(Ferien!$B$9+ROW(B127)-1&lt;=Ferien!$C$9, Ferien!$B$9+ROW(B127)-1, "")</f>
        <v/>
      </c>
      <c r="H129" s="1" t="str">
        <f>IF(Ferien!$B$10+ROW(B127)-1&lt;=Ferien!$C$10, Ferien!$B$10+ROW(B127)-1, "")</f>
        <v/>
      </c>
      <c r="I129" s="1" t="str">
        <f>IF(Ferien!$B$11+ROW(B127)-1&lt;=Ferien!$C$11, Ferien!$B$11+ROW(B127)-1, "")</f>
        <v/>
      </c>
      <c r="J129" s="1" t="str">
        <f>IF(Ferien!$B$12+ROW(B127)-1&lt;=Ferien!$C$12, Ferien!$B$12+ROW(B127)-1, "")</f>
        <v/>
      </c>
      <c r="K129" s="1" t="str">
        <f>IF(Ferien!$B$13+ROW(B127)-1&lt;=Ferien!$C$13, Ferien!$B$13+ROW(B127)-1, "")</f>
        <v/>
      </c>
      <c r="L129" s="1" t="str">
        <f>IF(Ferien!$B$14+ROW(B127)-1&lt;=Ferien!$C$14, Ferien!$B$14+ROW(B127)-1, "")</f>
        <v/>
      </c>
      <c r="M129" s="1" t="str">
        <f>IF(Ferien!$B$15+ROW(B127)-1&lt;=Ferien!$C$15, Ferien!$B$15+ROW(B127)-1, "")</f>
        <v/>
      </c>
      <c r="N129" s="1" t="str">
        <f>IF(Ferien!$B$16+ROW(B127)-1&lt;=Ferien!$C$16, Ferien!$B$16+ROW(B127)-1, "")</f>
        <v/>
      </c>
      <c r="O129" s="1" t="str">
        <f>IF(Ferien!$B$17+ROW(B127)-1&lt;=Ferien!$C$17, Ferien!$B$17+ROW(B127)-1, "")</f>
        <v/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x14ac:dyDescent="0.3">
      <c r="A130" s="1" t="str">
        <f>IF(Ferien!$B$3+ROW(A128)-1&lt;=Ferien!$C$3, Ferien!$B$3+ROW(A128)-1, "")</f>
        <v/>
      </c>
      <c r="B130" s="1"/>
      <c r="C130" s="1"/>
      <c r="D130" s="1"/>
      <c r="E130" s="1" t="str">
        <f>IF(Ferien!$B$7+ROW(B128)-1&lt;=Ferien!$C$7, Ferien!$B$7+ROW(B128)-1, "")</f>
        <v/>
      </c>
      <c r="F130" s="1" t="str">
        <f>IF(Ferien!$B$8+ROW(B128)-1&lt;=Ferien!$C$8, Ferien!$B$8+ROW(B128)-1, "")</f>
        <v/>
      </c>
      <c r="G130" s="1" t="str">
        <f>IF(Ferien!$B$9+ROW(B128)-1&lt;=Ferien!$C$9, Ferien!$B$9+ROW(B128)-1, "")</f>
        <v/>
      </c>
      <c r="H130" s="1" t="str">
        <f>IF(Ferien!$B$10+ROW(B128)-1&lt;=Ferien!$C$10, Ferien!$B$10+ROW(B128)-1, "")</f>
        <v/>
      </c>
      <c r="I130" s="1" t="str">
        <f>IF(Ferien!$B$11+ROW(B128)-1&lt;=Ferien!$C$11, Ferien!$B$11+ROW(B128)-1, "")</f>
        <v/>
      </c>
      <c r="J130" s="1" t="str">
        <f>IF(Ferien!$B$12+ROW(B128)-1&lt;=Ferien!$C$12, Ferien!$B$12+ROW(B128)-1, "")</f>
        <v/>
      </c>
      <c r="K130" s="1" t="str">
        <f>IF(Ferien!$B$13+ROW(B128)-1&lt;=Ferien!$C$13, Ferien!$B$13+ROW(B128)-1, "")</f>
        <v/>
      </c>
      <c r="L130" s="1" t="str">
        <f>IF(Ferien!$B$14+ROW(B128)-1&lt;=Ferien!$C$14, Ferien!$B$14+ROW(B128)-1, "")</f>
        <v/>
      </c>
      <c r="M130" s="1" t="str">
        <f>IF(Ferien!$B$15+ROW(B128)-1&lt;=Ferien!$C$15, Ferien!$B$15+ROW(B128)-1, "")</f>
        <v/>
      </c>
      <c r="N130" s="1" t="str">
        <f>IF(Ferien!$B$16+ROW(B128)-1&lt;=Ferien!$C$16, Ferien!$B$16+ROW(B128)-1, "")</f>
        <v/>
      </c>
      <c r="O130" s="1" t="str">
        <f>IF(Ferien!$B$17+ROW(B128)-1&lt;=Ferien!$C$17, Ferien!$B$17+ROW(B128)-1, "")</f>
        <v/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x14ac:dyDescent="0.3">
      <c r="A131" s="1" t="str">
        <f>IF(Ferien!$B$3+ROW(A129)-1&lt;=Ferien!$C$3, Ferien!$B$3+ROW(A129)-1, "")</f>
        <v/>
      </c>
      <c r="B131" s="1"/>
      <c r="C131" s="1"/>
      <c r="D131" s="1"/>
      <c r="E131" s="1" t="str">
        <f>IF(Ferien!$B$7+ROW(B129)-1&lt;=Ferien!$C$7, Ferien!$B$7+ROW(B129)-1, "")</f>
        <v/>
      </c>
      <c r="F131" s="1" t="str">
        <f>IF(Ferien!$B$8+ROW(B129)-1&lt;=Ferien!$C$8, Ferien!$B$8+ROW(B129)-1, "")</f>
        <v/>
      </c>
      <c r="G131" s="1" t="str">
        <f>IF(Ferien!$B$9+ROW(B129)-1&lt;=Ferien!$C$9, Ferien!$B$9+ROW(B129)-1, "")</f>
        <v/>
      </c>
      <c r="H131" s="1" t="str">
        <f>IF(Ferien!$B$10+ROW(B129)-1&lt;=Ferien!$C$10, Ferien!$B$10+ROW(B129)-1, "")</f>
        <v/>
      </c>
      <c r="I131" s="1" t="str">
        <f>IF(Ferien!$B$11+ROW(B129)-1&lt;=Ferien!$C$11, Ferien!$B$11+ROW(B129)-1, "")</f>
        <v/>
      </c>
      <c r="J131" s="1" t="str">
        <f>IF(Ferien!$B$12+ROW(B129)-1&lt;=Ferien!$C$12, Ferien!$B$12+ROW(B129)-1, "")</f>
        <v/>
      </c>
      <c r="K131" s="1" t="str">
        <f>IF(Ferien!$B$13+ROW(B129)-1&lt;=Ferien!$C$13, Ferien!$B$13+ROW(B129)-1, "")</f>
        <v/>
      </c>
      <c r="L131" s="1" t="str">
        <f>IF(Ferien!$B$14+ROW(B129)-1&lt;=Ferien!$C$14, Ferien!$B$14+ROW(B129)-1, "")</f>
        <v/>
      </c>
      <c r="M131" s="1" t="str">
        <f>IF(Ferien!$B$15+ROW(B129)-1&lt;=Ferien!$C$15, Ferien!$B$15+ROW(B129)-1, "")</f>
        <v/>
      </c>
      <c r="N131" s="1" t="str">
        <f>IF(Ferien!$B$16+ROW(B129)-1&lt;=Ferien!$C$16, Ferien!$B$16+ROW(B129)-1, "")</f>
        <v/>
      </c>
      <c r="O131" s="1" t="str">
        <f>IF(Ferien!$B$17+ROW(B129)-1&lt;=Ferien!$C$17, Ferien!$B$17+ROW(B129)-1, "")</f>
        <v/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x14ac:dyDescent="0.3">
      <c r="A132" s="1" t="str">
        <f>IF(Ferien!$B$3+ROW(A130)-1&lt;=Ferien!$C$3, Ferien!$B$3+ROW(A130)-1, "")</f>
        <v/>
      </c>
      <c r="B132" s="1"/>
      <c r="C132" s="1"/>
      <c r="D132" s="1"/>
      <c r="E132" s="1" t="str">
        <f>IF(Ferien!$B$7+ROW(B130)-1&lt;=Ferien!$C$7, Ferien!$B$7+ROW(B130)-1, "")</f>
        <v/>
      </c>
      <c r="F132" s="1" t="str">
        <f>IF(Ferien!$B$8+ROW(B130)-1&lt;=Ferien!$C$8, Ferien!$B$8+ROW(B130)-1, "")</f>
        <v/>
      </c>
      <c r="G132" s="1" t="str">
        <f>IF(Ferien!$B$9+ROW(B130)-1&lt;=Ferien!$C$9, Ferien!$B$9+ROW(B130)-1, "")</f>
        <v/>
      </c>
      <c r="H132" s="1" t="str">
        <f>IF(Ferien!$B$10+ROW(B130)-1&lt;=Ferien!$C$10, Ferien!$B$10+ROW(B130)-1, "")</f>
        <v/>
      </c>
      <c r="I132" s="1" t="str">
        <f>IF(Ferien!$B$11+ROW(B130)-1&lt;=Ferien!$C$11, Ferien!$B$11+ROW(B130)-1, "")</f>
        <v/>
      </c>
      <c r="J132" s="1" t="str">
        <f>IF(Ferien!$B$12+ROW(B130)-1&lt;=Ferien!$C$12, Ferien!$B$12+ROW(B130)-1, "")</f>
        <v/>
      </c>
      <c r="K132" s="1" t="str">
        <f>IF(Ferien!$B$13+ROW(B130)-1&lt;=Ferien!$C$13, Ferien!$B$13+ROW(B130)-1, "")</f>
        <v/>
      </c>
      <c r="L132" s="1" t="str">
        <f>IF(Ferien!$B$14+ROW(B130)-1&lt;=Ferien!$C$14, Ferien!$B$14+ROW(B130)-1, "")</f>
        <v/>
      </c>
      <c r="M132" s="1" t="str">
        <f>IF(Ferien!$B$15+ROW(B130)-1&lt;=Ferien!$C$15, Ferien!$B$15+ROW(B130)-1, "")</f>
        <v/>
      </c>
      <c r="N132" s="1" t="str">
        <f>IF(Ferien!$B$16+ROW(B130)-1&lt;=Ferien!$C$16, Ferien!$B$16+ROW(B130)-1, "")</f>
        <v/>
      </c>
      <c r="O132" s="1" t="str">
        <f>IF(Ferien!$B$17+ROW(B130)-1&lt;=Ferien!$C$17, Ferien!$B$17+ROW(B130)-1, "")</f>
        <v/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x14ac:dyDescent="0.3">
      <c r="A133" s="1" t="str">
        <f>IF(Ferien!$B$3+ROW(A131)-1&lt;=Ferien!$C$3, Ferien!$B$3+ROW(A131)-1, "")</f>
        <v/>
      </c>
      <c r="B133" s="1"/>
      <c r="C133" s="1"/>
      <c r="D133" s="1"/>
      <c r="E133" s="1" t="str">
        <f>IF(Ferien!$B$7+ROW(B131)-1&lt;=Ferien!$C$7, Ferien!$B$7+ROW(B131)-1, "")</f>
        <v/>
      </c>
      <c r="F133" s="1" t="str">
        <f>IF(Ferien!$B$8+ROW(B131)-1&lt;=Ferien!$C$8, Ferien!$B$8+ROW(B131)-1, "")</f>
        <v/>
      </c>
      <c r="G133" s="1" t="str">
        <f>IF(Ferien!$B$9+ROW(B131)-1&lt;=Ferien!$C$9, Ferien!$B$9+ROW(B131)-1, "")</f>
        <v/>
      </c>
      <c r="H133" s="1" t="str">
        <f>IF(Ferien!$B$10+ROW(B131)-1&lt;=Ferien!$C$10, Ferien!$B$10+ROW(B131)-1, "")</f>
        <v/>
      </c>
      <c r="I133" s="1" t="str">
        <f>IF(Ferien!$B$11+ROW(B131)-1&lt;=Ferien!$C$11, Ferien!$B$11+ROW(B131)-1, "")</f>
        <v/>
      </c>
      <c r="J133" s="1" t="str">
        <f>IF(Ferien!$B$12+ROW(B131)-1&lt;=Ferien!$C$12, Ferien!$B$12+ROW(B131)-1, "")</f>
        <v/>
      </c>
      <c r="K133" s="1" t="str">
        <f>IF(Ferien!$B$13+ROW(B131)-1&lt;=Ferien!$C$13, Ferien!$B$13+ROW(B131)-1, "")</f>
        <v/>
      </c>
      <c r="L133" s="1" t="str">
        <f>IF(Ferien!$B$14+ROW(B131)-1&lt;=Ferien!$C$14, Ferien!$B$14+ROW(B131)-1, "")</f>
        <v/>
      </c>
      <c r="M133" s="1" t="str">
        <f>IF(Ferien!$B$15+ROW(B131)-1&lt;=Ferien!$C$15, Ferien!$B$15+ROW(B131)-1, "")</f>
        <v/>
      </c>
      <c r="N133" s="1" t="str">
        <f>IF(Ferien!$B$16+ROW(B131)-1&lt;=Ferien!$C$16, Ferien!$B$16+ROW(B131)-1, "")</f>
        <v/>
      </c>
      <c r="O133" s="1" t="str">
        <f>IF(Ferien!$B$17+ROW(B131)-1&lt;=Ferien!$C$17, Ferien!$B$17+ROW(B131)-1, "")</f>
        <v/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x14ac:dyDescent="0.3">
      <c r="A134" s="1" t="str">
        <f>IF(Ferien!$B$3+ROW(A132)-1&lt;=Ferien!$C$3, Ferien!$B$3+ROW(A132)-1, "")</f>
        <v/>
      </c>
      <c r="B134" s="1"/>
      <c r="C134" s="1"/>
      <c r="D134" s="1"/>
      <c r="E134" s="1" t="str">
        <f>IF(Ferien!$B$7+ROW(B132)-1&lt;=Ferien!$C$7, Ferien!$B$7+ROW(B132)-1, "")</f>
        <v/>
      </c>
      <c r="F134" s="1" t="str">
        <f>IF(Ferien!$B$8+ROW(B132)-1&lt;=Ferien!$C$8, Ferien!$B$8+ROW(B132)-1, "")</f>
        <v/>
      </c>
      <c r="G134" s="1" t="str">
        <f>IF(Ferien!$B$9+ROW(B132)-1&lt;=Ferien!$C$9, Ferien!$B$9+ROW(B132)-1, "")</f>
        <v/>
      </c>
      <c r="H134" s="1" t="str">
        <f>IF(Ferien!$B$10+ROW(B132)-1&lt;=Ferien!$C$10, Ferien!$B$10+ROW(B132)-1, "")</f>
        <v/>
      </c>
      <c r="I134" s="1" t="str">
        <f>IF(Ferien!$B$11+ROW(B132)-1&lt;=Ferien!$C$11, Ferien!$B$11+ROW(B132)-1, "")</f>
        <v/>
      </c>
      <c r="J134" s="1" t="str">
        <f>IF(Ferien!$B$12+ROW(B132)-1&lt;=Ferien!$C$12, Ferien!$B$12+ROW(B132)-1, "")</f>
        <v/>
      </c>
      <c r="K134" s="1" t="str">
        <f>IF(Ferien!$B$13+ROW(B132)-1&lt;=Ferien!$C$13, Ferien!$B$13+ROW(B132)-1, "")</f>
        <v/>
      </c>
      <c r="L134" s="1" t="str">
        <f>IF(Ferien!$B$14+ROW(B132)-1&lt;=Ferien!$C$14, Ferien!$B$14+ROW(B132)-1, "")</f>
        <v/>
      </c>
      <c r="M134" s="1" t="str">
        <f>IF(Ferien!$B$15+ROW(B132)-1&lt;=Ferien!$C$15, Ferien!$B$15+ROW(B132)-1, "")</f>
        <v/>
      </c>
      <c r="N134" s="1" t="str">
        <f>IF(Ferien!$B$16+ROW(B132)-1&lt;=Ferien!$C$16, Ferien!$B$16+ROW(B132)-1, "")</f>
        <v/>
      </c>
      <c r="O134" s="1" t="str">
        <f>IF(Ferien!$B$17+ROW(B132)-1&lt;=Ferien!$C$17, Ferien!$B$17+ROW(B132)-1, "")</f>
        <v/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x14ac:dyDescent="0.3">
      <c r="A135" s="1" t="str">
        <f>IF(Ferien!$B$3+ROW(A133)-1&lt;=Ferien!$C$3, Ferien!$B$3+ROW(A133)-1, "")</f>
        <v/>
      </c>
      <c r="B135" s="1"/>
      <c r="C135" s="1"/>
      <c r="D135" s="1"/>
      <c r="E135" s="1" t="str">
        <f>IF(Ferien!$B$7+ROW(B133)-1&lt;=Ferien!$C$7, Ferien!$B$7+ROW(B133)-1, "")</f>
        <v/>
      </c>
      <c r="F135" s="1" t="str">
        <f>IF(Ferien!$B$8+ROW(B133)-1&lt;=Ferien!$C$8, Ferien!$B$8+ROW(B133)-1, "")</f>
        <v/>
      </c>
      <c r="G135" s="1" t="str">
        <f>IF(Ferien!$B$9+ROW(B133)-1&lt;=Ferien!$C$9, Ferien!$B$9+ROW(B133)-1, "")</f>
        <v/>
      </c>
      <c r="H135" s="1" t="str">
        <f>IF(Ferien!$B$10+ROW(B133)-1&lt;=Ferien!$C$10, Ferien!$B$10+ROW(B133)-1, "")</f>
        <v/>
      </c>
      <c r="I135" s="1" t="str">
        <f>IF(Ferien!$B$11+ROW(B133)-1&lt;=Ferien!$C$11, Ferien!$B$11+ROW(B133)-1, "")</f>
        <v/>
      </c>
      <c r="J135" s="1" t="str">
        <f>IF(Ferien!$B$12+ROW(B133)-1&lt;=Ferien!$C$12, Ferien!$B$12+ROW(B133)-1, "")</f>
        <v/>
      </c>
      <c r="K135" s="1" t="str">
        <f>IF(Ferien!$B$13+ROW(B133)-1&lt;=Ferien!$C$13, Ferien!$B$13+ROW(B133)-1, "")</f>
        <v/>
      </c>
      <c r="L135" s="1" t="str">
        <f>IF(Ferien!$B$14+ROW(B133)-1&lt;=Ferien!$C$14, Ferien!$B$14+ROW(B133)-1, "")</f>
        <v/>
      </c>
      <c r="M135" s="1" t="str">
        <f>IF(Ferien!$B$15+ROW(B133)-1&lt;=Ferien!$C$15, Ferien!$B$15+ROW(B133)-1, "")</f>
        <v/>
      </c>
      <c r="N135" s="1" t="str">
        <f>IF(Ferien!$B$16+ROW(B133)-1&lt;=Ferien!$C$16, Ferien!$B$16+ROW(B133)-1, "")</f>
        <v/>
      </c>
      <c r="O135" s="1" t="str">
        <f>IF(Ferien!$B$17+ROW(B133)-1&lt;=Ferien!$C$17, Ferien!$B$17+ROW(B133)-1, "")</f>
        <v/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x14ac:dyDescent="0.3">
      <c r="A136" s="1" t="str">
        <f>IF(Ferien!$B$3+ROW(A134)-1&lt;=Ferien!$C$3, Ferien!$B$3+ROW(A134)-1, "")</f>
        <v/>
      </c>
      <c r="B136" s="1"/>
      <c r="C136" s="1"/>
      <c r="D136" s="1"/>
      <c r="E136" s="1" t="str">
        <f>IF(Ferien!$B$7+ROW(B134)-1&lt;=Ferien!$C$7, Ferien!$B$7+ROW(B134)-1, "")</f>
        <v/>
      </c>
      <c r="F136" s="1" t="str">
        <f>IF(Ferien!$B$8+ROW(B134)-1&lt;=Ferien!$C$8, Ferien!$B$8+ROW(B134)-1, "")</f>
        <v/>
      </c>
      <c r="G136" s="1" t="str">
        <f>IF(Ferien!$B$9+ROW(B134)-1&lt;=Ferien!$C$9, Ferien!$B$9+ROW(B134)-1, "")</f>
        <v/>
      </c>
      <c r="H136" s="1" t="str">
        <f>IF(Ferien!$B$10+ROW(B134)-1&lt;=Ferien!$C$10, Ferien!$B$10+ROW(B134)-1, "")</f>
        <v/>
      </c>
      <c r="I136" s="1" t="str">
        <f>IF(Ferien!$B$11+ROW(B134)-1&lt;=Ferien!$C$11, Ferien!$B$11+ROW(B134)-1, "")</f>
        <v/>
      </c>
      <c r="J136" s="1" t="str">
        <f>IF(Ferien!$B$12+ROW(B134)-1&lt;=Ferien!$C$12, Ferien!$B$12+ROW(B134)-1, "")</f>
        <v/>
      </c>
      <c r="K136" s="1" t="str">
        <f>IF(Ferien!$B$13+ROW(B134)-1&lt;=Ferien!$C$13, Ferien!$B$13+ROW(B134)-1, "")</f>
        <v/>
      </c>
      <c r="L136" s="1" t="str">
        <f>IF(Ferien!$B$14+ROW(B134)-1&lt;=Ferien!$C$14, Ferien!$B$14+ROW(B134)-1, "")</f>
        <v/>
      </c>
      <c r="M136" s="1" t="str">
        <f>IF(Ferien!$B$15+ROW(B134)-1&lt;=Ferien!$C$15, Ferien!$B$15+ROW(B134)-1, "")</f>
        <v/>
      </c>
      <c r="N136" s="1" t="str">
        <f>IF(Ferien!$B$16+ROW(B134)-1&lt;=Ferien!$C$16, Ferien!$B$16+ROW(B134)-1, "")</f>
        <v/>
      </c>
      <c r="O136" s="1" t="str">
        <f>IF(Ferien!$B$17+ROW(B134)-1&lt;=Ferien!$C$17, Ferien!$B$17+ROW(B134)-1, "")</f>
        <v/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x14ac:dyDescent="0.3">
      <c r="A137" s="1" t="str">
        <f>IF(Ferien!$B$3+ROW(A135)-1&lt;=Ferien!$C$3, Ferien!$B$3+ROW(A135)-1, "")</f>
        <v/>
      </c>
      <c r="B137" s="1"/>
      <c r="C137" s="1"/>
      <c r="D137" s="1"/>
      <c r="E137" s="1" t="str">
        <f>IF(Ferien!$B$7+ROW(B135)-1&lt;=Ferien!$C$7, Ferien!$B$7+ROW(B135)-1, "")</f>
        <v/>
      </c>
      <c r="F137" s="1" t="str">
        <f>IF(Ferien!$B$8+ROW(B135)-1&lt;=Ferien!$C$8, Ferien!$B$8+ROW(B135)-1, "")</f>
        <v/>
      </c>
      <c r="G137" s="1" t="str">
        <f>IF(Ferien!$B$9+ROW(B135)-1&lt;=Ferien!$C$9, Ferien!$B$9+ROW(B135)-1, "")</f>
        <v/>
      </c>
      <c r="H137" s="1" t="str">
        <f>IF(Ferien!$B$10+ROW(B135)-1&lt;=Ferien!$C$10, Ferien!$B$10+ROW(B135)-1, "")</f>
        <v/>
      </c>
      <c r="I137" s="1" t="str">
        <f>IF(Ferien!$B$11+ROW(B135)-1&lt;=Ferien!$C$11, Ferien!$B$11+ROW(B135)-1, "")</f>
        <v/>
      </c>
      <c r="J137" s="1" t="str">
        <f>IF(Ferien!$B$12+ROW(B135)-1&lt;=Ferien!$C$12, Ferien!$B$12+ROW(B135)-1, "")</f>
        <v/>
      </c>
      <c r="K137" s="1" t="str">
        <f>IF(Ferien!$B$13+ROW(B135)-1&lt;=Ferien!$C$13, Ferien!$B$13+ROW(B135)-1, "")</f>
        <v/>
      </c>
      <c r="L137" s="1" t="str">
        <f>IF(Ferien!$B$14+ROW(B135)-1&lt;=Ferien!$C$14, Ferien!$B$14+ROW(B135)-1, "")</f>
        <v/>
      </c>
      <c r="M137" s="1" t="str">
        <f>IF(Ferien!$B$15+ROW(B135)-1&lt;=Ferien!$C$15, Ferien!$B$15+ROW(B135)-1, "")</f>
        <v/>
      </c>
      <c r="N137" s="1" t="str">
        <f>IF(Ferien!$B$16+ROW(B135)-1&lt;=Ferien!$C$16, Ferien!$B$16+ROW(B135)-1, "")</f>
        <v/>
      </c>
      <c r="O137" s="1" t="str">
        <f>IF(Ferien!$B$17+ROW(B135)-1&lt;=Ferien!$C$17, Ferien!$B$17+ROW(B135)-1, "")</f>
        <v/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x14ac:dyDescent="0.3">
      <c r="A138" s="1" t="str">
        <f>IF(Ferien!$B$3+ROW(A136)-1&lt;=Ferien!$C$3, Ferien!$B$3+ROW(A136)-1, "")</f>
        <v/>
      </c>
      <c r="B138" s="1"/>
      <c r="C138" s="1"/>
      <c r="D138" s="1"/>
      <c r="E138" s="1" t="str">
        <f>IF(Ferien!$B$7+ROW(B136)-1&lt;=Ferien!$C$7, Ferien!$B$7+ROW(B136)-1, "")</f>
        <v/>
      </c>
      <c r="F138" s="1" t="str">
        <f>IF(Ferien!$B$8+ROW(B136)-1&lt;=Ferien!$C$8, Ferien!$B$8+ROW(B136)-1, "")</f>
        <v/>
      </c>
      <c r="G138" s="1" t="str">
        <f>IF(Ferien!$B$9+ROW(B136)-1&lt;=Ferien!$C$9, Ferien!$B$9+ROW(B136)-1, "")</f>
        <v/>
      </c>
      <c r="H138" s="1" t="str">
        <f>IF(Ferien!$B$10+ROW(B136)-1&lt;=Ferien!$C$10, Ferien!$B$10+ROW(B136)-1, "")</f>
        <v/>
      </c>
      <c r="I138" s="1" t="str">
        <f>IF(Ferien!$B$11+ROW(B136)-1&lt;=Ferien!$C$11, Ferien!$B$11+ROW(B136)-1, "")</f>
        <v/>
      </c>
      <c r="J138" s="1" t="str">
        <f>IF(Ferien!$B$12+ROW(B136)-1&lt;=Ferien!$C$12, Ferien!$B$12+ROW(B136)-1, "")</f>
        <v/>
      </c>
      <c r="K138" s="1" t="str">
        <f>IF(Ferien!$B$13+ROW(B136)-1&lt;=Ferien!$C$13, Ferien!$B$13+ROW(B136)-1, "")</f>
        <v/>
      </c>
      <c r="L138" s="1" t="str">
        <f>IF(Ferien!$B$14+ROW(B136)-1&lt;=Ferien!$C$14, Ferien!$B$14+ROW(B136)-1, "")</f>
        <v/>
      </c>
      <c r="M138" s="1" t="str">
        <f>IF(Ferien!$B$15+ROW(B136)-1&lt;=Ferien!$C$15, Ferien!$B$15+ROW(B136)-1, "")</f>
        <v/>
      </c>
      <c r="N138" s="1" t="str">
        <f>IF(Ferien!$B$16+ROW(B136)-1&lt;=Ferien!$C$16, Ferien!$B$16+ROW(B136)-1, "")</f>
        <v/>
      </c>
      <c r="O138" s="1" t="str">
        <f>IF(Ferien!$B$17+ROW(B136)-1&lt;=Ferien!$C$17, Ferien!$B$17+ROW(B136)-1, "")</f>
        <v/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x14ac:dyDescent="0.3">
      <c r="A139" s="1" t="str">
        <f>IF(Ferien!$B$3+ROW(A137)-1&lt;=Ferien!$C$3, Ferien!$B$3+ROW(A137)-1, "")</f>
        <v/>
      </c>
      <c r="B139" s="1"/>
      <c r="C139" s="1"/>
      <c r="D139" s="1"/>
      <c r="E139" s="1" t="str">
        <f>IF(Ferien!$B$7+ROW(B137)-1&lt;=Ferien!$C$7, Ferien!$B$7+ROW(B137)-1, "")</f>
        <v/>
      </c>
      <c r="F139" s="1" t="str">
        <f>IF(Ferien!$B$8+ROW(B137)-1&lt;=Ferien!$C$8, Ferien!$B$8+ROW(B137)-1, "")</f>
        <v/>
      </c>
      <c r="G139" s="1" t="str">
        <f>IF(Ferien!$B$9+ROW(B137)-1&lt;=Ferien!$C$9, Ferien!$B$9+ROW(B137)-1, "")</f>
        <v/>
      </c>
      <c r="H139" s="1" t="str">
        <f>IF(Ferien!$B$10+ROW(B137)-1&lt;=Ferien!$C$10, Ferien!$B$10+ROW(B137)-1, "")</f>
        <v/>
      </c>
      <c r="I139" s="1" t="str">
        <f>IF(Ferien!$B$11+ROW(B137)-1&lt;=Ferien!$C$11, Ferien!$B$11+ROW(B137)-1, "")</f>
        <v/>
      </c>
      <c r="J139" s="1" t="str">
        <f>IF(Ferien!$B$12+ROW(B137)-1&lt;=Ferien!$C$12, Ferien!$B$12+ROW(B137)-1, "")</f>
        <v/>
      </c>
      <c r="K139" s="1" t="str">
        <f>IF(Ferien!$B$13+ROW(B137)-1&lt;=Ferien!$C$13, Ferien!$B$13+ROW(B137)-1, "")</f>
        <v/>
      </c>
      <c r="L139" s="1" t="str">
        <f>IF(Ferien!$B$14+ROW(B137)-1&lt;=Ferien!$C$14, Ferien!$B$14+ROW(B137)-1, "")</f>
        <v/>
      </c>
      <c r="M139" s="1" t="str">
        <f>IF(Ferien!$B$15+ROW(B137)-1&lt;=Ferien!$C$15, Ferien!$B$15+ROW(B137)-1, "")</f>
        <v/>
      </c>
      <c r="N139" s="1" t="str">
        <f>IF(Ferien!$B$16+ROW(B137)-1&lt;=Ferien!$C$16, Ferien!$B$16+ROW(B137)-1, "")</f>
        <v/>
      </c>
      <c r="O139" s="1" t="str">
        <f>IF(Ferien!$B$17+ROW(B137)-1&lt;=Ferien!$C$17, Ferien!$B$17+ROW(B137)-1, "")</f>
        <v/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x14ac:dyDescent="0.3">
      <c r="A140" s="1" t="str">
        <f>IF(Ferien!$B$3+ROW(A138)-1&lt;=Ferien!$C$3, Ferien!$B$3+ROW(A138)-1, "")</f>
        <v/>
      </c>
      <c r="B140" s="1"/>
      <c r="C140" s="1"/>
      <c r="D140" s="1"/>
      <c r="E140" s="1" t="str">
        <f>IF(Ferien!$B$7+ROW(B138)-1&lt;=Ferien!$C$7, Ferien!$B$7+ROW(B138)-1, "")</f>
        <v/>
      </c>
      <c r="F140" s="1" t="str">
        <f>IF(Ferien!$B$8+ROW(B138)-1&lt;=Ferien!$C$8, Ferien!$B$8+ROW(B138)-1, "")</f>
        <v/>
      </c>
      <c r="G140" s="1" t="str">
        <f>IF(Ferien!$B$9+ROW(B138)-1&lt;=Ferien!$C$9, Ferien!$B$9+ROW(B138)-1, "")</f>
        <v/>
      </c>
      <c r="H140" s="1" t="str">
        <f>IF(Ferien!$B$10+ROW(B138)-1&lt;=Ferien!$C$10, Ferien!$B$10+ROW(B138)-1, "")</f>
        <v/>
      </c>
      <c r="I140" s="1" t="str">
        <f>IF(Ferien!$B$11+ROW(B138)-1&lt;=Ferien!$C$11, Ferien!$B$11+ROW(B138)-1, "")</f>
        <v/>
      </c>
      <c r="J140" s="1" t="str">
        <f>IF(Ferien!$B$12+ROW(B138)-1&lt;=Ferien!$C$12, Ferien!$B$12+ROW(B138)-1, "")</f>
        <v/>
      </c>
      <c r="K140" s="1" t="str">
        <f>IF(Ferien!$B$13+ROW(B138)-1&lt;=Ferien!$C$13, Ferien!$B$13+ROW(B138)-1, "")</f>
        <v/>
      </c>
      <c r="L140" s="1" t="str">
        <f>IF(Ferien!$B$14+ROW(B138)-1&lt;=Ferien!$C$14, Ferien!$B$14+ROW(B138)-1, "")</f>
        <v/>
      </c>
      <c r="M140" s="1" t="str">
        <f>IF(Ferien!$B$15+ROW(B138)-1&lt;=Ferien!$C$15, Ferien!$B$15+ROW(B138)-1, "")</f>
        <v/>
      </c>
      <c r="N140" s="1" t="str">
        <f>IF(Ferien!$B$16+ROW(B138)-1&lt;=Ferien!$C$16, Ferien!$B$16+ROW(B138)-1, "")</f>
        <v/>
      </c>
      <c r="O140" s="1" t="str">
        <f>IF(Ferien!$B$17+ROW(B138)-1&lt;=Ferien!$C$17, Ferien!$B$17+ROW(B138)-1, "")</f>
        <v/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x14ac:dyDescent="0.3">
      <c r="A141" s="1" t="str">
        <f>IF(Ferien!$B$3+ROW(A139)-1&lt;=Ferien!$C$3, Ferien!$B$3+ROW(A139)-1, "")</f>
        <v/>
      </c>
      <c r="B141" s="1"/>
      <c r="C141" s="1"/>
      <c r="D141" s="1"/>
      <c r="E141" s="1" t="str">
        <f>IF(Ferien!$B$7+ROW(B139)-1&lt;=Ferien!$C$7, Ferien!$B$7+ROW(B139)-1, "")</f>
        <v/>
      </c>
      <c r="F141" s="1" t="str">
        <f>IF(Ferien!$B$8+ROW(B139)-1&lt;=Ferien!$C$8, Ferien!$B$8+ROW(B139)-1, "")</f>
        <v/>
      </c>
      <c r="G141" s="1" t="str">
        <f>IF(Ferien!$B$9+ROW(B139)-1&lt;=Ferien!$C$9, Ferien!$B$9+ROW(B139)-1, "")</f>
        <v/>
      </c>
      <c r="H141" s="1" t="str">
        <f>IF(Ferien!$B$10+ROW(B139)-1&lt;=Ferien!$C$10, Ferien!$B$10+ROW(B139)-1, "")</f>
        <v/>
      </c>
      <c r="I141" s="1" t="str">
        <f>IF(Ferien!$B$11+ROW(B139)-1&lt;=Ferien!$C$11, Ferien!$B$11+ROW(B139)-1, "")</f>
        <v/>
      </c>
      <c r="J141" s="1" t="str">
        <f>IF(Ferien!$B$12+ROW(B139)-1&lt;=Ferien!$C$12, Ferien!$B$12+ROW(B139)-1, "")</f>
        <v/>
      </c>
      <c r="K141" s="1" t="str">
        <f>IF(Ferien!$B$13+ROW(B139)-1&lt;=Ferien!$C$13, Ferien!$B$13+ROW(B139)-1, "")</f>
        <v/>
      </c>
      <c r="L141" s="1" t="str">
        <f>IF(Ferien!$B$14+ROW(B139)-1&lt;=Ferien!$C$14, Ferien!$B$14+ROW(B139)-1, "")</f>
        <v/>
      </c>
      <c r="M141" s="1" t="str">
        <f>IF(Ferien!$B$15+ROW(B139)-1&lt;=Ferien!$C$15, Ferien!$B$15+ROW(B139)-1, "")</f>
        <v/>
      </c>
      <c r="N141" s="1" t="str">
        <f>IF(Ferien!$B$16+ROW(B139)-1&lt;=Ferien!$C$16, Ferien!$B$16+ROW(B139)-1, "")</f>
        <v/>
      </c>
      <c r="O141" s="1" t="str">
        <f>IF(Ferien!$B$17+ROW(B139)-1&lt;=Ferien!$C$17, Ferien!$B$17+ROW(B139)-1, "")</f>
        <v/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x14ac:dyDescent="0.3">
      <c r="A142" s="1" t="str">
        <f>IF(Ferien!$B$3+ROW(A140)-1&lt;=Ferien!$C$3, Ferien!$B$3+ROW(A140)-1, "")</f>
        <v/>
      </c>
      <c r="B142" s="1"/>
      <c r="C142" s="1"/>
      <c r="D142" s="1"/>
      <c r="E142" s="1" t="str">
        <f>IF(Ferien!$B$7+ROW(B140)-1&lt;=Ferien!$C$7, Ferien!$B$7+ROW(B140)-1, "")</f>
        <v/>
      </c>
      <c r="F142" s="1" t="str">
        <f>IF(Ferien!$B$8+ROW(B140)-1&lt;=Ferien!$C$8, Ferien!$B$8+ROW(B140)-1, "")</f>
        <v/>
      </c>
      <c r="G142" s="1" t="str">
        <f>IF(Ferien!$B$9+ROW(B140)-1&lt;=Ferien!$C$9, Ferien!$B$9+ROW(B140)-1, "")</f>
        <v/>
      </c>
      <c r="H142" s="1" t="str">
        <f>IF(Ferien!$B$10+ROW(B140)-1&lt;=Ferien!$C$10, Ferien!$B$10+ROW(B140)-1, "")</f>
        <v/>
      </c>
      <c r="I142" s="1" t="str">
        <f>IF(Ferien!$B$11+ROW(B140)-1&lt;=Ferien!$C$11, Ferien!$B$11+ROW(B140)-1, "")</f>
        <v/>
      </c>
      <c r="J142" s="1" t="str">
        <f>IF(Ferien!$B$12+ROW(B140)-1&lt;=Ferien!$C$12, Ferien!$B$12+ROW(B140)-1, "")</f>
        <v/>
      </c>
      <c r="K142" s="1" t="str">
        <f>IF(Ferien!$B$13+ROW(B140)-1&lt;=Ferien!$C$13, Ferien!$B$13+ROW(B140)-1, "")</f>
        <v/>
      </c>
      <c r="L142" s="1" t="str">
        <f>IF(Ferien!$B$14+ROW(B140)-1&lt;=Ferien!$C$14, Ferien!$B$14+ROW(B140)-1, "")</f>
        <v/>
      </c>
      <c r="M142" s="1" t="str">
        <f>IF(Ferien!$B$15+ROW(B140)-1&lt;=Ferien!$C$15, Ferien!$B$15+ROW(B140)-1, "")</f>
        <v/>
      </c>
      <c r="N142" s="1" t="str">
        <f>IF(Ferien!$B$16+ROW(B140)-1&lt;=Ferien!$C$16, Ferien!$B$16+ROW(B140)-1, "")</f>
        <v/>
      </c>
      <c r="O142" s="1" t="str">
        <f>IF(Ferien!$B$17+ROW(B140)-1&lt;=Ferien!$C$17, Ferien!$B$17+ROW(B140)-1, "")</f>
        <v/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x14ac:dyDescent="0.3">
      <c r="A143" s="1" t="str">
        <f>IF(Ferien!$B$3+ROW(A141)-1&lt;=Ferien!$C$3, Ferien!$B$3+ROW(A141)-1, "")</f>
        <v/>
      </c>
      <c r="B143" s="1"/>
      <c r="C143" s="1"/>
      <c r="D143" s="1"/>
      <c r="E143" s="1" t="str">
        <f>IF(Ferien!$B$7+ROW(B141)-1&lt;=Ferien!$C$7, Ferien!$B$7+ROW(B141)-1, "")</f>
        <v/>
      </c>
      <c r="F143" s="1" t="str">
        <f>IF(Ferien!$B$8+ROW(B141)-1&lt;=Ferien!$C$8, Ferien!$B$8+ROW(B141)-1, "")</f>
        <v/>
      </c>
      <c r="G143" s="1" t="str">
        <f>IF(Ferien!$B$9+ROW(B141)-1&lt;=Ferien!$C$9, Ferien!$B$9+ROW(B141)-1, "")</f>
        <v/>
      </c>
      <c r="H143" s="1" t="str">
        <f>IF(Ferien!$B$10+ROW(B141)-1&lt;=Ferien!$C$10, Ferien!$B$10+ROW(B141)-1, "")</f>
        <v/>
      </c>
      <c r="I143" s="1" t="str">
        <f>IF(Ferien!$B$11+ROW(B141)-1&lt;=Ferien!$C$11, Ferien!$B$11+ROW(B141)-1, "")</f>
        <v/>
      </c>
      <c r="J143" s="1" t="str">
        <f>IF(Ferien!$B$12+ROW(B141)-1&lt;=Ferien!$C$12, Ferien!$B$12+ROW(B141)-1, "")</f>
        <v/>
      </c>
      <c r="K143" s="1" t="str">
        <f>IF(Ferien!$B$13+ROW(B141)-1&lt;=Ferien!$C$13, Ferien!$B$13+ROW(B141)-1, "")</f>
        <v/>
      </c>
      <c r="L143" s="1" t="str">
        <f>IF(Ferien!$B$14+ROW(B141)-1&lt;=Ferien!$C$14, Ferien!$B$14+ROW(B141)-1, "")</f>
        <v/>
      </c>
      <c r="M143" s="1" t="str">
        <f>IF(Ferien!$B$15+ROW(B141)-1&lt;=Ferien!$C$15, Ferien!$B$15+ROW(B141)-1, "")</f>
        <v/>
      </c>
      <c r="N143" s="1" t="str">
        <f>IF(Ferien!$B$16+ROW(B141)-1&lt;=Ferien!$C$16, Ferien!$B$16+ROW(B141)-1, "")</f>
        <v/>
      </c>
      <c r="O143" s="1" t="str">
        <f>IF(Ferien!$B$17+ROW(B141)-1&lt;=Ferien!$C$17, Ferien!$B$17+ROW(B141)-1, "")</f>
        <v/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x14ac:dyDescent="0.3">
      <c r="A144" s="1" t="str">
        <f>IF(Ferien!$B$3+ROW(A142)-1&lt;=Ferien!$C$3, Ferien!$B$3+ROW(A142)-1, "")</f>
        <v/>
      </c>
      <c r="B144" s="1"/>
      <c r="C144" s="1"/>
      <c r="D144" s="1"/>
      <c r="E144" s="1" t="str">
        <f>IF(Ferien!$B$7+ROW(B142)-1&lt;=Ferien!$C$7, Ferien!$B$7+ROW(B142)-1, "")</f>
        <v/>
      </c>
      <c r="F144" s="1" t="str">
        <f>IF(Ferien!$B$8+ROW(B142)-1&lt;=Ferien!$C$8, Ferien!$B$8+ROW(B142)-1, "")</f>
        <v/>
      </c>
      <c r="G144" s="1" t="str">
        <f>IF(Ferien!$B$9+ROW(B142)-1&lt;=Ferien!$C$9, Ferien!$B$9+ROW(B142)-1, "")</f>
        <v/>
      </c>
      <c r="H144" s="1" t="str">
        <f>IF(Ferien!$B$10+ROW(B142)-1&lt;=Ferien!$C$10, Ferien!$B$10+ROW(B142)-1, "")</f>
        <v/>
      </c>
      <c r="I144" s="1" t="str">
        <f>IF(Ferien!$B$11+ROW(B142)-1&lt;=Ferien!$C$11, Ferien!$B$11+ROW(B142)-1, "")</f>
        <v/>
      </c>
      <c r="J144" s="1" t="str">
        <f>IF(Ferien!$B$12+ROW(B142)-1&lt;=Ferien!$C$12, Ferien!$B$12+ROW(B142)-1, "")</f>
        <v/>
      </c>
      <c r="K144" s="1" t="str">
        <f>IF(Ferien!$B$13+ROW(B142)-1&lt;=Ferien!$C$13, Ferien!$B$13+ROW(B142)-1, "")</f>
        <v/>
      </c>
      <c r="L144" s="1" t="str">
        <f>IF(Ferien!$B$14+ROW(B142)-1&lt;=Ferien!$C$14, Ferien!$B$14+ROW(B142)-1, "")</f>
        <v/>
      </c>
      <c r="M144" s="1" t="str">
        <f>IF(Ferien!$B$15+ROW(B142)-1&lt;=Ferien!$C$15, Ferien!$B$15+ROW(B142)-1, "")</f>
        <v/>
      </c>
      <c r="N144" s="1" t="str">
        <f>IF(Ferien!$B$16+ROW(B142)-1&lt;=Ferien!$C$16, Ferien!$B$16+ROW(B142)-1, "")</f>
        <v/>
      </c>
      <c r="O144" s="1" t="str">
        <f>IF(Ferien!$B$17+ROW(B142)-1&lt;=Ferien!$C$17, Ferien!$B$17+ROW(B142)-1, "")</f>
        <v/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x14ac:dyDescent="0.3">
      <c r="A145" s="1" t="str">
        <f>IF(Ferien!$B$3+ROW(A143)-1&lt;=Ferien!$C$3, Ferien!$B$3+ROW(A143)-1, "")</f>
        <v/>
      </c>
      <c r="B145" s="1"/>
      <c r="C145" s="1"/>
      <c r="D145" s="1"/>
      <c r="E145" s="1" t="str">
        <f>IF(Ferien!$B$7+ROW(B143)-1&lt;=Ferien!$C$7, Ferien!$B$7+ROW(B143)-1, "")</f>
        <v/>
      </c>
      <c r="F145" s="1" t="str">
        <f>IF(Ferien!$B$8+ROW(B143)-1&lt;=Ferien!$C$8, Ferien!$B$8+ROW(B143)-1, "")</f>
        <v/>
      </c>
      <c r="G145" s="1" t="str">
        <f>IF(Ferien!$B$9+ROW(B143)-1&lt;=Ferien!$C$9, Ferien!$B$9+ROW(B143)-1, "")</f>
        <v/>
      </c>
      <c r="H145" s="1" t="str">
        <f>IF(Ferien!$B$10+ROW(B143)-1&lt;=Ferien!$C$10, Ferien!$B$10+ROW(B143)-1, "")</f>
        <v/>
      </c>
      <c r="I145" s="1" t="str">
        <f>IF(Ferien!$B$11+ROW(B143)-1&lt;=Ferien!$C$11, Ferien!$B$11+ROW(B143)-1, "")</f>
        <v/>
      </c>
      <c r="J145" s="1" t="str">
        <f>IF(Ferien!$B$12+ROW(B143)-1&lt;=Ferien!$C$12, Ferien!$B$12+ROW(B143)-1, "")</f>
        <v/>
      </c>
      <c r="K145" s="1" t="str">
        <f>IF(Ferien!$B$13+ROW(B143)-1&lt;=Ferien!$C$13, Ferien!$B$13+ROW(B143)-1, "")</f>
        <v/>
      </c>
      <c r="L145" s="1" t="str">
        <f>IF(Ferien!$B$14+ROW(B143)-1&lt;=Ferien!$C$14, Ferien!$B$14+ROW(B143)-1, "")</f>
        <v/>
      </c>
      <c r="M145" s="1" t="str">
        <f>IF(Ferien!$B$15+ROW(B143)-1&lt;=Ferien!$C$15, Ferien!$B$15+ROW(B143)-1, "")</f>
        <v/>
      </c>
      <c r="N145" s="1" t="str">
        <f>IF(Ferien!$B$16+ROW(B143)-1&lt;=Ferien!$C$16, Ferien!$B$16+ROW(B143)-1, "")</f>
        <v/>
      </c>
      <c r="O145" s="1" t="str">
        <f>IF(Ferien!$B$17+ROW(B143)-1&lt;=Ferien!$C$17, Ferien!$B$17+ROW(B143)-1, "")</f>
        <v/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x14ac:dyDescent="0.3">
      <c r="A146" s="1" t="str">
        <f>IF(Ferien!$B$3+ROW(A144)-1&lt;=Ferien!$C$3, Ferien!$B$3+ROW(A144)-1, "")</f>
        <v/>
      </c>
      <c r="B146" s="1"/>
      <c r="C146" s="1"/>
      <c r="D146" s="1"/>
      <c r="E146" s="1" t="str">
        <f>IF(Ferien!$B$7+ROW(B144)-1&lt;=Ferien!$C$7, Ferien!$B$7+ROW(B144)-1, "")</f>
        <v/>
      </c>
      <c r="F146" s="1" t="str">
        <f>IF(Ferien!$B$8+ROW(B144)-1&lt;=Ferien!$C$8, Ferien!$B$8+ROW(B144)-1, "")</f>
        <v/>
      </c>
      <c r="G146" s="1" t="str">
        <f>IF(Ferien!$B$9+ROW(B144)-1&lt;=Ferien!$C$9, Ferien!$B$9+ROW(B144)-1, "")</f>
        <v/>
      </c>
      <c r="H146" s="1" t="str">
        <f>IF(Ferien!$B$10+ROW(B144)-1&lt;=Ferien!$C$10, Ferien!$B$10+ROW(B144)-1, "")</f>
        <v/>
      </c>
      <c r="I146" s="1" t="str">
        <f>IF(Ferien!$B$11+ROW(B144)-1&lt;=Ferien!$C$11, Ferien!$B$11+ROW(B144)-1, "")</f>
        <v/>
      </c>
      <c r="J146" s="1" t="str">
        <f>IF(Ferien!$B$12+ROW(B144)-1&lt;=Ferien!$C$12, Ferien!$B$12+ROW(B144)-1, "")</f>
        <v/>
      </c>
      <c r="K146" s="1" t="str">
        <f>IF(Ferien!$B$13+ROW(B144)-1&lt;=Ferien!$C$13, Ferien!$B$13+ROW(B144)-1, "")</f>
        <v/>
      </c>
      <c r="L146" s="1" t="str">
        <f>IF(Ferien!$B$14+ROW(B144)-1&lt;=Ferien!$C$14, Ferien!$B$14+ROW(B144)-1, "")</f>
        <v/>
      </c>
      <c r="M146" s="1" t="str">
        <f>IF(Ferien!$B$15+ROW(B144)-1&lt;=Ferien!$C$15, Ferien!$B$15+ROW(B144)-1, "")</f>
        <v/>
      </c>
      <c r="N146" s="1" t="str">
        <f>IF(Ferien!$B$16+ROW(B144)-1&lt;=Ferien!$C$16, Ferien!$B$16+ROW(B144)-1, "")</f>
        <v/>
      </c>
      <c r="O146" s="1" t="str">
        <f>IF(Ferien!$B$17+ROW(B144)-1&lt;=Ferien!$C$17, Ferien!$B$17+ROW(B144)-1, "")</f>
        <v/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x14ac:dyDescent="0.3">
      <c r="A147" s="1" t="str">
        <f>IF(Ferien!$B$3+ROW(A145)-1&lt;=Ferien!$C$3, Ferien!$B$3+ROW(A145)-1, "")</f>
        <v/>
      </c>
      <c r="B147" s="1"/>
      <c r="C147" s="1"/>
      <c r="D147" s="1"/>
      <c r="E147" s="1" t="str">
        <f>IF(Ferien!$B$7+ROW(B145)-1&lt;=Ferien!$C$7, Ferien!$B$7+ROW(B145)-1, "")</f>
        <v/>
      </c>
      <c r="F147" s="1" t="str">
        <f>IF(Ferien!$B$8+ROW(B145)-1&lt;=Ferien!$C$8, Ferien!$B$8+ROW(B145)-1, "")</f>
        <v/>
      </c>
      <c r="G147" s="1" t="str">
        <f>IF(Ferien!$B$9+ROW(B145)-1&lt;=Ferien!$C$9, Ferien!$B$9+ROW(B145)-1, "")</f>
        <v/>
      </c>
      <c r="H147" s="1" t="str">
        <f>IF(Ferien!$B$10+ROW(B145)-1&lt;=Ferien!$C$10, Ferien!$B$10+ROW(B145)-1, "")</f>
        <v/>
      </c>
      <c r="I147" s="1" t="str">
        <f>IF(Ferien!$B$11+ROW(B145)-1&lt;=Ferien!$C$11, Ferien!$B$11+ROW(B145)-1, "")</f>
        <v/>
      </c>
      <c r="J147" s="1" t="str">
        <f>IF(Ferien!$B$12+ROW(B145)-1&lt;=Ferien!$C$12, Ferien!$B$12+ROW(B145)-1, "")</f>
        <v/>
      </c>
      <c r="K147" s="1" t="str">
        <f>IF(Ferien!$B$13+ROW(B145)-1&lt;=Ferien!$C$13, Ferien!$B$13+ROW(B145)-1, "")</f>
        <v/>
      </c>
      <c r="L147" s="1" t="str">
        <f>IF(Ferien!$B$14+ROW(B145)-1&lt;=Ferien!$C$14, Ferien!$B$14+ROW(B145)-1, "")</f>
        <v/>
      </c>
      <c r="M147" s="1" t="str">
        <f>IF(Ferien!$B$15+ROW(B145)-1&lt;=Ferien!$C$15, Ferien!$B$15+ROW(B145)-1, "")</f>
        <v/>
      </c>
      <c r="N147" s="1" t="str">
        <f>IF(Ferien!$B$16+ROW(B145)-1&lt;=Ferien!$C$16, Ferien!$B$16+ROW(B145)-1, "")</f>
        <v/>
      </c>
      <c r="O147" s="1" t="str">
        <f>IF(Ferien!$B$17+ROW(B145)-1&lt;=Ferien!$C$17, Ferien!$B$17+ROW(B145)-1, "")</f>
        <v/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x14ac:dyDescent="0.3">
      <c r="A148" s="1" t="str">
        <f>IF(Ferien!$B$3+ROW(A146)-1&lt;=Ferien!$C$3, Ferien!$B$3+ROW(A146)-1, "")</f>
        <v/>
      </c>
      <c r="B148" s="1"/>
      <c r="C148" s="1"/>
      <c r="D148" s="1"/>
      <c r="E148" s="1" t="str">
        <f>IF(Ferien!$B$7+ROW(B146)-1&lt;=Ferien!$C$7, Ferien!$B$7+ROW(B146)-1, "")</f>
        <v/>
      </c>
      <c r="F148" s="1" t="str">
        <f>IF(Ferien!$B$8+ROW(B146)-1&lt;=Ferien!$C$8, Ferien!$B$8+ROW(B146)-1, "")</f>
        <v/>
      </c>
      <c r="G148" s="1" t="str">
        <f>IF(Ferien!$B$9+ROW(B146)-1&lt;=Ferien!$C$9, Ferien!$B$9+ROW(B146)-1, "")</f>
        <v/>
      </c>
      <c r="H148" s="1" t="str">
        <f>IF(Ferien!$B$10+ROW(B146)-1&lt;=Ferien!$C$10, Ferien!$B$10+ROW(B146)-1, "")</f>
        <v/>
      </c>
      <c r="I148" s="1" t="str">
        <f>IF(Ferien!$B$11+ROW(B146)-1&lt;=Ferien!$C$11, Ferien!$B$11+ROW(B146)-1, "")</f>
        <v/>
      </c>
      <c r="J148" s="1" t="str">
        <f>IF(Ferien!$B$12+ROW(B146)-1&lt;=Ferien!$C$12, Ferien!$B$12+ROW(B146)-1, "")</f>
        <v/>
      </c>
      <c r="K148" s="1" t="str">
        <f>IF(Ferien!$B$13+ROW(B146)-1&lt;=Ferien!$C$13, Ferien!$B$13+ROW(B146)-1, "")</f>
        <v/>
      </c>
      <c r="L148" s="1" t="str">
        <f>IF(Ferien!$B$14+ROW(B146)-1&lt;=Ferien!$C$14, Ferien!$B$14+ROW(B146)-1, "")</f>
        <v/>
      </c>
      <c r="M148" s="1" t="str">
        <f>IF(Ferien!$B$15+ROW(B146)-1&lt;=Ferien!$C$15, Ferien!$B$15+ROW(B146)-1, "")</f>
        <v/>
      </c>
      <c r="N148" s="1" t="str">
        <f>IF(Ferien!$B$16+ROW(B146)-1&lt;=Ferien!$C$16, Ferien!$B$16+ROW(B146)-1, "")</f>
        <v/>
      </c>
      <c r="O148" s="1" t="str">
        <f>IF(Ferien!$B$17+ROW(B146)-1&lt;=Ferien!$C$17, Ferien!$B$17+ROW(B146)-1, "")</f>
        <v/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x14ac:dyDescent="0.3">
      <c r="A149" s="1" t="str">
        <f>IF(Ferien!$B$3+ROW(A147)-1&lt;=Ferien!$C$3, Ferien!$B$3+ROW(A147)-1, "")</f>
        <v/>
      </c>
      <c r="B149" s="1"/>
      <c r="C149" s="1"/>
      <c r="D149" s="1"/>
      <c r="E149" s="1" t="str">
        <f>IF(Ferien!$B$7+ROW(B147)-1&lt;=Ferien!$C$7, Ferien!$B$7+ROW(B147)-1, "")</f>
        <v/>
      </c>
      <c r="F149" s="1"/>
      <c r="G149" s="1" t="str">
        <f>IF(Ferien!$B$9+ROW(B147)-1&lt;=Ferien!$C$9, Ferien!$B$9+ROW(B147)-1, "")</f>
        <v/>
      </c>
      <c r="H149" s="1" t="str">
        <f>IF(Ferien!$B$10+ROW(B147)-1&lt;=Ferien!$C$10, Ferien!$B$10+ROW(B147)-1, "")</f>
        <v/>
      </c>
      <c r="I149" s="1" t="str">
        <f>IF(Ferien!$B$11+ROW(B147)-1&lt;=Ferien!$C$11, Ferien!$B$11+ROW(B147)-1, "")</f>
        <v/>
      </c>
      <c r="J149" s="1" t="str">
        <f>IF(Ferien!$B$12+ROW(B147)-1&lt;=Ferien!$C$12, Ferien!$B$12+ROW(B147)-1, "")</f>
        <v/>
      </c>
      <c r="K149" s="1" t="str">
        <f>IF(Ferien!$B$13+ROW(B147)-1&lt;=Ferien!$C$13, Ferien!$B$13+ROW(B147)-1, "")</f>
        <v/>
      </c>
      <c r="L149" s="1" t="str">
        <f>IF(Ferien!$B$14+ROW(B147)-1&lt;=Ferien!$C$14, Ferien!$B$14+ROW(B147)-1, "")</f>
        <v/>
      </c>
      <c r="M149" s="1" t="str">
        <f>IF(Ferien!$B$15+ROW(B147)-1&lt;=Ferien!$C$15, Ferien!$B$15+ROW(B147)-1, "")</f>
        <v/>
      </c>
      <c r="N149" s="1" t="str">
        <f>IF(Ferien!$B$16+ROW(B147)-1&lt;=Ferien!$C$16, Ferien!$B$16+ROW(B147)-1, "")</f>
        <v/>
      </c>
      <c r="O149" s="1" t="str">
        <f>IF(Ferien!$B$17+ROW(B147)-1&lt;=Ferien!$C$17, Ferien!$B$17+ROW(B147)-1, "")</f>
        <v/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x14ac:dyDescent="0.3">
      <c r="A150" s="1" t="str">
        <f>IF(Ferien!$B$3+ROW(A148)-1&lt;=Ferien!$C$3, Ferien!$B$3+ROW(A148)-1, "")</f>
        <v/>
      </c>
      <c r="B150" s="1"/>
      <c r="C150" s="1"/>
      <c r="D150" s="1"/>
      <c r="E150" s="1" t="str">
        <f>IF(Ferien!$B$7+ROW(B148)-1&lt;=Ferien!$C$7, Ferien!$B$7+ROW(B148)-1, "")</f>
        <v/>
      </c>
      <c r="F150" s="1"/>
      <c r="G150" s="1" t="str">
        <f>IF(Ferien!$B$9+ROW(B148)-1&lt;=Ferien!$C$9, Ferien!$B$9+ROW(B148)-1, "")</f>
        <v/>
      </c>
      <c r="H150" s="1" t="str">
        <f>IF(Ferien!$B$10+ROW(B148)-1&lt;=Ferien!$C$10, Ferien!$B$10+ROW(B148)-1, "")</f>
        <v/>
      </c>
      <c r="I150" s="1" t="str">
        <f>IF(Ferien!$B$11+ROW(B148)-1&lt;=Ferien!$C$11, Ferien!$B$11+ROW(B148)-1, "")</f>
        <v/>
      </c>
      <c r="J150" s="1" t="str">
        <f>IF(Ferien!$B$12+ROW(B148)-1&lt;=Ferien!$C$12, Ferien!$B$12+ROW(B148)-1, "")</f>
        <v/>
      </c>
      <c r="K150" s="1" t="str">
        <f>IF(Ferien!$B$13+ROW(B148)-1&lt;=Ferien!$C$13, Ferien!$B$13+ROW(B148)-1, "")</f>
        <v/>
      </c>
      <c r="L150" s="1" t="str">
        <f>IF(Ferien!$B$14+ROW(B148)-1&lt;=Ferien!$C$14, Ferien!$B$14+ROW(B148)-1, "")</f>
        <v/>
      </c>
      <c r="M150" s="1" t="str">
        <f>IF(Ferien!$B$15+ROW(B148)-1&lt;=Ferien!$C$15, Ferien!$B$15+ROW(B148)-1, "")</f>
        <v/>
      </c>
      <c r="N150" s="1" t="str">
        <f>IF(Ferien!$B$16+ROW(B148)-1&lt;=Ferien!$C$16, Ferien!$B$16+ROW(B148)-1, "")</f>
        <v/>
      </c>
      <c r="O150" s="1" t="str">
        <f>IF(Ferien!$B$17+ROW(B148)-1&lt;=Ferien!$C$17, Ferien!$B$17+ROW(B148)-1, "")</f>
        <v/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x14ac:dyDescent="0.3">
      <c r="A151" s="1" t="str">
        <f>IF(Ferien!$B$3+ROW(A149)-1&lt;=Ferien!$C$3, Ferien!$B$3+ROW(A149)-1, "")</f>
        <v/>
      </c>
      <c r="B151" s="1"/>
      <c r="C151" s="1"/>
      <c r="D151" s="1"/>
      <c r="E151" s="1" t="str">
        <f>IF(Ferien!$B$7+ROW(B149)-1&lt;=Ferien!$C$7, Ferien!$B$7+ROW(B149)-1, "")</f>
        <v/>
      </c>
      <c r="F151" s="1"/>
      <c r="G151" s="1" t="str">
        <f>IF(Ferien!$B$9+ROW(B149)-1&lt;=Ferien!$C$9, Ferien!$B$9+ROW(B149)-1, "")</f>
        <v/>
      </c>
      <c r="H151" s="1" t="str">
        <f>IF(Ferien!$B$10+ROW(B149)-1&lt;=Ferien!$C$10, Ferien!$B$10+ROW(B149)-1, "")</f>
        <v/>
      </c>
      <c r="I151" s="1" t="str">
        <f>IF(Ferien!$B$11+ROW(B149)-1&lt;=Ferien!$C$11, Ferien!$B$11+ROW(B149)-1, "")</f>
        <v/>
      </c>
      <c r="J151" s="1" t="str">
        <f>IF(Ferien!$B$12+ROW(B149)-1&lt;=Ferien!$C$12, Ferien!$B$12+ROW(B149)-1, "")</f>
        <v/>
      </c>
      <c r="K151" s="1" t="str">
        <f>IF(Ferien!$B$13+ROW(B149)-1&lt;=Ferien!$C$13, Ferien!$B$13+ROW(B149)-1, "")</f>
        <v/>
      </c>
      <c r="L151" s="1" t="str">
        <f>IF(Ferien!$B$14+ROW(B149)-1&lt;=Ferien!$C$14, Ferien!$B$14+ROW(B149)-1, "")</f>
        <v/>
      </c>
      <c r="M151" s="1" t="str">
        <f>IF(Ferien!$B$15+ROW(B149)-1&lt;=Ferien!$C$15, Ferien!$B$15+ROW(B149)-1, "")</f>
        <v/>
      </c>
      <c r="N151" s="1" t="str">
        <f>IF(Ferien!$B$16+ROW(B149)-1&lt;=Ferien!$C$16, Ferien!$B$16+ROW(B149)-1, "")</f>
        <v/>
      </c>
      <c r="O151" s="1" t="str">
        <f>IF(Ferien!$B$17+ROW(B149)-1&lt;=Ferien!$C$17, Ferien!$B$17+ROW(B149)-1, "")</f>
        <v/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x14ac:dyDescent="0.3">
      <c r="A152" s="1" t="str">
        <f>IF(Ferien!$B$3+ROW(A150)-1&lt;=Ferien!$C$3, Ferien!$B$3+ROW(A150)-1, "")</f>
        <v/>
      </c>
      <c r="B152" s="1"/>
      <c r="C152" s="1"/>
      <c r="D152" s="1"/>
      <c r="E152" s="1" t="str">
        <f>IF(Ferien!$B$7+ROW(B150)-1&lt;=Ferien!$C$7, Ferien!$B$7+ROW(B150)-1, "")</f>
        <v/>
      </c>
      <c r="F152" s="1"/>
      <c r="G152" s="1" t="str">
        <f>IF(Ferien!$B$9+ROW(B150)-1&lt;=Ferien!$C$9, Ferien!$B$9+ROW(B150)-1, "")</f>
        <v/>
      </c>
      <c r="H152" s="1" t="str">
        <f>IF(Ferien!$B$10+ROW(B150)-1&lt;=Ferien!$C$10, Ferien!$B$10+ROW(B150)-1, "")</f>
        <v/>
      </c>
      <c r="I152" s="1" t="str">
        <f>IF(Ferien!$B$11+ROW(B150)-1&lt;=Ferien!$C$11, Ferien!$B$11+ROW(B150)-1, "")</f>
        <v/>
      </c>
      <c r="J152" s="1" t="str">
        <f>IF(Ferien!$B$12+ROW(B150)-1&lt;=Ferien!$C$12, Ferien!$B$12+ROW(B150)-1, "")</f>
        <v/>
      </c>
      <c r="K152" s="1" t="str">
        <f>IF(Ferien!$B$13+ROW(B150)-1&lt;=Ferien!$C$13, Ferien!$B$13+ROW(B150)-1, "")</f>
        <v/>
      </c>
      <c r="L152" s="1" t="str">
        <f>IF(Ferien!$B$14+ROW(B150)-1&lt;=Ferien!$C$14, Ferien!$B$14+ROW(B150)-1, "")</f>
        <v/>
      </c>
      <c r="M152" s="1" t="str">
        <f>IF(Ferien!$B$15+ROW(B150)-1&lt;=Ferien!$C$15, Ferien!$B$15+ROW(B150)-1, "")</f>
        <v/>
      </c>
      <c r="N152" s="1" t="str">
        <f>IF(Ferien!$B$16+ROW(B150)-1&lt;=Ferien!$C$16, Ferien!$B$16+ROW(B150)-1, "")</f>
        <v/>
      </c>
      <c r="O152" s="1" t="str">
        <f>IF(Ferien!$B$17+ROW(B150)-1&lt;=Ferien!$C$17, Ferien!$B$17+ROW(B150)-1, "")</f>
        <v/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x14ac:dyDescent="0.3">
      <c r="A153" s="1" t="str">
        <f>IF(Ferien!$B$3+ROW(A151)-1&lt;=Ferien!$C$3, Ferien!$B$3+ROW(A151)-1, "")</f>
        <v/>
      </c>
      <c r="B153" s="1"/>
      <c r="C153" s="1"/>
      <c r="D153" s="1"/>
      <c r="E153" s="1" t="str">
        <f>IF(Ferien!$B$7+ROW(B151)-1&lt;=Ferien!$C$7, Ferien!$B$7+ROW(B151)-1, "")</f>
        <v/>
      </c>
      <c r="F153" s="1"/>
      <c r="G153" s="1" t="str">
        <f>IF(Ferien!$B$9+ROW(B151)-1&lt;=Ferien!$C$9, Ferien!$B$9+ROW(B151)-1, "")</f>
        <v/>
      </c>
      <c r="H153" s="1" t="str">
        <f>IF(Ferien!$B$10+ROW(B151)-1&lt;=Ferien!$C$10, Ferien!$B$10+ROW(B151)-1, "")</f>
        <v/>
      </c>
      <c r="I153" s="1" t="str">
        <f>IF(Ferien!$B$11+ROW(B151)-1&lt;=Ferien!$C$11, Ferien!$B$11+ROW(B151)-1, "")</f>
        <v/>
      </c>
      <c r="J153" s="1" t="str">
        <f>IF(Ferien!$B$12+ROW(B151)-1&lt;=Ferien!$C$12, Ferien!$B$12+ROW(B151)-1, "")</f>
        <v/>
      </c>
      <c r="K153" s="1" t="str">
        <f>IF(Ferien!$B$13+ROW(B151)-1&lt;=Ferien!$C$13, Ferien!$B$13+ROW(B151)-1, "")</f>
        <v/>
      </c>
      <c r="L153" s="1" t="str">
        <f>IF(Ferien!$B$14+ROW(B151)-1&lt;=Ferien!$C$14, Ferien!$B$14+ROW(B151)-1, "")</f>
        <v/>
      </c>
      <c r="M153" s="1" t="str">
        <f>IF(Ferien!$B$15+ROW(B151)-1&lt;=Ferien!$C$15, Ferien!$B$15+ROW(B151)-1, "")</f>
        <v/>
      </c>
      <c r="N153" s="1" t="str">
        <f>IF(Ferien!$B$16+ROW(B151)-1&lt;=Ferien!$C$16, Ferien!$B$16+ROW(B151)-1, "")</f>
        <v/>
      </c>
      <c r="O153" s="1" t="str">
        <f>IF(Ferien!$B$17+ROW(B151)-1&lt;=Ferien!$C$17, Ferien!$B$17+ROW(B151)-1, "")</f>
        <v/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x14ac:dyDescent="0.3">
      <c r="A154" s="1" t="str">
        <f>IF(Ferien!$B$3+ROW(A152)-1&lt;=Ferien!$C$3, Ferien!$B$3+ROW(A152)-1, "")</f>
        <v/>
      </c>
      <c r="B154" s="1"/>
      <c r="C154" s="1"/>
      <c r="D154" s="1"/>
      <c r="E154" s="1" t="str">
        <f>IF(Ferien!$B$7+ROW(B152)-1&lt;=Ferien!$C$7, Ferien!$B$7+ROW(B152)-1, "")</f>
        <v/>
      </c>
      <c r="F154" s="1"/>
      <c r="G154" s="1" t="str">
        <f>IF(Ferien!$B$9+ROW(B152)-1&lt;=Ferien!$C$9, Ferien!$B$9+ROW(B152)-1, "")</f>
        <v/>
      </c>
      <c r="H154" s="1" t="str">
        <f>IF(Ferien!$B$10+ROW(B152)-1&lt;=Ferien!$C$10, Ferien!$B$10+ROW(B152)-1, "")</f>
        <v/>
      </c>
      <c r="I154" s="1" t="str">
        <f>IF(Ferien!$B$11+ROW(B152)-1&lt;=Ferien!$C$11, Ferien!$B$11+ROW(B152)-1, "")</f>
        <v/>
      </c>
      <c r="J154" s="1" t="str">
        <f>IF(Ferien!$B$12+ROW(B152)-1&lt;=Ferien!$C$12, Ferien!$B$12+ROW(B152)-1, "")</f>
        <v/>
      </c>
      <c r="K154" s="1" t="str">
        <f>IF(Ferien!$B$13+ROW(B152)-1&lt;=Ferien!$C$13, Ferien!$B$13+ROW(B152)-1, "")</f>
        <v/>
      </c>
      <c r="L154" s="1" t="str">
        <f>IF(Ferien!$B$14+ROW(B152)-1&lt;=Ferien!$C$14, Ferien!$B$14+ROW(B152)-1, "")</f>
        <v/>
      </c>
      <c r="M154" s="1" t="str">
        <f>IF(Ferien!$B$15+ROW(B152)-1&lt;=Ferien!$C$15, Ferien!$B$15+ROW(B152)-1, "")</f>
        <v/>
      </c>
      <c r="N154" s="1" t="str">
        <f>IF(Ferien!$B$16+ROW(B152)-1&lt;=Ferien!$C$16, Ferien!$B$16+ROW(B152)-1, "")</f>
        <v/>
      </c>
      <c r="O154" s="1" t="str">
        <f>IF(Ferien!$B$17+ROW(B152)-1&lt;=Ferien!$C$17, Ferien!$B$17+ROW(B152)-1, "")</f>
        <v/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x14ac:dyDescent="0.3">
      <c r="A155" s="1" t="str">
        <f>IF(Ferien!$B$3+ROW(A153)-1&lt;=Ferien!$C$3, Ferien!$B$3+ROW(A153)-1, "")</f>
        <v/>
      </c>
      <c r="B155" s="1"/>
      <c r="C155" s="1"/>
      <c r="D155" s="1"/>
      <c r="E155" s="1" t="str">
        <f>IF(Ferien!$B$7+ROW(B153)-1&lt;=Ferien!$C$7, Ferien!$B$7+ROW(B153)-1, "")</f>
        <v/>
      </c>
      <c r="F155" s="1"/>
      <c r="G155" s="1" t="str">
        <f>IF(Ferien!$B$9+ROW(B153)-1&lt;=Ferien!$C$9, Ferien!$B$9+ROW(B153)-1, "")</f>
        <v/>
      </c>
      <c r="H155" s="1" t="str">
        <f>IF(Ferien!$B$10+ROW(B153)-1&lt;=Ferien!$C$10, Ferien!$B$10+ROW(B153)-1, "")</f>
        <v/>
      </c>
      <c r="I155" s="1" t="str">
        <f>IF(Ferien!$B$11+ROW(B153)-1&lt;=Ferien!$C$11, Ferien!$B$11+ROW(B153)-1, "")</f>
        <v/>
      </c>
      <c r="J155" s="1" t="str">
        <f>IF(Ferien!$B$12+ROW(B153)-1&lt;=Ferien!$C$12, Ferien!$B$12+ROW(B153)-1, "")</f>
        <v/>
      </c>
      <c r="K155" s="1" t="str">
        <f>IF(Ferien!$B$13+ROW(B153)-1&lt;=Ferien!$C$13, Ferien!$B$13+ROW(B153)-1, "")</f>
        <v/>
      </c>
      <c r="L155" s="1" t="str">
        <f>IF(Ferien!$B$14+ROW(B153)-1&lt;=Ferien!$C$14, Ferien!$B$14+ROW(B153)-1, "")</f>
        <v/>
      </c>
      <c r="M155" s="1" t="str">
        <f>IF(Ferien!$B$15+ROW(B153)-1&lt;=Ferien!$C$15, Ferien!$B$15+ROW(B153)-1, "")</f>
        <v/>
      </c>
      <c r="N155" s="1" t="str">
        <f>IF(Ferien!$B$16+ROW(B153)-1&lt;=Ferien!$C$16, Ferien!$B$16+ROW(B153)-1, "")</f>
        <v/>
      </c>
      <c r="O155" s="1" t="str">
        <f>IF(Ferien!$B$17+ROW(B153)-1&lt;=Ferien!$C$17, Ferien!$B$17+ROW(B153)-1, "")</f>
        <v/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x14ac:dyDescent="0.3">
      <c r="A156" s="1" t="str">
        <f>IF(Ferien!$B$3+ROW(A154)-1&lt;=Ferien!$C$3, Ferien!$B$3+ROW(A154)-1, "")</f>
        <v/>
      </c>
      <c r="B156" s="1"/>
      <c r="C156" s="1"/>
      <c r="D156" s="1"/>
      <c r="E156" s="1" t="str">
        <f>IF(Ferien!$B$7+ROW(B154)-1&lt;=Ferien!$C$7, Ferien!$B$7+ROW(B154)-1, "")</f>
        <v/>
      </c>
      <c r="F156" s="1"/>
      <c r="G156" s="1" t="str">
        <f>IF(Ferien!$B$9+ROW(B154)-1&lt;=Ferien!$C$9, Ferien!$B$9+ROW(B154)-1, "")</f>
        <v/>
      </c>
      <c r="H156" s="1" t="str">
        <f>IF(Ferien!$B$10+ROW(B154)-1&lt;=Ferien!$C$10, Ferien!$B$10+ROW(B154)-1, "")</f>
        <v/>
      </c>
      <c r="I156" s="1" t="str">
        <f>IF(Ferien!$B$11+ROW(B154)-1&lt;=Ferien!$C$11, Ferien!$B$11+ROW(B154)-1, "")</f>
        <v/>
      </c>
      <c r="J156" s="1" t="str">
        <f>IF(Ferien!$B$12+ROW(B154)-1&lt;=Ferien!$C$12, Ferien!$B$12+ROW(B154)-1, "")</f>
        <v/>
      </c>
      <c r="K156" s="1" t="str">
        <f>IF(Ferien!$B$13+ROW(B154)-1&lt;=Ferien!$C$13, Ferien!$B$13+ROW(B154)-1, "")</f>
        <v/>
      </c>
      <c r="L156" s="1" t="str">
        <f>IF(Ferien!$B$14+ROW(B154)-1&lt;=Ferien!$C$14, Ferien!$B$14+ROW(B154)-1, "")</f>
        <v/>
      </c>
      <c r="M156" s="1" t="str">
        <f>IF(Ferien!$B$15+ROW(B154)-1&lt;=Ferien!$C$15, Ferien!$B$15+ROW(B154)-1, "")</f>
        <v/>
      </c>
      <c r="N156" s="1" t="str">
        <f>IF(Ferien!$B$16+ROW(B154)-1&lt;=Ferien!$C$16, Ferien!$B$16+ROW(B154)-1, "")</f>
        <v/>
      </c>
      <c r="O156" s="1" t="str">
        <f>IF(Ferien!$B$17+ROW(B154)-1&lt;=Ferien!$C$17, Ferien!$B$17+ROW(B154)-1, "")</f>
        <v/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x14ac:dyDescent="0.3">
      <c r="A157" s="1" t="str">
        <f>IF(Ferien!$B$3+ROW(A155)-1&lt;=Ferien!$C$3, Ferien!$B$3+ROW(A155)-1, "")</f>
        <v/>
      </c>
      <c r="B157" s="1"/>
      <c r="C157" s="1"/>
      <c r="D157" s="1"/>
      <c r="E157" s="1" t="str">
        <f>IF(Ferien!$B$7+ROW(B155)-1&lt;=Ferien!$C$7, Ferien!$B$7+ROW(B155)-1, "")</f>
        <v/>
      </c>
      <c r="F157" s="1"/>
      <c r="G157" s="1" t="str">
        <f>IF(Ferien!$B$9+ROW(B155)-1&lt;=Ferien!$C$9, Ferien!$B$9+ROW(B155)-1, "")</f>
        <v/>
      </c>
      <c r="H157" s="1" t="str">
        <f>IF(Ferien!$B$10+ROW(B155)-1&lt;=Ferien!$C$10, Ferien!$B$10+ROW(B155)-1, "")</f>
        <v/>
      </c>
      <c r="I157" s="1" t="str">
        <f>IF(Ferien!$B$11+ROW(B155)-1&lt;=Ferien!$C$11, Ferien!$B$11+ROW(B155)-1, "")</f>
        <v/>
      </c>
      <c r="J157" s="1" t="str">
        <f>IF(Ferien!$B$12+ROW(B155)-1&lt;=Ferien!$C$12, Ferien!$B$12+ROW(B155)-1, "")</f>
        <v/>
      </c>
      <c r="K157" s="1" t="str">
        <f>IF(Ferien!$B$13+ROW(B155)-1&lt;=Ferien!$C$13, Ferien!$B$13+ROW(B155)-1, "")</f>
        <v/>
      </c>
      <c r="L157" s="1" t="str">
        <f>IF(Ferien!$B$14+ROW(B155)-1&lt;=Ferien!$C$14, Ferien!$B$14+ROW(B155)-1, "")</f>
        <v/>
      </c>
      <c r="M157" s="1" t="str">
        <f>IF(Ferien!$B$15+ROW(B155)-1&lt;=Ferien!$C$15, Ferien!$B$15+ROW(B155)-1, "")</f>
        <v/>
      </c>
      <c r="N157" s="1" t="str">
        <f>IF(Ferien!$B$16+ROW(B155)-1&lt;=Ferien!$C$16, Ferien!$B$16+ROW(B155)-1, "")</f>
        <v/>
      </c>
      <c r="O157" s="1" t="str">
        <f>IF(Ferien!$B$17+ROW(B155)-1&lt;=Ferien!$C$17, Ferien!$B$17+ROW(B155)-1, "")</f>
        <v/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x14ac:dyDescent="0.3">
      <c r="A158" s="1" t="str">
        <f>IF(Ferien!$B$3+ROW(A156)-1&lt;=Ferien!$C$3, Ferien!$B$3+ROW(A156)-1, "")</f>
        <v/>
      </c>
      <c r="B158" s="1"/>
      <c r="C158" s="1"/>
      <c r="D158" s="1"/>
      <c r="E158" s="1" t="str">
        <f>IF(Ferien!$B$7+ROW(B156)-1&lt;=Ferien!$C$7, Ferien!$B$7+ROW(B156)-1, "")</f>
        <v/>
      </c>
      <c r="F158" s="1"/>
      <c r="G158" s="1" t="str">
        <f>IF(Ferien!$B$9+ROW(B156)-1&lt;=Ferien!$C$9, Ferien!$B$9+ROW(B156)-1, "")</f>
        <v/>
      </c>
      <c r="H158" s="1" t="str">
        <f>IF(Ferien!$B$10+ROW(B156)-1&lt;=Ferien!$C$10, Ferien!$B$10+ROW(B156)-1, "")</f>
        <v/>
      </c>
      <c r="I158" s="1" t="str">
        <f>IF(Ferien!$B$11+ROW(B156)-1&lt;=Ferien!$C$11, Ferien!$B$11+ROW(B156)-1, "")</f>
        <v/>
      </c>
      <c r="J158" s="1" t="str">
        <f>IF(Ferien!$B$12+ROW(B156)-1&lt;=Ferien!$C$12, Ferien!$B$12+ROW(B156)-1, "")</f>
        <v/>
      </c>
      <c r="K158" s="1" t="str">
        <f>IF(Ferien!$B$13+ROW(B156)-1&lt;=Ferien!$C$13, Ferien!$B$13+ROW(B156)-1, "")</f>
        <v/>
      </c>
      <c r="L158" s="1" t="str">
        <f>IF(Ferien!$B$14+ROW(B156)-1&lt;=Ferien!$C$14, Ferien!$B$14+ROW(B156)-1, "")</f>
        <v/>
      </c>
      <c r="M158" s="1" t="str">
        <f>IF(Ferien!$B$15+ROW(B156)-1&lt;=Ferien!$C$15, Ferien!$B$15+ROW(B156)-1, "")</f>
        <v/>
      </c>
      <c r="N158" s="1" t="str">
        <f>IF(Ferien!$B$16+ROW(B156)-1&lt;=Ferien!$C$16, Ferien!$B$16+ROW(B156)-1, "")</f>
        <v/>
      </c>
      <c r="O158" s="1" t="str">
        <f>IF(Ferien!$B$17+ROW(B156)-1&lt;=Ferien!$C$17, Ferien!$B$17+ROW(B156)-1, "")</f>
        <v/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x14ac:dyDescent="0.3">
      <c r="A159" s="1" t="str">
        <f>IF(Ferien!$B$3+ROW(A157)-1&lt;=Ferien!$C$3, Ferien!$B$3+ROW(A157)-1, "")</f>
        <v/>
      </c>
      <c r="B159" s="1"/>
      <c r="C159" s="1"/>
      <c r="D159" s="1"/>
      <c r="E159" s="1" t="str">
        <f>IF(Ferien!$B$7+ROW(B157)-1&lt;=Ferien!$C$7, Ferien!$B$7+ROW(B157)-1, "")</f>
        <v/>
      </c>
      <c r="F159" s="1"/>
      <c r="G159" s="1" t="str">
        <f>IF(Ferien!$B$9+ROW(B157)-1&lt;=Ferien!$C$9, Ferien!$B$9+ROW(B157)-1, "")</f>
        <v/>
      </c>
      <c r="H159" s="1" t="str">
        <f>IF(Ferien!$B$10+ROW(B157)-1&lt;=Ferien!$C$10, Ferien!$B$10+ROW(B157)-1, "")</f>
        <v/>
      </c>
      <c r="I159" s="1" t="str">
        <f>IF(Ferien!$B$11+ROW(B157)-1&lt;=Ferien!$C$11, Ferien!$B$11+ROW(B157)-1, "")</f>
        <v/>
      </c>
      <c r="J159" s="1" t="str">
        <f>IF(Ferien!$B$12+ROW(B157)-1&lt;=Ferien!$C$12, Ferien!$B$12+ROW(B157)-1, "")</f>
        <v/>
      </c>
      <c r="K159" s="1" t="str">
        <f>IF(Ferien!$B$13+ROW(B157)-1&lt;=Ferien!$C$13, Ferien!$B$13+ROW(B157)-1, "")</f>
        <v/>
      </c>
      <c r="L159" s="1" t="str">
        <f>IF(Ferien!$B$14+ROW(B157)-1&lt;=Ferien!$C$14, Ferien!$B$14+ROW(B157)-1, "")</f>
        <v/>
      </c>
      <c r="M159" s="1" t="str">
        <f>IF(Ferien!$B$15+ROW(B157)-1&lt;=Ferien!$C$15, Ferien!$B$15+ROW(B157)-1, "")</f>
        <v/>
      </c>
      <c r="N159" s="1" t="str">
        <f>IF(Ferien!$B$16+ROW(B157)-1&lt;=Ferien!$C$16, Ferien!$B$16+ROW(B157)-1, "")</f>
        <v/>
      </c>
      <c r="O159" s="1" t="str">
        <f>IF(Ferien!$B$17+ROW(B157)-1&lt;=Ferien!$C$17, Ferien!$B$17+ROW(B157)-1, "")</f>
        <v/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x14ac:dyDescent="0.3">
      <c r="A160" s="1" t="str">
        <f>IF(Ferien!$B$3+ROW(A158)-1&lt;=Ferien!$C$3, Ferien!$B$3+ROW(A158)-1, "")</f>
        <v/>
      </c>
      <c r="B160" s="1"/>
      <c r="C160" s="1"/>
      <c r="D160" s="1"/>
      <c r="E160" s="1" t="str">
        <f>IF(Ferien!$B$7+ROW(B158)-1&lt;=Ferien!$C$7, Ferien!$B$7+ROW(B158)-1, "")</f>
        <v/>
      </c>
      <c r="F160" s="1"/>
      <c r="G160" s="1" t="str">
        <f>IF(Ferien!$B$9+ROW(B158)-1&lt;=Ferien!$C$9, Ferien!$B$9+ROW(B158)-1, "")</f>
        <v/>
      </c>
      <c r="H160" s="1" t="str">
        <f>IF(Ferien!$B$10+ROW(B158)-1&lt;=Ferien!$C$10, Ferien!$B$10+ROW(B158)-1, "")</f>
        <v/>
      </c>
      <c r="I160" s="1" t="str">
        <f>IF(Ferien!$B$11+ROW(B158)-1&lt;=Ferien!$C$11, Ferien!$B$11+ROW(B158)-1, "")</f>
        <v/>
      </c>
      <c r="J160" s="1" t="str">
        <f>IF(Ferien!$B$12+ROW(B158)-1&lt;=Ferien!$C$12, Ferien!$B$12+ROW(B158)-1, "")</f>
        <v/>
      </c>
      <c r="K160" s="1" t="str">
        <f>IF(Ferien!$B$13+ROW(B158)-1&lt;=Ferien!$C$13, Ferien!$B$13+ROW(B158)-1, "")</f>
        <v/>
      </c>
      <c r="L160" s="1" t="str">
        <f>IF(Ferien!$B$14+ROW(B158)-1&lt;=Ferien!$C$14, Ferien!$B$14+ROW(B158)-1, "")</f>
        <v/>
      </c>
      <c r="M160" s="1" t="str">
        <f>IF(Ferien!$B$15+ROW(B158)-1&lt;=Ferien!$C$15, Ferien!$B$15+ROW(B158)-1, "")</f>
        <v/>
      </c>
      <c r="N160" s="1" t="str">
        <f>IF(Ferien!$B$16+ROW(B158)-1&lt;=Ferien!$C$16, Ferien!$B$16+ROW(B158)-1, "")</f>
        <v/>
      </c>
      <c r="O160" s="1" t="str">
        <f>IF(Ferien!$B$17+ROW(B158)-1&lt;=Ferien!$C$17, Ferien!$B$17+ROW(B158)-1, "")</f>
        <v/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x14ac:dyDescent="0.3">
      <c r="A161" s="1" t="str">
        <f>IF(Ferien!$B$3+ROW(A159)-1&lt;=Ferien!$C$3, Ferien!$B$3+ROW(A159)-1, "")</f>
        <v/>
      </c>
      <c r="B161" s="1"/>
      <c r="C161" s="1"/>
      <c r="D161" s="1"/>
      <c r="E161" s="1" t="str">
        <f>IF(Ferien!$B$7+ROW(B159)-1&lt;=Ferien!$C$7, Ferien!$B$7+ROW(B159)-1, "")</f>
        <v/>
      </c>
      <c r="F161" s="1"/>
      <c r="G161" s="1" t="str">
        <f>IF(Ferien!$B$9+ROW(B159)-1&lt;=Ferien!$C$9, Ferien!$B$9+ROW(B159)-1, "")</f>
        <v/>
      </c>
      <c r="H161" s="1" t="str">
        <f>IF(Ferien!$B$10+ROW(B159)-1&lt;=Ferien!$C$10, Ferien!$B$10+ROW(B159)-1, "")</f>
        <v/>
      </c>
      <c r="I161" s="1" t="str">
        <f>IF(Ferien!$B$11+ROW(B159)-1&lt;=Ferien!$C$11, Ferien!$B$11+ROW(B159)-1, "")</f>
        <v/>
      </c>
      <c r="J161" s="1" t="str">
        <f>IF(Ferien!$B$12+ROW(B159)-1&lt;=Ferien!$C$12, Ferien!$B$12+ROW(B159)-1, "")</f>
        <v/>
      </c>
      <c r="K161" s="1" t="str">
        <f>IF(Ferien!$B$13+ROW(B159)-1&lt;=Ferien!$C$13, Ferien!$B$13+ROW(B159)-1, "")</f>
        <v/>
      </c>
      <c r="L161" s="1" t="str">
        <f>IF(Ferien!$B$14+ROW(B159)-1&lt;=Ferien!$C$14, Ferien!$B$14+ROW(B159)-1, "")</f>
        <v/>
      </c>
      <c r="M161" s="1" t="str">
        <f>IF(Ferien!$B$15+ROW(B159)-1&lt;=Ferien!$C$15, Ferien!$B$15+ROW(B159)-1, "")</f>
        <v/>
      </c>
      <c r="N161" s="1" t="str">
        <f>IF(Ferien!$B$16+ROW(B159)-1&lt;=Ferien!$C$16, Ferien!$B$16+ROW(B159)-1, "")</f>
        <v/>
      </c>
      <c r="O161" s="1" t="str">
        <f>IF(Ferien!$B$17+ROW(B159)-1&lt;=Ferien!$C$17, Ferien!$B$17+ROW(B159)-1, "")</f>
        <v/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x14ac:dyDescent="0.3">
      <c r="A162" s="1" t="str">
        <f>IF(Ferien!$B$3+ROW(A160)-1&lt;=Ferien!$C$3, Ferien!$B$3+ROW(A160)-1, "")</f>
        <v/>
      </c>
      <c r="B162" s="1"/>
      <c r="C162" s="1"/>
      <c r="D162" s="1"/>
      <c r="E162" s="1" t="str">
        <f>IF(Ferien!$B$7+ROW(B160)-1&lt;=Ferien!$C$7, Ferien!$B$7+ROW(B160)-1, "")</f>
        <v/>
      </c>
      <c r="F162" s="1"/>
      <c r="G162" s="1" t="str">
        <f>IF(Ferien!$B$9+ROW(B160)-1&lt;=Ferien!$C$9, Ferien!$B$9+ROW(B160)-1, "")</f>
        <v/>
      </c>
      <c r="H162" s="1" t="str">
        <f>IF(Ferien!$B$10+ROW(B160)-1&lt;=Ferien!$C$10, Ferien!$B$10+ROW(B160)-1, "")</f>
        <v/>
      </c>
      <c r="I162" s="1" t="str">
        <f>IF(Ferien!$B$11+ROW(B160)-1&lt;=Ferien!$C$11, Ferien!$B$11+ROW(B160)-1, "")</f>
        <v/>
      </c>
      <c r="J162" s="1" t="str">
        <f>IF(Ferien!$B$12+ROW(B160)-1&lt;=Ferien!$C$12, Ferien!$B$12+ROW(B160)-1, "")</f>
        <v/>
      </c>
      <c r="K162" s="1" t="str">
        <f>IF(Ferien!$B$13+ROW(B160)-1&lt;=Ferien!$C$13, Ferien!$B$13+ROW(B160)-1, "")</f>
        <v/>
      </c>
      <c r="L162" s="1" t="str">
        <f>IF(Ferien!$B$14+ROW(B160)-1&lt;=Ferien!$C$14, Ferien!$B$14+ROW(B160)-1, "")</f>
        <v/>
      </c>
      <c r="M162" s="1" t="str">
        <f>IF(Ferien!$B$15+ROW(B160)-1&lt;=Ferien!$C$15, Ferien!$B$15+ROW(B160)-1, "")</f>
        <v/>
      </c>
      <c r="N162" s="1" t="str">
        <f>IF(Ferien!$B$16+ROW(B160)-1&lt;=Ferien!$C$16, Ferien!$B$16+ROW(B160)-1, "")</f>
        <v/>
      </c>
      <c r="O162" s="1" t="str">
        <f>IF(Ferien!$B$17+ROW(B160)-1&lt;=Ferien!$C$17, Ferien!$B$17+ROW(B160)-1, "")</f>
        <v/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x14ac:dyDescent="0.3">
      <c r="A163" s="1" t="str">
        <f>IF(Ferien!$B$3+ROW(A161)-1&lt;=Ferien!$C$3, Ferien!$B$3+ROW(A161)-1, "")</f>
        <v/>
      </c>
      <c r="B163" s="1"/>
      <c r="C163" s="1"/>
      <c r="D163" s="1"/>
      <c r="E163" s="1" t="str">
        <f>IF(Ferien!$B$7+ROW(B161)-1&lt;=Ferien!$C$7, Ferien!$B$7+ROW(B161)-1, "")</f>
        <v/>
      </c>
      <c r="F163" s="1"/>
      <c r="G163" s="1" t="str">
        <f>IF(Ferien!$B$9+ROW(B161)-1&lt;=Ferien!$C$9, Ferien!$B$9+ROW(B161)-1, "")</f>
        <v/>
      </c>
      <c r="H163" s="1" t="str">
        <f>IF(Ferien!$B$10+ROW(B161)-1&lt;=Ferien!$C$10, Ferien!$B$10+ROW(B161)-1, "")</f>
        <v/>
      </c>
      <c r="I163" s="1" t="str">
        <f>IF(Ferien!$B$11+ROW(B161)-1&lt;=Ferien!$C$11, Ferien!$B$11+ROW(B161)-1, "")</f>
        <v/>
      </c>
      <c r="J163" s="1" t="str">
        <f>IF(Ferien!$B$12+ROW(B161)-1&lt;=Ferien!$C$12, Ferien!$B$12+ROW(B161)-1, "")</f>
        <v/>
      </c>
      <c r="K163" s="1" t="str">
        <f>IF(Ferien!$B$13+ROW(B161)-1&lt;=Ferien!$C$13, Ferien!$B$13+ROW(B161)-1, "")</f>
        <v/>
      </c>
      <c r="L163" s="1" t="str">
        <f>IF(Ferien!$B$14+ROW(B161)-1&lt;=Ferien!$C$14, Ferien!$B$14+ROW(B161)-1, "")</f>
        <v/>
      </c>
      <c r="M163" s="1" t="str">
        <f>IF(Ferien!$B$15+ROW(B161)-1&lt;=Ferien!$C$15, Ferien!$B$15+ROW(B161)-1, "")</f>
        <v/>
      </c>
      <c r="N163" s="1" t="str">
        <f>IF(Ferien!$B$16+ROW(B161)-1&lt;=Ferien!$C$16, Ferien!$B$16+ROW(B161)-1, "")</f>
        <v/>
      </c>
      <c r="O163" s="1" t="str">
        <f>IF(Ferien!$B$17+ROW(B161)-1&lt;=Ferien!$C$17, Ferien!$B$17+ROW(B161)-1, "")</f>
        <v/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x14ac:dyDescent="0.3">
      <c r="A164" s="1" t="str">
        <f>IF(Ferien!$B$3+ROW(A162)-1&lt;=Ferien!$C$3, Ferien!$B$3+ROW(A162)-1, "")</f>
        <v/>
      </c>
      <c r="B164" s="1"/>
      <c r="C164" s="1"/>
      <c r="D164" s="1"/>
      <c r="E164" s="1" t="str">
        <f>IF(Ferien!$B$7+ROW(B162)-1&lt;=Ferien!$C$7, Ferien!$B$7+ROW(B162)-1, "")</f>
        <v/>
      </c>
      <c r="F164" s="1"/>
      <c r="G164" s="1" t="str">
        <f>IF(Ferien!$B$9+ROW(B162)-1&lt;=Ferien!$C$9, Ferien!$B$9+ROW(B162)-1, "")</f>
        <v/>
      </c>
      <c r="H164" s="1" t="str">
        <f>IF(Ferien!$B$10+ROW(B162)-1&lt;=Ferien!$C$10, Ferien!$B$10+ROW(B162)-1, "")</f>
        <v/>
      </c>
      <c r="I164" s="1" t="str">
        <f>IF(Ferien!$B$11+ROW(B162)-1&lt;=Ferien!$C$11, Ferien!$B$11+ROW(B162)-1, "")</f>
        <v/>
      </c>
      <c r="J164" s="1" t="str">
        <f>IF(Ferien!$B$12+ROW(B162)-1&lt;=Ferien!$C$12, Ferien!$B$12+ROW(B162)-1, "")</f>
        <v/>
      </c>
      <c r="K164" s="1" t="str">
        <f>IF(Ferien!$B$13+ROW(B162)-1&lt;=Ferien!$C$13, Ferien!$B$13+ROW(B162)-1, "")</f>
        <v/>
      </c>
      <c r="L164" s="1" t="str">
        <f>IF(Ferien!$B$14+ROW(B162)-1&lt;=Ferien!$C$14, Ferien!$B$14+ROW(B162)-1, "")</f>
        <v/>
      </c>
      <c r="M164" s="1" t="str">
        <f>IF(Ferien!$B$15+ROW(B162)-1&lt;=Ferien!$C$15, Ferien!$B$15+ROW(B162)-1, "")</f>
        <v/>
      </c>
      <c r="N164" s="1" t="str">
        <f>IF(Ferien!$B$16+ROW(B162)-1&lt;=Ferien!$C$16, Ferien!$B$16+ROW(B162)-1, "")</f>
        <v/>
      </c>
      <c r="O164" s="1" t="str">
        <f>IF(Ferien!$B$17+ROW(B162)-1&lt;=Ferien!$C$17, Ferien!$B$17+ROW(B162)-1, "")</f>
        <v/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x14ac:dyDescent="0.3">
      <c r="A165" s="1" t="str">
        <f>IF(Ferien!$B$3+ROW(A163)-1&lt;=Ferien!$C$3, Ferien!$B$3+ROW(A163)-1, "")</f>
        <v/>
      </c>
      <c r="B165" s="1"/>
      <c r="C165" s="1"/>
      <c r="D165" s="1"/>
      <c r="E165" s="1" t="str">
        <f>IF(Ferien!$B$7+ROW(B163)-1&lt;=Ferien!$C$7, Ferien!$B$7+ROW(B163)-1, "")</f>
        <v/>
      </c>
      <c r="F165" s="1"/>
      <c r="G165" s="1" t="str">
        <f>IF(Ferien!$B$9+ROW(B163)-1&lt;=Ferien!$C$9, Ferien!$B$9+ROW(B163)-1, "")</f>
        <v/>
      </c>
      <c r="H165" s="1" t="str">
        <f>IF(Ferien!$B$10+ROW(B163)-1&lt;=Ferien!$C$10, Ferien!$B$10+ROW(B163)-1, "")</f>
        <v/>
      </c>
      <c r="I165" s="1" t="str">
        <f>IF(Ferien!$B$11+ROW(B163)-1&lt;=Ferien!$C$11, Ferien!$B$11+ROW(B163)-1, "")</f>
        <v/>
      </c>
      <c r="J165" s="1" t="str">
        <f>IF(Ferien!$B$12+ROW(B163)-1&lt;=Ferien!$C$12, Ferien!$B$12+ROW(B163)-1, "")</f>
        <v/>
      </c>
      <c r="K165" s="1" t="str">
        <f>IF(Ferien!$B$13+ROW(B163)-1&lt;=Ferien!$C$13, Ferien!$B$13+ROW(B163)-1, "")</f>
        <v/>
      </c>
      <c r="L165" s="1" t="str">
        <f>IF(Ferien!$B$14+ROW(B163)-1&lt;=Ferien!$C$14, Ferien!$B$14+ROW(B163)-1, "")</f>
        <v/>
      </c>
      <c r="M165" s="1" t="str">
        <f>IF(Ferien!$B$15+ROW(B163)-1&lt;=Ferien!$C$15, Ferien!$B$15+ROW(B163)-1, "")</f>
        <v/>
      </c>
      <c r="N165" s="1" t="str">
        <f>IF(Ferien!$B$16+ROW(B163)-1&lt;=Ferien!$C$16, Ferien!$B$16+ROW(B163)-1, "")</f>
        <v/>
      </c>
      <c r="O165" s="1" t="str">
        <f>IF(Ferien!$B$17+ROW(B163)-1&lt;=Ferien!$C$17, Ferien!$B$17+ROW(B163)-1, "")</f>
        <v/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x14ac:dyDescent="0.3">
      <c r="A166" s="1" t="str">
        <f>IF(Ferien!$B$3+ROW(A164)-1&lt;=Ferien!$C$3, Ferien!$B$3+ROW(A164)-1, "")</f>
        <v/>
      </c>
      <c r="B166" s="1"/>
      <c r="C166" s="1"/>
      <c r="D166" s="1"/>
      <c r="E166" s="1" t="str">
        <f>IF(Ferien!$B$7+ROW(B164)-1&lt;=Ferien!$C$7, Ferien!$B$7+ROW(B164)-1, "")</f>
        <v/>
      </c>
      <c r="F166" s="1"/>
      <c r="G166" s="1" t="str">
        <f>IF(Ferien!$B$9+ROW(B164)-1&lt;=Ferien!$C$9, Ferien!$B$9+ROW(B164)-1, "")</f>
        <v/>
      </c>
      <c r="H166" s="1" t="str">
        <f>IF(Ferien!$B$10+ROW(B164)-1&lt;=Ferien!$C$10, Ferien!$B$10+ROW(B164)-1, "")</f>
        <v/>
      </c>
      <c r="I166" s="1" t="str">
        <f>IF(Ferien!$B$11+ROW(B164)-1&lt;=Ferien!$C$11, Ferien!$B$11+ROW(B164)-1, "")</f>
        <v/>
      </c>
      <c r="J166" s="1" t="str">
        <f>IF(Ferien!$B$12+ROW(B164)-1&lt;=Ferien!$C$12, Ferien!$B$12+ROW(B164)-1, "")</f>
        <v/>
      </c>
      <c r="K166" s="1" t="str">
        <f>IF(Ferien!$B$13+ROW(B164)-1&lt;=Ferien!$C$13, Ferien!$B$13+ROW(B164)-1, "")</f>
        <v/>
      </c>
      <c r="L166" s="1" t="str">
        <f>IF(Ferien!$B$14+ROW(B164)-1&lt;=Ferien!$C$14, Ferien!$B$14+ROW(B164)-1, "")</f>
        <v/>
      </c>
      <c r="M166" s="1" t="str">
        <f>IF(Ferien!$B$15+ROW(B164)-1&lt;=Ferien!$C$15, Ferien!$B$15+ROW(B164)-1, "")</f>
        <v/>
      </c>
      <c r="N166" s="1" t="str">
        <f>IF(Ferien!$B$16+ROW(B164)-1&lt;=Ferien!$C$16, Ferien!$B$16+ROW(B164)-1, "")</f>
        <v/>
      </c>
      <c r="O166" s="1" t="str">
        <f>IF(Ferien!$B$17+ROW(B164)-1&lt;=Ferien!$C$17, Ferien!$B$17+ROW(B164)-1, "")</f>
        <v/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x14ac:dyDescent="0.3">
      <c r="A167" s="1" t="str">
        <f>IF(Ferien!$B$3+ROW(A165)-1&lt;=Ferien!$C$3, Ferien!$B$3+ROW(A165)-1, "")</f>
        <v/>
      </c>
      <c r="B167" s="1"/>
      <c r="C167" s="1"/>
      <c r="D167" s="1"/>
      <c r="E167" s="1" t="str">
        <f>IF(Ferien!$B$7+ROW(B165)-1&lt;=Ferien!$C$7, Ferien!$B$7+ROW(B165)-1, "")</f>
        <v/>
      </c>
      <c r="F167" s="1"/>
      <c r="G167" s="1"/>
      <c r="H167" s="1" t="str">
        <f>IF(Ferien!$B$10+ROW(B165)-1&lt;=Ferien!$C$10, Ferien!$B$10+ROW(B165)-1, "")</f>
        <v/>
      </c>
      <c r="I167" s="1" t="str">
        <f>IF(Ferien!$B$11+ROW(B165)-1&lt;=Ferien!$C$11, Ferien!$B$11+ROW(B165)-1, "")</f>
        <v/>
      </c>
      <c r="J167" s="1" t="str">
        <f>IF(Ferien!$B$12+ROW(B165)-1&lt;=Ferien!$C$12, Ferien!$B$12+ROW(B165)-1, "")</f>
        <v/>
      </c>
      <c r="K167" s="1" t="str">
        <f>IF(Ferien!$B$13+ROW(B165)-1&lt;=Ferien!$C$13, Ferien!$B$13+ROW(B165)-1, "")</f>
        <v/>
      </c>
      <c r="L167" s="1" t="str">
        <f>IF(Ferien!$B$14+ROW(B165)-1&lt;=Ferien!$C$14, Ferien!$B$14+ROW(B165)-1, "")</f>
        <v/>
      </c>
      <c r="M167" s="1" t="str">
        <f>IF(Ferien!$B$15+ROW(B165)-1&lt;=Ferien!$C$15, Ferien!$B$15+ROW(B165)-1, "")</f>
        <v/>
      </c>
      <c r="N167" s="1" t="str">
        <f>IF(Ferien!$B$16+ROW(B165)-1&lt;=Ferien!$C$16, Ferien!$B$16+ROW(B165)-1, "")</f>
        <v/>
      </c>
      <c r="O167" s="1" t="str">
        <f>IF(Ferien!$B$17+ROW(B165)-1&lt;=Ferien!$C$17, Ferien!$B$17+ROW(B165)-1, "")</f>
        <v/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x14ac:dyDescent="0.3">
      <c r="A168" s="1" t="str">
        <f>IF(Ferien!$B$3+ROW(A166)-1&lt;=Ferien!$C$3, Ferien!$B$3+ROW(A166)-1, "")</f>
        <v/>
      </c>
      <c r="B168" s="1"/>
      <c r="C168" s="1"/>
      <c r="D168" s="1"/>
      <c r="E168" s="1" t="str">
        <f>IF(Ferien!$B$7+ROW(B166)-1&lt;=Ferien!$C$7, Ferien!$B$7+ROW(B166)-1, "")</f>
        <v/>
      </c>
      <c r="F168" s="1"/>
      <c r="G168" s="1"/>
      <c r="H168" s="1" t="str">
        <f>IF(Ferien!$B$10+ROW(B166)-1&lt;=Ferien!$C$10, Ferien!$B$10+ROW(B166)-1, "")</f>
        <v/>
      </c>
      <c r="I168" s="1" t="str">
        <f>IF(Ferien!$B$11+ROW(B166)-1&lt;=Ferien!$C$11, Ferien!$B$11+ROW(B166)-1, "")</f>
        <v/>
      </c>
      <c r="J168" s="1" t="str">
        <f>IF(Ferien!$B$12+ROW(B166)-1&lt;=Ferien!$C$12, Ferien!$B$12+ROW(B166)-1, "")</f>
        <v/>
      </c>
      <c r="K168" s="1" t="str">
        <f>IF(Ferien!$B$13+ROW(B166)-1&lt;=Ferien!$C$13, Ferien!$B$13+ROW(B166)-1, "")</f>
        <v/>
      </c>
      <c r="L168" s="1" t="str">
        <f>IF(Ferien!$B$14+ROW(B166)-1&lt;=Ferien!$C$14, Ferien!$B$14+ROW(B166)-1, "")</f>
        <v/>
      </c>
      <c r="M168" s="1" t="str">
        <f>IF(Ferien!$B$15+ROW(B166)-1&lt;=Ferien!$C$15, Ferien!$B$15+ROW(B166)-1, "")</f>
        <v/>
      </c>
      <c r="N168" s="1" t="str">
        <f>IF(Ferien!$B$16+ROW(B166)-1&lt;=Ferien!$C$16, Ferien!$B$16+ROW(B166)-1, "")</f>
        <v/>
      </c>
      <c r="O168" s="1" t="str">
        <f>IF(Ferien!$B$17+ROW(B166)-1&lt;=Ferien!$C$17, Ferien!$B$17+ROW(B166)-1, "")</f>
        <v/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x14ac:dyDescent="0.3">
      <c r="A169" s="1" t="str">
        <f>IF(Ferien!$B$3+ROW(A167)-1&lt;=Ferien!$C$3, Ferien!$B$3+ROW(A167)-1, "")</f>
        <v/>
      </c>
      <c r="B169" s="1"/>
      <c r="C169" s="1"/>
      <c r="D169" s="1"/>
      <c r="E169" s="1" t="str">
        <f>IF(Ferien!$B$7+ROW(B167)-1&lt;=Ferien!$C$7, Ferien!$B$7+ROW(B167)-1, "")</f>
        <v/>
      </c>
      <c r="F169" s="1"/>
      <c r="G169" s="1"/>
      <c r="H169" s="1" t="str">
        <f>IF(Ferien!$B$10+ROW(B167)-1&lt;=Ferien!$C$10, Ferien!$B$10+ROW(B167)-1, "")</f>
        <v/>
      </c>
      <c r="I169" s="1" t="str">
        <f>IF(Ferien!$B$11+ROW(B167)-1&lt;=Ferien!$C$11, Ferien!$B$11+ROW(B167)-1, "")</f>
        <v/>
      </c>
      <c r="J169" s="1" t="str">
        <f>IF(Ferien!$B$12+ROW(B167)-1&lt;=Ferien!$C$12, Ferien!$B$12+ROW(B167)-1, "")</f>
        <v/>
      </c>
      <c r="K169" s="1" t="str">
        <f>IF(Ferien!$B$13+ROW(B167)-1&lt;=Ferien!$C$13, Ferien!$B$13+ROW(B167)-1, "")</f>
        <v/>
      </c>
      <c r="L169" s="1" t="str">
        <f>IF(Ferien!$B$14+ROW(B167)-1&lt;=Ferien!$C$14, Ferien!$B$14+ROW(B167)-1, "")</f>
        <v/>
      </c>
      <c r="M169" s="1" t="str">
        <f>IF(Ferien!$B$15+ROW(B167)-1&lt;=Ferien!$C$15, Ferien!$B$15+ROW(B167)-1, "")</f>
        <v/>
      </c>
      <c r="N169" s="1" t="str">
        <f>IF(Ferien!$B$16+ROW(B167)-1&lt;=Ferien!$C$16, Ferien!$B$16+ROW(B167)-1, "")</f>
        <v/>
      </c>
      <c r="O169" s="1" t="str">
        <f>IF(Ferien!$B$17+ROW(B167)-1&lt;=Ferien!$C$17, Ferien!$B$17+ROW(B167)-1, "")</f>
        <v/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x14ac:dyDescent="0.3">
      <c r="A170" s="1" t="str">
        <f>IF(Ferien!$B$3+ROW(A168)-1&lt;=Ferien!$C$3, Ferien!$B$3+ROW(A168)-1, "")</f>
        <v/>
      </c>
      <c r="B170" s="1"/>
      <c r="C170" s="1"/>
      <c r="D170" s="1"/>
      <c r="E170" s="1" t="str">
        <f>IF(Ferien!$B$7+ROW(B168)-1&lt;=Ferien!$C$7, Ferien!$B$7+ROW(B168)-1, "")</f>
        <v/>
      </c>
      <c r="F170" s="1"/>
      <c r="G170" s="1"/>
      <c r="H170" s="1" t="str">
        <f>IF(Ferien!$B$10+ROW(B168)-1&lt;=Ferien!$C$10, Ferien!$B$10+ROW(B168)-1, "")</f>
        <v/>
      </c>
      <c r="I170" s="1" t="str">
        <f>IF(Ferien!$B$11+ROW(B168)-1&lt;=Ferien!$C$11, Ferien!$B$11+ROW(B168)-1, "")</f>
        <v/>
      </c>
      <c r="J170" s="1" t="str">
        <f>IF(Ferien!$B$12+ROW(B168)-1&lt;=Ferien!$C$12, Ferien!$B$12+ROW(B168)-1, "")</f>
        <v/>
      </c>
      <c r="K170" s="1" t="str">
        <f>IF(Ferien!$B$13+ROW(B168)-1&lt;=Ferien!$C$13, Ferien!$B$13+ROW(B168)-1, "")</f>
        <v/>
      </c>
      <c r="L170" s="1" t="str">
        <f>IF(Ferien!$B$14+ROW(B168)-1&lt;=Ferien!$C$14, Ferien!$B$14+ROW(B168)-1, "")</f>
        <v/>
      </c>
      <c r="M170" s="1" t="str">
        <f>IF(Ferien!$B$15+ROW(B168)-1&lt;=Ferien!$C$15, Ferien!$B$15+ROW(B168)-1, "")</f>
        <v/>
      </c>
      <c r="N170" s="1" t="str">
        <f>IF(Ferien!$B$16+ROW(B168)-1&lt;=Ferien!$C$16, Ferien!$B$16+ROW(B168)-1, "")</f>
        <v/>
      </c>
      <c r="O170" s="1" t="str">
        <f>IF(Ferien!$B$17+ROW(B168)-1&lt;=Ferien!$C$17, Ferien!$B$17+ROW(B168)-1, "")</f>
        <v/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x14ac:dyDescent="0.3">
      <c r="A171" s="1" t="str">
        <f>IF(Ferien!$B$3+ROW(A169)-1&lt;=Ferien!$C$3, Ferien!$B$3+ROW(A169)-1, "")</f>
        <v/>
      </c>
      <c r="B171" s="1"/>
      <c r="C171" s="1"/>
      <c r="D171" s="1"/>
      <c r="E171" s="1" t="str">
        <f>IF(Ferien!$B$7+ROW(B169)-1&lt;=Ferien!$C$7, Ferien!$B$7+ROW(B169)-1, "")</f>
        <v/>
      </c>
      <c r="F171" s="1"/>
      <c r="G171" s="1"/>
      <c r="H171" s="1"/>
      <c r="I171" s="1" t="str">
        <f>IF(Ferien!$B$11+ROW(B169)-1&lt;=Ferien!$C$11, Ferien!$B$11+ROW(B169)-1, "")</f>
        <v/>
      </c>
      <c r="J171" s="1" t="str">
        <f>IF(Ferien!$B$12+ROW(B169)-1&lt;=Ferien!$C$12, Ferien!$B$12+ROW(B169)-1, "")</f>
        <v/>
      </c>
      <c r="K171" s="1" t="str">
        <f>IF(Ferien!$B$13+ROW(B169)-1&lt;=Ferien!$C$13, Ferien!$B$13+ROW(B169)-1, "")</f>
        <v/>
      </c>
      <c r="L171" s="1" t="str">
        <f>IF(Ferien!$B$14+ROW(B169)-1&lt;=Ferien!$C$14, Ferien!$B$14+ROW(B169)-1, "")</f>
        <v/>
      </c>
      <c r="M171" s="1" t="str">
        <f>IF(Ferien!$B$15+ROW(B169)-1&lt;=Ferien!$C$15, Ferien!$B$15+ROW(B169)-1, "")</f>
        <v/>
      </c>
      <c r="N171" s="1" t="str">
        <f>IF(Ferien!$B$16+ROW(B169)-1&lt;=Ferien!$C$16, Ferien!$B$16+ROW(B169)-1, "")</f>
        <v/>
      </c>
      <c r="O171" s="1" t="str">
        <f>IF(Ferien!$B$17+ROW(B169)-1&lt;=Ferien!$C$17, Ferien!$B$17+ROW(B169)-1, "")</f>
        <v/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x14ac:dyDescent="0.3">
      <c r="A172" s="1" t="str">
        <f>IF(Ferien!$B$3+ROW(A170)-1&lt;=Ferien!$C$3, Ferien!$B$3+ROW(A170)-1, "")</f>
        <v/>
      </c>
      <c r="B172" s="1"/>
      <c r="C172" s="1"/>
      <c r="D172" s="1"/>
      <c r="E172" s="1" t="str">
        <f>IF(Ferien!$B$7+ROW(B170)-1&lt;=Ferien!$C$7, Ferien!$B$7+ROW(B170)-1, "")</f>
        <v/>
      </c>
      <c r="F172" s="1"/>
      <c r="G172" s="1"/>
      <c r="H172" s="1"/>
      <c r="I172" s="1" t="str">
        <f>IF(Ferien!$B$11+ROW(B170)-1&lt;=Ferien!$C$11, Ferien!$B$11+ROW(B170)-1, "")</f>
        <v/>
      </c>
      <c r="J172" s="1" t="str">
        <f>IF(Ferien!$B$12+ROW(B170)-1&lt;=Ferien!$C$12, Ferien!$B$12+ROW(B170)-1, "")</f>
        <v/>
      </c>
      <c r="K172" s="1" t="str">
        <f>IF(Ferien!$B$13+ROW(B170)-1&lt;=Ferien!$C$13, Ferien!$B$13+ROW(B170)-1, "")</f>
        <v/>
      </c>
      <c r="L172" s="1" t="str">
        <f>IF(Ferien!$B$14+ROW(B170)-1&lt;=Ferien!$C$14, Ferien!$B$14+ROW(B170)-1, "")</f>
        <v/>
      </c>
      <c r="M172" s="1" t="str">
        <f>IF(Ferien!$B$15+ROW(B170)-1&lt;=Ferien!$C$15, Ferien!$B$15+ROW(B170)-1, "")</f>
        <v/>
      </c>
      <c r="N172" s="1" t="str">
        <f>IF(Ferien!$B$16+ROW(B170)-1&lt;=Ferien!$C$16, Ferien!$B$16+ROW(B170)-1, "")</f>
        <v/>
      </c>
      <c r="O172" s="1" t="str">
        <f>IF(Ferien!$B$17+ROW(B170)-1&lt;=Ferien!$C$17, Ferien!$B$17+ROW(B170)-1, "")</f>
        <v/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x14ac:dyDescent="0.3">
      <c r="A173" s="1" t="str">
        <f>IF(Ferien!$B$3+ROW(A171)-1&lt;=Ferien!$C$3, Ferien!$B$3+ROW(A171)-1, "")</f>
        <v/>
      </c>
      <c r="B173" s="1"/>
      <c r="C173" s="1"/>
      <c r="D173" s="1"/>
      <c r="E173" s="1" t="str">
        <f>IF(Ferien!$B$7+ROW(B171)-1&lt;=Ferien!$C$7, Ferien!$B$7+ROW(B171)-1, "")</f>
        <v/>
      </c>
      <c r="F173" s="1"/>
      <c r="G173" s="1"/>
      <c r="H173" s="1"/>
      <c r="I173" s="1" t="str">
        <f>IF(Ferien!$B$11+ROW(B171)-1&lt;=Ferien!$C$11, Ferien!$B$11+ROW(B171)-1, "")</f>
        <v/>
      </c>
      <c r="J173" s="1" t="str">
        <f>IF(Ferien!$B$12+ROW(B171)-1&lt;=Ferien!$C$12, Ferien!$B$12+ROW(B171)-1, "")</f>
        <v/>
      </c>
      <c r="K173" s="1" t="str">
        <f>IF(Ferien!$B$13+ROW(B171)-1&lt;=Ferien!$C$13, Ferien!$B$13+ROW(B171)-1, "")</f>
        <v/>
      </c>
      <c r="L173" s="1" t="str">
        <f>IF(Ferien!$B$14+ROW(B171)-1&lt;=Ferien!$C$14, Ferien!$B$14+ROW(B171)-1, "")</f>
        <v/>
      </c>
      <c r="M173" s="1" t="str">
        <f>IF(Ferien!$B$15+ROW(B171)-1&lt;=Ferien!$C$15, Ferien!$B$15+ROW(B171)-1, "")</f>
        <v/>
      </c>
      <c r="N173" s="1" t="str">
        <f>IF(Ferien!$B$16+ROW(B171)-1&lt;=Ferien!$C$16, Ferien!$B$16+ROW(B171)-1, "")</f>
        <v/>
      </c>
      <c r="O173" s="1" t="str">
        <f>IF(Ferien!$B$17+ROW(B171)-1&lt;=Ferien!$C$17, Ferien!$B$17+ROW(B171)-1, "")</f>
        <v/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x14ac:dyDescent="0.3">
      <c r="A174" s="1" t="str">
        <f>IF(Ferien!$B$3+ROW(A172)-1&lt;=Ferien!$C$3, Ferien!$B$3+ROW(A172)-1, "")</f>
        <v/>
      </c>
      <c r="B174" s="1"/>
      <c r="C174" s="1"/>
      <c r="D174" s="1"/>
      <c r="E174" s="1" t="str">
        <f>IF(Ferien!$B$7+ROW(B172)-1&lt;=Ferien!$C$7, Ferien!$B$7+ROW(B172)-1, "")</f>
        <v/>
      </c>
      <c r="F174" s="1"/>
      <c r="G174" s="1"/>
      <c r="H174" s="1"/>
      <c r="I174" s="1" t="str">
        <f>IF(Ferien!$B$11+ROW(B172)-1&lt;=Ferien!$C$11, Ferien!$B$11+ROW(B172)-1, "")</f>
        <v/>
      </c>
      <c r="J174" s="1" t="str">
        <f>IF(Ferien!$B$12+ROW(B172)-1&lt;=Ferien!$C$12, Ferien!$B$12+ROW(B172)-1, "")</f>
        <v/>
      </c>
      <c r="K174" s="1" t="str">
        <f>IF(Ferien!$B$13+ROW(B172)-1&lt;=Ferien!$C$13, Ferien!$B$13+ROW(B172)-1, "")</f>
        <v/>
      </c>
      <c r="L174" s="1" t="str">
        <f>IF(Ferien!$B$14+ROW(B172)-1&lt;=Ferien!$C$14, Ferien!$B$14+ROW(B172)-1, "")</f>
        <v/>
      </c>
      <c r="M174" s="1" t="str">
        <f>IF(Ferien!$B$15+ROW(B172)-1&lt;=Ferien!$C$15, Ferien!$B$15+ROW(B172)-1, "")</f>
        <v/>
      </c>
      <c r="N174" s="1" t="str">
        <f>IF(Ferien!$B$16+ROW(B172)-1&lt;=Ferien!$C$16, Ferien!$B$16+ROW(B172)-1, "")</f>
        <v/>
      </c>
      <c r="O174" s="1" t="str">
        <f>IF(Ferien!$B$17+ROW(B172)-1&lt;=Ferien!$C$17, Ferien!$B$17+ROW(B172)-1, "")</f>
        <v/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x14ac:dyDescent="0.3">
      <c r="A175" s="1" t="str">
        <f>IF(Ferien!$B$3+ROW(A173)-1&lt;=Ferien!$C$3, Ferien!$B$3+ROW(A173)-1, "")</f>
        <v/>
      </c>
      <c r="B175" s="1"/>
      <c r="C175" s="1"/>
      <c r="D175" s="1"/>
      <c r="E175" s="1" t="str">
        <f>IF(Ferien!$B$7+ROW(B173)-1&lt;=Ferien!$C$7, Ferien!$B$7+ROW(B173)-1, "")</f>
        <v/>
      </c>
      <c r="F175" s="1"/>
      <c r="G175" s="1"/>
      <c r="H175" s="1"/>
      <c r="I175" s="1" t="str">
        <f>IF(Ferien!$B$11+ROW(B173)-1&lt;=Ferien!$C$11, Ferien!$B$11+ROW(B173)-1, "")</f>
        <v/>
      </c>
      <c r="J175" s="1" t="str">
        <f>IF(Ferien!$B$12+ROW(B173)-1&lt;=Ferien!$C$12, Ferien!$B$12+ROW(B173)-1, "")</f>
        <v/>
      </c>
      <c r="K175" s="1" t="str">
        <f>IF(Ferien!$B$13+ROW(B173)-1&lt;=Ferien!$C$13, Ferien!$B$13+ROW(B173)-1, "")</f>
        <v/>
      </c>
      <c r="L175" s="1" t="str">
        <f>IF(Ferien!$B$14+ROW(B173)-1&lt;=Ferien!$C$14, Ferien!$B$14+ROW(B173)-1, "")</f>
        <v/>
      </c>
      <c r="M175" s="1" t="str">
        <f>IF(Ferien!$B$15+ROW(B173)-1&lt;=Ferien!$C$15, Ferien!$B$15+ROW(B173)-1, "")</f>
        <v/>
      </c>
      <c r="N175" s="1" t="str">
        <f>IF(Ferien!$B$16+ROW(B173)-1&lt;=Ferien!$C$16, Ferien!$B$16+ROW(B173)-1, "")</f>
        <v/>
      </c>
      <c r="O175" s="1" t="str">
        <f>IF(Ferien!$B$17+ROW(B173)-1&lt;=Ferien!$C$17, Ferien!$B$17+ROW(B173)-1, "")</f>
        <v/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x14ac:dyDescent="0.3">
      <c r="A176" s="1" t="str">
        <f>IF(Ferien!$B$3+ROW(A174)-1&lt;=Ferien!$C$3, Ferien!$B$3+ROW(A174)-1, "")</f>
        <v/>
      </c>
      <c r="B176" s="1"/>
      <c r="C176" s="1"/>
      <c r="D176" s="1"/>
      <c r="E176" s="1" t="str">
        <f>IF(Ferien!$B$7+ROW(B174)-1&lt;=Ferien!$C$7, Ferien!$B$7+ROW(B174)-1, "")</f>
        <v/>
      </c>
      <c r="F176" s="1"/>
      <c r="G176" s="1"/>
      <c r="H176" s="1"/>
      <c r="I176" s="1" t="str">
        <f>IF(Ferien!$B$11+ROW(B174)-1&lt;=Ferien!$C$11, Ferien!$B$11+ROW(B174)-1, "")</f>
        <v/>
      </c>
      <c r="J176" s="1" t="str">
        <f>IF(Ferien!$B$12+ROW(B174)-1&lt;=Ferien!$C$12, Ferien!$B$12+ROW(B174)-1, "")</f>
        <v/>
      </c>
      <c r="K176" s="1" t="str">
        <f>IF(Ferien!$B$13+ROW(B174)-1&lt;=Ferien!$C$13, Ferien!$B$13+ROW(B174)-1, "")</f>
        <v/>
      </c>
      <c r="L176" s="1" t="str">
        <f>IF(Ferien!$B$14+ROW(B174)-1&lt;=Ferien!$C$14, Ferien!$B$14+ROW(B174)-1, "")</f>
        <v/>
      </c>
      <c r="M176" s="1" t="str">
        <f>IF(Ferien!$B$15+ROW(B174)-1&lt;=Ferien!$C$15, Ferien!$B$15+ROW(B174)-1, "")</f>
        <v/>
      </c>
      <c r="N176" s="1" t="str">
        <f>IF(Ferien!$B$16+ROW(B174)-1&lt;=Ferien!$C$16, Ferien!$B$16+ROW(B174)-1, "")</f>
        <v/>
      </c>
      <c r="O176" s="1" t="str">
        <f>IF(Ferien!$B$17+ROW(B174)-1&lt;=Ferien!$C$17, Ferien!$B$17+ROW(B174)-1, "")</f>
        <v/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x14ac:dyDescent="0.3">
      <c r="A177" s="1" t="str">
        <f>IF(Ferien!$B$3+ROW(A175)-1&lt;=Ferien!$C$3, Ferien!$B$3+ROW(A175)-1, "")</f>
        <v/>
      </c>
      <c r="B177" s="1"/>
      <c r="C177" s="1"/>
      <c r="D177" s="1"/>
      <c r="E177" s="1" t="str">
        <f>IF(Ferien!$B$7+ROW(B175)-1&lt;=Ferien!$C$7, Ferien!$B$7+ROW(B175)-1, "")</f>
        <v/>
      </c>
      <c r="F177" s="1"/>
      <c r="G177" s="1"/>
      <c r="H177" s="1"/>
      <c r="I177" s="1" t="str">
        <f>IF(Ferien!$B$11+ROW(B175)-1&lt;=Ferien!$C$11, Ferien!$B$11+ROW(B175)-1, "")</f>
        <v/>
      </c>
      <c r="J177" s="1" t="str">
        <f>IF(Ferien!$B$12+ROW(B175)-1&lt;=Ferien!$C$12, Ferien!$B$12+ROW(B175)-1, "")</f>
        <v/>
      </c>
      <c r="K177" s="1" t="str">
        <f>IF(Ferien!$B$13+ROW(B175)-1&lt;=Ferien!$C$13, Ferien!$B$13+ROW(B175)-1, "")</f>
        <v/>
      </c>
      <c r="L177" s="1" t="str">
        <f>IF(Ferien!$B$14+ROW(B175)-1&lt;=Ferien!$C$14, Ferien!$B$14+ROW(B175)-1, "")</f>
        <v/>
      </c>
      <c r="M177" s="1" t="str">
        <f>IF(Ferien!$B$15+ROW(B175)-1&lt;=Ferien!$C$15, Ferien!$B$15+ROW(B175)-1, "")</f>
        <v/>
      </c>
      <c r="N177" s="1" t="str">
        <f>IF(Ferien!$B$16+ROW(B175)-1&lt;=Ferien!$C$16, Ferien!$B$16+ROW(B175)-1, "")</f>
        <v/>
      </c>
      <c r="O177" s="1" t="str">
        <f>IF(Ferien!$B$17+ROW(B175)-1&lt;=Ferien!$C$17, Ferien!$B$17+ROW(B175)-1, "")</f>
        <v/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x14ac:dyDescent="0.3">
      <c r="A178" s="1" t="str">
        <f>IF(Ferien!$B$3+ROW(A176)-1&lt;=Ferien!$C$3, Ferien!$B$3+ROW(A176)-1, "")</f>
        <v/>
      </c>
      <c r="B178" s="1"/>
      <c r="C178" s="1"/>
      <c r="D178" s="1"/>
      <c r="E178" s="1" t="str">
        <f>IF(Ferien!$B$7+ROW(B176)-1&lt;=Ferien!$C$7, Ferien!$B$7+ROW(B176)-1, "")</f>
        <v/>
      </c>
      <c r="F178" s="1"/>
      <c r="G178" s="1"/>
      <c r="H178" s="1"/>
      <c r="I178" s="1" t="str">
        <f>IF(Ferien!$B$11+ROW(B176)-1&lt;=Ferien!$C$11, Ferien!$B$11+ROW(B176)-1, "")</f>
        <v/>
      </c>
      <c r="J178" s="1" t="str">
        <f>IF(Ferien!$B$12+ROW(B176)-1&lt;=Ferien!$C$12, Ferien!$B$12+ROW(B176)-1, "")</f>
        <v/>
      </c>
      <c r="K178" s="1" t="str">
        <f>IF(Ferien!$B$13+ROW(B176)-1&lt;=Ferien!$C$13, Ferien!$B$13+ROW(B176)-1, "")</f>
        <v/>
      </c>
      <c r="L178" s="1" t="str">
        <f>IF(Ferien!$B$14+ROW(B176)-1&lt;=Ferien!$C$14, Ferien!$B$14+ROW(B176)-1, "")</f>
        <v/>
      </c>
      <c r="M178" s="1" t="str">
        <f>IF(Ferien!$B$15+ROW(B176)-1&lt;=Ferien!$C$15, Ferien!$B$15+ROW(B176)-1, "")</f>
        <v/>
      </c>
      <c r="N178" s="1" t="str">
        <f>IF(Ferien!$B$16+ROW(B176)-1&lt;=Ferien!$C$16, Ferien!$B$16+ROW(B176)-1, "")</f>
        <v/>
      </c>
      <c r="O178" s="1" t="str">
        <f>IF(Ferien!$B$17+ROW(B176)-1&lt;=Ferien!$C$17, Ferien!$B$17+ROW(B176)-1, "")</f>
        <v/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x14ac:dyDescent="0.3">
      <c r="A179" s="1" t="str">
        <f>IF(Ferien!$B$3+ROW(A177)-1&lt;=Ferien!$C$3, Ferien!$B$3+ROW(A177)-1, "")</f>
        <v/>
      </c>
      <c r="B179" s="1"/>
      <c r="C179" s="1"/>
      <c r="D179" s="1"/>
      <c r="E179" s="1" t="str">
        <f>IF(Ferien!$B$7+ROW(B177)-1&lt;=Ferien!$C$7, Ferien!$B$7+ROW(B177)-1, "")</f>
        <v/>
      </c>
      <c r="F179" s="1"/>
      <c r="G179" s="1"/>
      <c r="H179" s="1"/>
      <c r="I179" s="1" t="str">
        <f>IF(Ferien!$B$11+ROW(B177)-1&lt;=Ferien!$C$11, Ferien!$B$11+ROW(B177)-1, "")</f>
        <v/>
      </c>
      <c r="J179" s="1" t="str">
        <f>IF(Ferien!$B$12+ROW(B177)-1&lt;=Ferien!$C$12, Ferien!$B$12+ROW(B177)-1, "")</f>
        <v/>
      </c>
      <c r="K179" s="1" t="str">
        <f>IF(Ferien!$B$13+ROW(B177)-1&lt;=Ferien!$C$13, Ferien!$B$13+ROW(B177)-1, "")</f>
        <v/>
      </c>
      <c r="L179" s="1" t="str">
        <f>IF(Ferien!$B$14+ROW(B177)-1&lt;=Ferien!$C$14, Ferien!$B$14+ROW(B177)-1, "")</f>
        <v/>
      </c>
      <c r="M179" s="1" t="str">
        <f>IF(Ferien!$B$15+ROW(B177)-1&lt;=Ferien!$C$15, Ferien!$B$15+ROW(B177)-1, "")</f>
        <v/>
      </c>
      <c r="N179" s="1" t="str">
        <f>IF(Ferien!$B$16+ROW(B177)-1&lt;=Ferien!$C$16, Ferien!$B$16+ROW(B177)-1, "")</f>
        <v/>
      </c>
      <c r="O179" s="1" t="str">
        <f>IF(Ferien!$B$17+ROW(B177)-1&lt;=Ferien!$C$17, Ferien!$B$17+ROW(B177)-1, "")</f>
        <v/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x14ac:dyDescent="0.3">
      <c r="A180" s="1" t="str">
        <f>IF(Ferien!$B$3+ROW(A178)-1&lt;=Ferien!$C$3, Ferien!$B$3+ROW(A178)-1, "")</f>
        <v/>
      </c>
      <c r="B180" s="1"/>
      <c r="C180" s="1"/>
      <c r="D180" s="1"/>
      <c r="E180" s="1" t="str">
        <f>IF(Ferien!$B$7+ROW(B178)-1&lt;=Ferien!$C$7, Ferien!$B$7+ROW(B178)-1, "")</f>
        <v/>
      </c>
      <c r="F180" s="1"/>
      <c r="G180" s="1"/>
      <c r="H180" s="1"/>
      <c r="I180" s="1" t="str">
        <f>IF(Ferien!$B$11+ROW(B178)-1&lt;=Ferien!$C$11, Ferien!$B$11+ROW(B178)-1, "")</f>
        <v/>
      </c>
      <c r="J180" s="1" t="str">
        <f>IF(Ferien!$B$12+ROW(B178)-1&lt;=Ferien!$C$12, Ferien!$B$12+ROW(B178)-1, "")</f>
        <v/>
      </c>
      <c r="K180" s="1" t="str">
        <f>IF(Ferien!$B$13+ROW(B178)-1&lt;=Ferien!$C$13, Ferien!$B$13+ROW(B178)-1, "")</f>
        <v/>
      </c>
      <c r="L180" s="1" t="str">
        <f>IF(Ferien!$B$14+ROW(B178)-1&lt;=Ferien!$C$14, Ferien!$B$14+ROW(B178)-1, "")</f>
        <v/>
      </c>
      <c r="M180" s="1" t="str">
        <f>IF(Ferien!$B$15+ROW(B178)-1&lt;=Ferien!$C$15, Ferien!$B$15+ROW(B178)-1, "")</f>
        <v/>
      </c>
      <c r="N180" s="1" t="str">
        <f>IF(Ferien!$B$16+ROW(B178)-1&lt;=Ferien!$C$16, Ferien!$B$16+ROW(B178)-1, "")</f>
        <v/>
      </c>
      <c r="O180" s="1" t="str">
        <f>IF(Ferien!$B$17+ROW(B178)-1&lt;=Ferien!$C$17, Ferien!$B$17+ROW(B178)-1, "")</f>
        <v/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x14ac:dyDescent="0.3">
      <c r="A181" s="1" t="str">
        <f>IF(Ferien!$B$3+ROW(A179)-1&lt;=Ferien!$C$3, Ferien!$B$3+ROW(A179)-1, "")</f>
        <v/>
      </c>
      <c r="B181" s="1"/>
      <c r="C181" s="1"/>
      <c r="D181" s="1"/>
      <c r="E181" s="1" t="str">
        <f>IF(Ferien!$B$7+ROW(B179)-1&lt;=Ferien!$C$7, Ferien!$B$7+ROW(B179)-1, "")</f>
        <v/>
      </c>
      <c r="F181" s="1"/>
      <c r="G181" s="1"/>
      <c r="H181" s="1"/>
      <c r="I181" s="1" t="str">
        <f>IF(Ferien!$B$11+ROW(B179)-1&lt;=Ferien!$C$11, Ferien!$B$11+ROW(B179)-1, "")</f>
        <v/>
      </c>
      <c r="J181" s="1" t="str">
        <f>IF(Ferien!$B$12+ROW(B179)-1&lt;=Ferien!$C$12, Ferien!$B$12+ROW(B179)-1, "")</f>
        <v/>
      </c>
      <c r="K181" s="1" t="str">
        <f>IF(Ferien!$B$13+ROW(B179)-1&lt;=Ferien!$C$13, Ferien!$B$13+ROW(B179)-1, "")</f>
        <v/>
      </c>
      <c r="L181" s="1" t="str">
        <f>IF(Ferien!$B$14+ROW(B179)-1&lt;=Ferien!$C$14, Ferien!$B$14+ROW(B179)-1, "")</f>
        <v/>
      </c>
      <c r="M181" s="1" t="str">
        <f>IF(Ferien!$B$15+ROW(B179)-1&lt;=Ferien!$C$15, Ferien!$B$15+ROW(B179)-1, "")</f>
        <v/>
      </c>
      <c r="N181" s="1" t="str">
        <f>IF(Ferien!$B$16+ROW(B179)-1&lt;=Ferien!$C$16, Ferien!$B$16+ROW(B179)-1, "")</f>
        <v/>
      </c>
      <c r="O181" s="1" t="str">
        <f>IF(Ferien!$B$17+ROW(B179)-1&lt;=Ferien!$C$17, Ferien!$B$17+ROW(B179)-1, "")</f>
        <v/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x14ac:dyDescent="0.3">
      <c r="A182" s="1" t="str">
        <f>IF(Ferien!$B$3+ROW(A180)-1&lt;=Ferien!$C$3, Ferien!$B$3+ROW(A180)-1, "")</f>
        <v/>
      </c>
      <c r="B182" s="1"/>
      <c r="C182" s="1"/>
      <c r="D182" s="1"/>
      <c r="E182" s="1" t="str">
        <f>IF(Ferien!$B$7+ROW(B180)-1&lt;=Ferien!$C$7, Ferien!$B$7+ROW(B180)-1, "")</f>
        <v/>
      </c>
      <c r="F182" s="1"/>
      <c r="G182" s="1"/>
      <c r="H182" s="1"/>
      <c r="I182" s="1" t="str">
        <f>IF(Ferien!$B$11+ROW(B180)-1&lt;=Ferien!$C$11, Ferien!$B$11+ROW(B180)-1, "")</f>
        <v/>
      </c>
      <c r="J182" s="1" t="str">
        <f>IF(Ferien!$B$12+ROW(B180)-1&lt;=Ferien!$C$12, Ferien!$B$12+ROW(B180)-1, "")</f>
        <v/>
      </c>
      <c r="K182" s="1" t="str">
        <f>IF(Ferien!$B$13+ROW(B180)-1&lt;=Ferien!$C$13, Ferien!$B$13+ROW(B180)-1, "")</f>
        <v/>
      </c>
      <c r="L182" s="1" t="str">
        <f>IF(Ferien!$B$14+ROW(B180)-1&lt;=Ferien!$C$14, Ferien!$B$14+ROW(B180)-1, "")</f>
        <v/>
      </c>
      <c r="M182" s="1" t="str">
        <f>IF(Ferien!$B$15+ROW(B180)-1&lt;=Ferien!$C$15, Ferien!$B$15+ROW(B180)-1, "")</f>
        <v/>
      </c>
      <c r="N182" s="1" t="str">
        <f>IF(Ferien!$B$16+ROW(B180)-1&lt;=Ferien!$C$16, Ferien!$B$16+ROW(B180)-1, "")</f>
        <v/>
      </c>
      <c r="O182" s="1" t="str">
        <f>IF(Ferien!$B$17+ROW(B180)-1&lt;=Ferien!$C$17, Ferien!$B$17+ROW(B180)-1, "")</f>
        <v/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x14ac:dyDescent="0.3">
      <c r="A183" s="1" t="str">
        <f>IF(Ferien!$B$3+ROW(A181)-1&lt;=Ferien!$C$3, Ferien!$B$3+ROW(A181)-1, "")</f>
        <v/>
      </c>
      <c r="B183" s="1"/>
      <c r="C183" s="1"/>
      <c r="D183" s="1"/>
      <c r="E183" s="1" t="str">
        <f>IF(Ferien!$B$7+ROW(B181)-1&lt;=Ferien!$C$7, Ferien!$B$7+ROW(B181)-1, "")</f>
        <v/>
      </c>
      <c r="F183" s="1"/>
      <c r="G183" s="1"/>
      <c r="H183" s="1"/>
      <c r="I183" s="1" t="str">
        <f>IF(Ferien!$B$11+ROW(B181)-1&lt;=Ferien!$C$11, Ferien!$B$11+ROW(B181)-1, "")</f>
        <v/>
      </c>
      <c r="J183" s="1" t="str">
        <f>IF(Ferien!$B$12+ROW(B181)-1&lt;=Ferien!$C$12, Ferien!$B$12+ROW(B181)-1, "")</f>
        <v/>
      </c>
      <c r="K183" s="1" t="str">
        <f>IF(Ferien!$B$13+ROW(B181)-1&lt;=Ferien!$C$13, Ferien!$B$13+ROW(B181)-1, "")</f>
        <v/>
      </c>
      <c r="L183" s="1" t="str">
        <f>IF(Ferien!$B$14+ROW(B181)-1&lt;=Ferien!$C$14, Ferien!$B$14+ROW(B181)-1, "")</f>
        <v/>
      </c>
      <c r="M183" s="1" t="str">
        <f>IF(Ferien!$B$15+ROW(B181)-1&lt;=Ferien!$C$15, Ferien!$B$15+ROW(B181)-1, "")</f>
        <v/>
      </c>
      <c r="N183" s="1" t="str">
        <f>IF(Ferien!$B$16+ROW(B181)-1&lt;=Ferien!$C$16, Ferien!$B$16+ROW(B181)-1, "")</f>
        <v/>
      </c>
      <c r="O183" s="1" t="str">
        <f>IF(Ferien!$B$17+ROW(B181)-1&lt;=Ferien!$C$17, Ferien!$B$17+ROW(B181)-1, "")</f>
        <v/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x14ac:dyDescent="0.3">
      <c r="A184" s="1" t="str">
        <f>IF(Ferien!$B$3+ROW(A182)-1&lt;=Ferien!$C$3, Ferien!$B$3+ROW(A182)-1, "")</f>
        <v/>
      </c>
      <c r="B184" s="1"/>
      <c r="C184" s="1"/>
      <c r="D184" s="1"/>
      <c r="E184" s="1" t="str">
        <f>IF(Ferien!$B$7+ROW(B182)-1&lt;=Ferien!$C$7, Ferien!$B$7+ROW(B182)-1, "")</f>
        <v/>
      </c>
      <c r="F184" s="1"/>
      <c r="G184" s="1"/>
      <c r="H184" s="1"/>
      <c r="I184" s="1" t="str">
        <f>IF(Ferien!$B$11+ROW(B182)-1&lt;=Ferien!$C$11, Ferien!$B$11+ROW(B182)-1, "")</f>
        <v/>
      </c>
      <c r="J184" s="1" t="str">
        <f>IF(Ferien!$B$12+ROW(B182)-1&lt;=Ferien!$C$12, Ferien!$B$12+ROW(B182)-1, "")</f>
        <v/>
      </c>
      <c r="K184" s="1" t="str">
        <f>IF(Ferien!$B$13+ROW(B182)-1&lt;=Ferien!$C$13, Ferien!$B$13+ROW(B182)-1, "")</f>
        <v/>
      </c>
      <c r="L184" s="1" t="str">
        <f>IF(Ferien!$B$14+ROW(B182)-1&lt;=Ferien!$C$14, Ferien!$B$14+ROW(B182)-1, "")</f>
        <v/>
      </c>
      <c r="M184" s="1" t="str">
        <f>IF(Ferien!$B$15+ROW(B182)-1&lt;=Ferien!$C$15, Ferien!$B$15+ROW(B182)-1, "")</f>
        <v/>
      </c>
      <c r="N184" s="1" t="str">
        <f>IF(Ferien!$B$16+ROW(B182)-1&lt;=Ferien!$C$16, Ferien!$B$16+ROW(B182)-1, "")</f>
        <v/>
      </c>
      <c r="O184" s="1" t="str">
        <f>IF(Ferien!$B$17+ROW(B182)-1&lt;=Ferien!$C$17, Ferien!$B$17+ROW(B182)-1, "")</f>
        <v/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x14ac:dyDescent="0.3">
      <c r="A185" s="1" t="str">
        <f>IF(Ferien!$B$3+ROW(A183)-1&lt;=Ferien!$C$3, Ferien!$B$3+ROW(A183)-1, "")</f>
        <v/>
      </c>
      <c r="B185" s="1"/>
      <c r="C185" s="1"/>
      <c r="D185" s="1"/>
      <c r="E185" s="1" t="str">
        <f>IF(Ferien!$B$7+ROW(B183)-1&lt;=Ferien!$C$7, Ferien!$B$7+ROW(B183)-1, "")</f>
        <v/>
      </c>
      <c r="F185" s="1"/>
      <c r="G185" s="1"/>
      <c r="H185" s="1"/>
      <c r="I185" s="1" t="str">
        <f>IF(Ferien!$B$11+ROW(B183)-1&lt;=Ferien!$C$11, Ferien!$B$11+ROW(B183)-1, "")</f>
        <v/>
      </c>
      <c r="J185" s="1" t="str">
        <f>IF(Ferien!$B$12+ROW(B183)-1&lt;=Ferien!$C$12, Ferien!$B$12+ROW(B183)-1, "")</f>
        <v/>
      </c>
      <c r="K185" s="1" t="str">
        <f>IF(Ferien!$B$13+ROW(B183)-1&lt;=Ferien!$C$13, Ferien!$B$13+ROW(B183)-1, "")</f>
        <v/>
      </c>
      <c r="L185" s="1" t="str">
        <f>IF(Ferien!$B$14+ROW(B183)-1&lt;=Ferien!$C$14, Ferien!$B$14+ROW(B183)-1, "")</f>
        <v/>
      </c>
      <c r="M185" s="1" t="str">
        <f>IF(Ferien!$B$15+ROW(B183)-1&lt;=Ferien!$C$15, Ferien!$B$15+ROW(B183)-1, "")</f>
        <v/>
      </c>
      <c r="N185" s="1" t="str">
        <f>IF(Ferien!$B$16+ROW(B183)-1&lt;=Ferien!$C$16, Ferien!$B$16+ROW(B183)-1, "")</f>
        <v/>
      </c>
      <c r="O185" s="1" t="str">
        <f>IF(Ferien!$B$17+ROW(B183)-1&lt;=Ferien!$C$17, Ferien!$B$17+ROW(B183)-1, "")</f>
        <v/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x14ac:dyDescent="0.3">
      <c r="A186" s="1" t="str">
        <f>IF(Ferien!$B$3+ROW(A184)-1&lt;=Ferien!$C$3, Ferien!$B$3+ROW(A184)-1, "")</f>
        <v/>
      </c>
      <c r="B186" s="1"/>
      <c r="C186" s="1"/>
      <c r="D186" s="1"/>
      <c r="E186" s="1" t="str">
        <f>IF(Ferien!$B$7+ROW(B184)-1&lt;=Ferien!$C$7, Ferien!$B$7+ROW(B184)-1, "")</f>
        <v/>
      </c>
      <c r="F186" s="1"/>
      <c r="G186" s="1"/>
      <c r="H186" s="1"/>
      <c r="I186" s="1" t="str">
        <f>IF(Ferien!$B$11+ROW(B184)-1&lt;=Ferien!$C$11, Ferien!$B$11+ROW(B184)-1, "")</f>
        <v/>
      </c>
      <c r="J186" s="1" t="str">
        <f>IF(Ferien!$B$12+ROW(B184)-1&lt;=Ferien!$C$12, Ferien!$B$12+ROW(B184)-1, "")</f>
        <v/>
      </c>
      <c r="K186" s="1" t="str">
        <f>IF(Ferien!$B$13+ROW(B184)-1&lt;=Ferien!$C$13, Ferien!$B$13+ROW(B184)-1, "")</f>
        <v/>
      </c>
      <c r="L186" s="1" t="str">
        <f>IF(Ferien!$B$14+ROW(B184)-1&lt;=Ferien!$C$14, Ferien!$B$14+ROW(B184)-1, "")</f>
        <v/>
      </c>
      <c r="M186" s="1" t="str">
        <f>IF(Ferien!$B$15+ROW(B184)-1&lt;=Ferien!$C$15, Ferien!$B$15+ROW(B184)-1, "")</f>
        <v/>
      </c>
      <c r="N186" s="1" t="str">
        <f>IF(Ferien!$B$16+ROW(B184)-1&lt;=Ferien!$C$16, Ferien!$B$16+ROW(B184)-1, "")</f>
        <v/>
      </c>
      <c r="O186" s="1" t="str">
        <f>IF(Ferien!$B$17+ROW(B184)-1&lt;=Ferien!$C$17, Ferien!$B$17+ROW(B184)-1, "")</f>
        <v/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3">
      <c r="A187" s="1" t="str">
        <f>IF(Ferien!$B$3+ROW(A185)-1&lt;=Ferien!$C$3, Ferien!$B$3+ROW(A185)-1, "")</f>
        <v/>
      </c>
      <c r="B187" s="1"/>
      <c r="C187" s="1"/>
      <c r="D187" s="1"/>
      <c r="E187" s="1" t="str">
        <f>IF(Ferien!$B$7+ROW(B185)-1&lt;=Ferien!$C$7, Ferien!$B$7+ROW(B185)-1, "")</f>
        <v/>
      </c>
      <c r="F187" s="1"/>
      <c r="G187" s="1"/>
      <c r="H187" s="1"/>
      <c r="I187" s="1" t="str">
        <f>IF(Ferien!$B$11+ROW(B185)-1&lt;=Ferien!$C$11, Ferien!$B$11+ROW(B185)-1, "")</f>
        <v/>
      </c>
      <c r="J187" s="1" t="str">
        <f>IF(Ferien!$B$12+ROW(B185)-1&lt;=Ferien!$C$12, Ferien!$B$12+ROW(B185)-1, "")</f>
        <v/>
      </c>
      <c r="K187" s="1" t="str">
        <f>IF(Ferien!$B$13+ROW(B185)-1&lt;=Ferien!$C$13, Ferien!$B$13+ROW(B185)-1, "")</f>
        <v/>
      </c>
      <c r="L187" s="1" t="str">
        <f>IF(Ferien!$B$14+ROW(B185)-1&lt;=Ferien!$C$14, Ferien!$B$14+ROW(B185)-1, "")</f>
        <v/>
      </c>
      <c r="M187" s="1" t="str">
        <f>IF(Ferien!$B$15+ROW(B185)-1&lt;=Ferien!$C$15, Ferien!$B$15+ROW(B185)-1, "")</f>
        <v/>
      </c>
      <c r="N187" s="1" t="str">
        <f>IF(Ferien!$B$16+ROW(B185)-1&lt;=Ferien!$C$16, Ferien!$B$16+ROW(B185)-1, "")</f>
        <v/>
      </c>
      <c r="O187" s="1" t="str">
        <f>IF(Ferien!$B$17+ROW(B185)-1&lt;=Ferien!$C$17, Ferien!$B$17+ROW(B185)-1, "")</f>
        <v/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x14ac:dyDescent="0.3">
      <c r="A188" s="1" t="str">
        <f>IF(Ferien!$B$3+ROW(A186)-1&lt;=Ferien!$C$3, Ferien!$B$3+ROW(A186)-1, "")</f>
        <v/>
      </c>
      <c r="B188" s="1"/>
      <c r="C188" s="1"/>
      <c r="D188" s="1"/>
      <c r="E188" s="1" t="str">
        <f>IF(Ferien!$B$7+ROW(B186)-1&lt;=Ferien!$C$7, Ferien!$B$7+ROW(B186)-1, "")</f>
        <v/>
      </c>
      <c r="F188" s="1"/>
      <c r="G188" s="1"/>
      <c r="H188" s="1"/>
      <c r="I188" s="1" t="str">
        <f>IF(Ferien!$B$11+ROW(B186)-1&lt;=Ferien!$C$11, Ferien!$B$11+ROW(B186)-1, "")</f>
        <v/>
      </c>
      <c r="J188" s="1"/>
      <c r="K188" s="1" t="str">
        <f>IF(Ferien!$B$13+ROW(B186)-1&lt;=Ferien!$C$13, Ferien!$B$13+ROW(B186)-1, "")</f>
        <v/>
      </c>
      <c r="L188" s="1" t="str">
        <f>IF(Ferien!$B$14+ROW(B186)-1&lt;=Ferien!$C$14, Ferien!$B$14+ROW(B186)-1, "")</f>
        <v/>
      </c>
      <c r="M188" s="1" t="str">
        <f>IF(Ferien!$B$15+ROW(B186)-1&lt;=Ferien!$C$15, Ferien!$B$15+ROW(B186)-1, "")</f>
        <v/>
      </c>
      <c r="N188" s="1" t="str">
        <f>IF(Ferien!$B$16+ROW(B186)-1&lt;=Ferien!$C$16, Ferien!$B$16+ROW(B186)-1, "")</f>
        <v/>
      </c>
      <c r="O188" s="1" t="str">
        <f>IF(Ferien!$B$17+ROW(B186)-1&lt;=Ferien!$C$17, Ferien!$B$17+ROW(B186)-1, "")</f>
        <v/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x14ac:dyDescent="0.3">
      <c r="A189" s="1" t="str">
        <f>IF(Ferien!$B$3+ROW(A187)-1&lt;=Ferien!$C$3, Ferien!$B$3+ROW(A187)-1, "")</f>
        <v/>
      </c>
      <c r="B189" s="1"/>
      <c r="C189" s="1"/>
      <c r="D189" s="1"/>
      <c r="E189" s="1" t="str">
        <f>IF(Ferien!$B$7+ROW(B187)-1&lt;=Ferien!$C$7, Ferien!$B$7+ROW(B187)-1, "")</f>
        <v/>
      </c>
      <c r="F189" s="1"/>
      <c r="G189" s="1"/>
      <c r="H189" s="1"/>
      <c r="I189" s="1"/>
      <c r="J189" s="1"/>
      <c r="K189" s="1" t="str">
        <f>IF(Ferien!$B$13+ROW(B187)-1&lt;=Ferien!$C$13, Ferien!$B$13+ROW(B187)-1, "")</f>
        <v/>
      </c>
      <c r="L189" s="1" t="str">
        <f>IF(Ferien!$B$14+ROW(B187)-1&lt;=Ferien!$C$14, Ferien!$B$14+ROW(B187)-1, "")</f>
        <v/>
      </c>
      <c r="M189" s="1" t="str">
        <f>IF(Ferien!$B$15+ROW(B187)-1&lt;=Ferien!$C$15, Ferien!$B$15+ROW(B187)-1, "")</f>
        <v/>
      </c>
      <c r="N189" s="1" t="str">
        <f>IF(Ferien!$B$16+ROW(B187)-1&lt;=Ferien!$C$16, Ferien!$B$16+ROW(B187)-1, "")</f>
        <v/>
      </c>
      <c r="O189" s="1" t="str">
        <f>IF(Ferien!$B$17+ROW(B187)-1&lt;=Ferien!$C$17, Ferien!$B$17+ROW(B187)-1, "")</f>
        <v/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x14ac:dyDescent="0.3">
      <c r="A190" s="1" t="str">
        <f>IF(Ferien!$B$3+ROW(A188)-1&lt;=Ferien!$C$3, Ferien!$B$3+ROW(A188)-1, "")</f>
        <v/>
      </c>
      <c r="B190" s="1"/>
      <c r="C190" s="1"/>
      <c r="D190" s="1"/>
      <c r="E190" s="1" t="str">
        <f>IF(Ferien!$B$7+ROW(B188)-1&lt;=Ferien!$C$7, Ferien!$B$7+ROW(B188)-1, "")</f>
        <v/>
      </c>
      <c r="F190" s="1"/>
      <c r="G190" s="1"/>
      <c r="H190" s="1"/>
      <c r="I190" s="1"/>
      <c r="J190" s="1"/>
      <c r="K190" s="1" t="str">
        <f>IF(Ferien!$B$13+ROW(B188)-1&lt;=Ferien!$C$13, Ferien!$B$13+ROW(B188)-1, "")</f>
        <v/>
      </c>
      <c r="L190" s="1" t="str">
        <f>IF(Ferien!$B$14+ROW(B188)-1&lt;=Ferien!$C$14, Ferien!$B$14+ROW(B188)-1, "")</f>
        <v/>
      </c>
      <c r="M190" s="1" t="str">
        <f>IF(Ferien!$B$15+ROW(B188)-1&lt;=Ferien!$C$15, Ferien!$B$15+ROW(B188)-1, "")</f>
        <v/>
      </c>
      <c r="N190" s="1" t="str">
        <f>IF(Ferien!$B$16+ROW(B188)-1&lt;=Ferien!$C$16, Ferien!$B$16+ROW(B188)-1, "")</f>
        <v/>
      </c>
      <c r="O190" s="1" t="str">
        <f>IF(Ferien!$B$17+ROW(B188)-1&lt;=Ferien!$C$17, Ferien!$B$17+ROW(B188)-1, "")</f>
        <v/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x14ac:dyDescent="0.3">
      <c r="A191" s="1" t="str">
        <f>IF(Ferien!$B$3+ROW(A189)-1&lt;=Ferien!$C$3, Ferien!$B$3+ROW(A189)-1, "")</f>
        <v/>
      </c>
      <c r="B191" s="1"/>
      <c r="C191" s="1"/>
      <c r="D191" s="1"/>
      <c r="E191" s="1" t="str">
        <f>IF(Ferien!$B$7+ROW(B189)-1&lt;=Ferien!$C$7, Ferien!$B$7+ROW(B189)-1, "")</f>
        <v/>
      </c>
      <c r="F191" s="1"/>
      <c r="G191" s="1"/>
      <c r="H191" s="1"/>
      <c r="I191" s="1"/>
      <c r="J191" s="1"/>
      <c r="K191" s="1" t="str">
        <f>IF(Ferien!$B$13+ROW(B189)-1&lt;=Ferien!$C$13, Ferien!$B$13+ROW(B189)-1, "")</f>
        <v/>
      </c>
      <c r="L191" s="1" t="str">
        <f>IF(Ferien!$B$14+ROW(B189)-1&lt;=Ferien!$C$14, Ferien!$B$14+ROW(B189)-1, "")</f>
        <v/>
      </c>
      <c r="M191" s="1"/>
      <c r="N191" s="1" t="str">
        <f>IF(Ferien!$B$16+ROW(B189)-1&lt;=Ferien!$C$16, Ferien!$B$16+ROW(B189)-1, "")</f>
        <v/>
      </c>
      <c r="O191" s="1" t="str">
        <f>IF(Ferien!$B$17+ROW(B189)-1&lt;=Ferien!$C$17, Ferien!$B$17+ROW(B189)-1, "")</f>
        <v/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x14ac:dyDescent="0.3">
      <c r="A192" s="1" t="str">
        <f>IF(Ferien!$B$3+ROW(A190)-1&lt;=Ferien!$C$3, Ferien!$B$3+ROW(A190)-1, "")</f>
        <v/>
      </c>
      <c r="B192" s="1"/>
      <c r="C192" s="1"/>
      <c r="D192" s="1"/>
      <c r="E192" s="1" t="str">
        <f>IF(Ferien!$B$7+ROW(B190)-1&lt;=Ferien!$C$7, Ferien!$B$7+ROW(B190)-1, "")</f>
        <v/>
      </c>
      <c r="F192" s="1"/>
      <c r="G192" s="1"/>
      <c r="H192" s="1"/>
      <c r="I192" s="1"/>
      <c r="J192" s="1"/>
      <c r="K192" s="1" t="str">
        <f>IF(Ferien!$B$13+ROW(B190)-1&lt;=Ferien!$C$13, Ferien!$B$13+ROW(B190)-1, "")</f>
        <v/>
      </c>
      <c r="L192" s="1" t="str">
        <f>IF(Ferien!$B$14+ROW(B190)-1&lt;=Ferien!$C$14, Ferien!$B$14+ROW(B190)-1, "")</f>
        <v/>
      </c>
      <c r="M192" s="1"/>
      <c r="N192" s="1" t="str">
        <f>IF(Ferien!$B$16+ROW(B190)-1&lt;=Ferien!$C$16, Ferien!$B$16+ROW(B190)-1, "")</f>
        <v/>
      </c>
      <c r="O192" s="1" t="str">
        <f>IF(Ferien!$B$17+ROW(B190)-1&lt;=Ferien!$C$17, Ferien!$B$17+ROW(B190)-1, "")</f>
        <v/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x14ac:dyDescent="0.3">
      <c r="A193" s="1" t="str">
        <f>IF(Ferien!$B$3+ROW(A191)-1&lt;=Ferien!$C$3, Ferien!$B$3+ROW(A191)-1, "")</f>
        <v/>
      </c>
      <c r="B193" s="1"/>
      <c r="C193" s="1"/>
      <c r="D193" s="1"/>
      <c r="E193" s="1" t="str">
        <f>IF(Ferien!$B$7+ROW(B191)-1&lt;=Ferien!$C$7, Ferien!$B$7+ROW(B191)-1, "")</f>
        <v/>
      </c>
      <c r="F193" s="1"/>
      <c r="G193" s="1"/>
      <c r="H193" s="1"/>
      <c r="I193" s="1"/>
      <c r="J193" s="1"/>
      <c r="K193" s="1" t="str">
        <f>IF(Ferien!$B$13+ROW(B191)-1&lt;=Ferien!$C$13, Ferien!$B$13+ROW(B191)-1, "")</f>
        <v/>
      </c>
      <c r="L193" s="1" t="str">
        <f>IF(Ferien!$B$14+ROW(B191)-1&lt;=Ferien!$C$14, Ferien!$B$14+ROW(B191)-1, "")</f>
        <v/>
      </c>
      <c r="M193" s="1"/>
      <c r="N193" s="1" t="str">
        <f>IF(Ferien!$B$16+ROW(B191)-1&lt;=Ferien!$C$16, Ferien!$B$16+ROW(B191)-1, "")</f>
        <v/>
      </c>
      <c r="O193" s="1" t="str">
        <f>IF(Ferien!$B$17+ROW(B191)-1&lt;=Ferien!$C$17, Ferien!$B$17+ROW(B191)-1, "")</f>
        <v/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x14ac:dyDescent="0.3">
      <c r="A194" s="1" t="str">
        <f>IF(Ferien!$B$3+ROW(A192)-1&lt;=Ferien!$C$3, Ferien!$B$3+ROW(A192)-1, "")</f>
        <v/>
      </c>
      <c r="B194" s="1"/>
      <c r="C194" s="1"/>
      <c r="D194" s="1"/>
      <c r="E194" s="1" t="str">
        <f>IF(Ferien!$B$7+ROW(B192)-1&lt;=Ferien!$C$7, Ferien!$B$7+ROW(B192)-1, "")</f>
        <v/>
      </c>
      <c r="F194" s="1"/>
      <c r="G194" s="1"/>
      <c r="H194" s="1"/>
      <c r="I194" s="1"/>
      <c r="J194" s="1"/>
      <c r="K194" s="1" t="str">
        <f>IF(Ferien!$B$13+ROW(B192)-1&lt;=Ferien!$C$13, Ferien!$B$13+ROW(B192)-1, "")</f>
        <v/>
      </c>
      <c r="L194" s="1" t="str">
        <f>IF(Ferien!$B$14+ROW(B192)-1&lt;=Ferien!$C$14, Ferien!$B$14+ROW(B192)-1, "")</f>
        <v/>
      </c>
      <c r="M194" s="1"/>
      <c r="N194" s="1" t="str">
        <f>IF(Ferien!$B$16+ROW(B192)-1&lt;=Ferien!$C$16, Ferien!$B$16+ROW(B192)-1, "")</f>
        <v/>
      </c>
      <c r="O194" s="1" t="str">
        <f>IF(Ferien!$B$17+ROW(B192)-1&lt;=Ferien!$C$17, Ferien!$B$17+ROW(B192)-1, "")</f>
        <v/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x14ac:dyDescent="0.3">
      <c r="A195" s="1" t="str">
        <f>IF(Ferien!$B$3+ROW(A193)-1&lt;=Ferien!$C$3, Ferien!$B$3+ROW(A193)-1, "")</f>
        <v/>
      </c>
      <c r="B195" s="1"/>
      <c r="C195" s="1"/>
      <c r="D195" s="1"/>
      <c r="E195" s="1" t="str">
        <f>IF(Ferien!$B$7+ROW(B193)-1&lt;=Ferien!$C$7, Ferien!$B$7+ROW(B193)-1, "")</f>
        <v/>
      </c>
      <c r="F195" s="1"/>
      <c r="G195" s="1"/>
      <c r="H195" s="1"/>
      <c r="I195" s="1"/>
      <c r="J195" s="1"/>
      <c r="K195" s="1" t="str">
        <f>IF(Ferien!$B$13+ROW(B193)-1&lt;=Ferien!$C$13, Ferien!$B$13+ROW(B193)-1, "")</f>
        <v/>
      </c>
      <c r="L195" s="1" t="str">
        <f>IF(Ferien!$B$14+ROW(B193)-1&lt;=Ferien!$C$14, Ferien!$B$14+ROW(B193)-1, "")</f>
        <v/>
      </c>
      <c r="M195" s="1"/>
      <c r="N195" s="1" t="str">
        <f>IF(Ferien!$B$16+ROW(B193)-1&lt;=Ferien!$C$16, Ferien!$B$16+ROW(B193)-1, "")</f>
        <v/>
      </c>
      <c r="O195" s="1" t="str">
        <f>IF(Ferien!$B$17+ROW(B193)-1&lt;=Ferien!$C$17, Ferien!$B$17+ROW(B193)-1, "")</f>
        <v/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x14ac:dyDescent="0.3">
      <c r="A196" s="1" t="str">
        <f>IF(Ferien!$B$3+ROW(A194)-1&lt;=Ferien!$C$3, Ferien!$B$3+ROW(A194)-1, "")</f>
        <v/>
      </c>
      <c r="B196" s="1"/>
      <c r="C196" s="1"/>
      <c r="D196" s="1"/>
      <c r="E196" s="1" t="str">
        <f>IF(Ferien!$B$7+ROW(B194)-1&lt;=Ferien!$C$7, Ferien!$B$7+ROW(B194)-1, "")</f>
        <v/>
      </c>
      <c r="F196" s="1"/>
      <c r="G196" s="1"/>
      <c r="H196" s="1"/>
      <c r="I196" s="1"/>
      <c r="J196" s="1"/>
      <c r="K196" s="1" t="str">
        <f>IF(Ferien!$B$13+ROW(B194)-1&lt;=Ferien!$C$13, Ferien!$B$13+ROW(B194)-1, "")</f>
        <v/>
      </c>
      <c r="L196" s="1" t="str">
        <f>IF(Ferien!$B$14+ROW(B194)-1&lt;=Ferien!$C$14, Ferien!$B$14+ROW(B194)-1, "")</f>
        <v/>
      </c>
      <c r="M196" s="1"/>
      <c r="N196" s="1" t="str">
        <f>IF(Ferien!$B$16+ROW(B194)-1&lt;=Ferien!$C$16, Ferien!$B$16+ROW(B194)-1, "")</f>
        <v/>
      </c>
      <c r="O196" s="1" t="str">
        <f>IF(Ferien!$B$17+ROW(B194)-1&lt;=Ferien!$C$17, Ferien!$B$17+ROW(B194)-1, "")</f>
        <v/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x14ac:dyDescent="0.3">
      <c r="A197" s="1" t="str">
        <f>IF(Ferien!$B$3+ROW(A195)-1&lt;=Ferien!$C$3, Ferien!$B$3+ROW(A195)-1, "")</f>
        <v/>
      </c>
      <c r="B197" s="1"/>
      <c r="C197" s="1"/>
      <c r="D197" s="1"/>
      <c r="E197" s="1" t="str">
        <f>IF(Ferien!$B$7+ROW(B195)-1&lt;=Ferien!$C$7, Ferien!$B$7+ROW(B195)-1, "")</f>
        <v/>
      </c>
      <c r="F197" s="1"/>
      <c r="G197" s="1"/>
      <c r="H197" s="1"/>
      <c r="I197" s="1"/>
      <c r="J197" s="1"/>
      <c r="K197" s="1" t="str">
        <f>IF(Ferien!$B$13+ROW(B195)-1&lt;=Ferien!$C$13, Ferien!$B$13+ROW(B195)-1, "")</f>
        <v/>
      </c>
      <c r="L197" s="1" t="str">
        <f>IF(Ferien!$B$14+ROW(B195)-1&lt;=Ferien!$C$14, Ferien!$B$14+ROW(B195)-1, "")</f>
        <v/>
      </c>
      <c r="M197" s="1"/>
      <c r="N197" s="1" t="str">
        <f>IF(Ferien!$B$16+ROW(B195)-1&lt;=Ferien!$C$16, Ferien!$B$16+ROW(B195)-1, "")</f>
        <v/>
      </c>
      <c r="O197" s="1" t="str">
        <f>IF(Ferien!$B$17+ROW(B195)-1&lt;=Ferien!$C$17, Ferien!$B$17+ROW(B195)-1, "")</f>
        <v/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x14ac:dyDescent="0.3">
      <c r="A198" s="1" t="str">
        <f>IF(Ferien!$B$3+ROW(A196)-1&lt;=Ferien!$C$3, Ferien!$B$3+ROW(A196)-1, "")</f>
        <v/>
      </c>
      <c r="B198" s="1"/>
      <c r="C198" s="1"/>
      <c r="D198" s="1"/>
      <c r="E198" s="1" t="str">
        <f>IF(Ferien!$B$7+ROW(B196)-1&lt;=Ferien!$C$7, Ferien!$B$7+ROW(B196)-1, "")</f>
        <v/>
      </c>
      <c r="F198" s="1"/>
      <c r="G198" s="1"/>
      <c r="H198" s="1"/>
      <c r="I198" s="1"/>
      <c r="J198" s="1"/>
      <c r="K198" s="1" t="str">
        <f>IF(Ferien!$B$13+ROW(B196)-1&lt;=Ferien!$C$13, Ferien!$B$13+ROW(B196)-1, "")</f>
        <v/>
      </c>
      <c r="L198" s="1" t="str">
        <f>IF(Ferien!$B$14+ROW(B196)-1&lt;=Ferien!$C$14, Ferien!$B$14+ROW(B196)-1, "")</f>
        <v/>
      </c>
      <c r="M198" s="1"/>
      <c r="N198" s="1" t="str">
        <f>IF(Ferien!$B$16+ROW(B196)-1&lt;=Ferien!$C$16, Ferien!$B$16+ROW(B196)-1, "")</f>
        <v/>
      </c>
      <c r="O198" s="1" t="str">
        <f>IF(Ferien!$B$17+ROW(B196)-1&lt;=Ferien!$C$17, Ferien!$B$17+ROW(B196)-1, "")</f>
        <v/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x14ac:dyDescent="0.3">
      <c r="A199" s="1" t="str">
        <f>IF(Ferien!$B$3+ROW(A197)-1&lt;=Ferien!$C$3, Ferien!$B$3+ROW(A197)-1, "")</f>
        <v/>
      </c>
      <c r="B199" s="1"/>
      <c r="C199" s="1"/>
      <c r="D199" s="1"/>
      <c r="E199" s="1" t="str">
        <f>IF(Ferien!$B$7+ROW(B197)-1&lt;=Ferien!$C$7, Ferien!$B$7+ROW(B197)-1, "")</f>
        <v/>
      </c>
      <c r="F199" s="1"/>
      <c r="G199" s="1"/>
      <c r="H199" s="1"/>
      <c r="I199" s="1"/>
      <c r="J199" s="1"/>
      <c r="K199" s="1" t="str">
        <f>IF(Ferien!$B$13+ROW(B197)-1&lt;=Ferien!$C$13, Ferien!$B$13+ROW(B197)-1, "")</f>
        <v/>
      </c>
      <c r="L199" s="1" t="str">
        <f>IF(Ferien!$B$14+ROW(B197)-1&lt;=Ferien!$C$14, Ferien!$B$14+ROW(B197)-1, "")</f>
        <v/>
      </c>
      <c r="M199" s="1"/>
      <c r="N199" s="1" t="str">
        <f>IF(Ferien!$B$16+ROW(B197)-1&lt;=Ferien!$C$16, Ferien!$B$16+ROW(B197)-1, "")</f>
        <v/>
      </c>
      <c r="O199" s="1" t="str">
        <f>IF(Ferien!$B$17+ROW(B197)-1&lt;=Ferien!$C$17, Ferien!$B$17+ROW(B197)-1, "")</f>
        <v/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x14ac:dyDescent="0.3">
      <c r="A200" s="1" t="str">
        <f>IF(Ferien!$B$3+ROW(A198)-1&lt;=Ferien!$C$3, Ferien!$B$3+ROW(A198)-1, "")</f>
        <v/>
      </c>
      <c r="B200" s="1"/>
      <c r="C200" s="1"/>
      <c r="D200" s="1"/>
      <c r="E200" s="1" t="str">
        <f>IF(Ferien!$B$7+ROW(B198)-1&lt;=Ferien!$C$7, Ferien!$B$7+ROW(B198)-1, "")</f>
        <v/>
      </c>
      <c r="F200" s="1"/>
      <c r="G200" s="1"/>
      <c r="H200" s="1"/>
      <c r="I200" s="1"/>
      <c r="J200" s="1"/>
      <c r="K200" s="1" t="str">
        <f>IF(Ferien!$B$13+ROW(B198)-1&lt;=Ferien!$C$13, Ferien!$B$13+ROW(B198)-1, "")</f>
        <v/>
      </c>
      <c r="L200" s="1"/>
      <c r="M200" s="1"/>
      <c r="N200" s="1" t="str">
        <f>IF(Ferien!$B$16+ROW(B198)-1&lt;=Ferien!$C$16, Ferien!$B$16+ROW(B198)-1, "")</f>
        <v/>
      </c>
      <c r="O200" s="1" t="str">
        <f>IF(Ferien!$B$17+ROW(B198)-1&lt;=Ferien!$C$17, Ferien!$B$17+ROW(B198)-1, "")</f>
        <v/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x14ac:dyDescent="0.3">
      <c r="A201" s="1" t="str">
        <f>IF(Ferien!$B$3+ROW(A199)-1&lt;=Ferien!$C$3, Ferien!$B$3+ROW(A199)-1, "")</f>
        <v/>
      </c>
      <c r="B201" s="1"/>
      <c r="C201" s="1"/>
      <c r="D201" s="1"/>
      <c r="E201" s="1" t="str">
        <f>IF(Ferien!$B$7+ROW(B199)-1&lt;=Ferien!$C$7, Ferien!$B$7+ROW(B199)-1, "")</f>
        <v/>
      </c>
      <c r="F201" s="1"/>
      <c r="G201" s="1"/>
      <c r="H201" s="1"/>
      <c r="I201" s="1"/>
      <c r="J201" s="1"/>
      <c r="K201" s="1" t="str">
        <f>IF(Ferien!$B$13+ROW(B199)-1&lt;=Ferien!$C$13, Ferien!$B$13+ROW(B199)-1, "")</f>
        <v/>
      </c>
      <c r="L201" s="1"/>
      <c r="M201" s="1"/>
      <c r="N201" s="1" t="str">
        <f>IF(Ferien!$B$16+ROW(B199)-1&lt;=Ferien!$C$16, Ferien!$B$16+ROW(B199)-1, "")</f>
        <v/>
      </c>
      <c r="O201" s="1" t="str">
        <f>IF(Ferien!$B$17+ROW(B199)-1&lt;=Ferien!$C$17, Ferien!$B$17+ROW(B199)-1, "")</f>
        <v/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x14ac:dyDescent="0.3">
      <c r="A202" s="1" t="str">
        <f>IF(Ferien!$B$3+ROW(A200)-1&lt;=Ferien!$C$3, Ferien!$B$3+ROW(A200)-1, "")</f>
        <v/>
      </c>
      <c r="B202" s="1"/>
      <c r="C202" s="1"/>
      <c r="D202" s="1"/>
      <c r="E202" s="1" t="str">
        <f>IF(Ferien!$B$7+ROW(B200)-1&lt;=Ferien!$C$7, Ferien!$B$7+ROW(B200)-1, "")</f>
        <v/>
      </c>
      <c r="F202" s="1"/>
      <c r="G202" s="1"/>
      <c r="H202" s="1"/>
      <c r="I202" s="1"/>
      <c r="J202" s="1"/>
      <c r="K202" s="1"/>
      <c r="L202" s="1"/>
      <c r="M202" s="1"/>
      <c r="N202" s="1" t="str">
        <f>IF(Ferien!$B$16+ROW(B200)-1&lt;=Ferien!$C$16, Ferien!$B$16+ROW(B200)-1, "")</f>
        <v/>
      </c>
      <c r="O202" s="1" t="str">
        <f>IF(Ferien!$B$17+ROW(B200)-1&lt;=Ferien!$C$17, Ferien!$B$17+ROW(B200)-1, "")</f>
        <v/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x14ac:dyDescent="0.3">
      <c r="A203" s="1" t="str">
        <f>IF(Ferien!$B$3+ROW(A201)-1&lt;=Ferien!$C$3, Ferien!$B$3+ROW(A201)-1, "")</f>
        <v/>
      </c>
      <c r="B203" s="1"/>
      <c r="C203" s="1"/>
      <c r="D203" s="1"/>
      <c r="E203" s="1" t="str">
        <f>IF(Ferien!$B$7+ROW(B201)-1&lt;=Ferien!$C$7, Ferien!$B$7+ROW(B201)-1, "")</f>
        <v/>
      </c>
      <c r="F203" s="1"/>
      <c r="G203" s="1"/>
      <c r="H203" s="1"/>
      <c r="I203" s="1"/>
      <c r="J203" s="1"/>
      <c r="K203" s="1"/>
      <c r="L203" s="1"/>
      <c r="M203" s="1"/>
      <c r="N203" s="1" t="str">
        <f>IF(Ferien!$B$16+ROW(B201)-1&lt;=Ferien!$C$16, Ferien!$B$16+ROW(B201)-1, "")</f>
        <v/>
      </c>
      <c r="O203" s="1" t="str">
        <f>IF(Ferien!$B$17+ROW(B201)-1&lt;=Ferien!$C$17, Ferien!$B$17+ROW(B201)-1, "")</f>
        <v/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x14ac:dyDescent="0.3">
      <c r="A204" s="1" t="str">
        <f>IF(Ferien!$B$3+ROW(A202)-1&lt;=Ferien!$C$3, Ferien!$B$3+ROW(A202)-1, "")</f>
        <v/>
      </c>
      <c r="B204" s="1"/>
      <c r="C204" s="1"/>
      <c r="D204" s="1"/>
      <c r="E204" s="1" t="str">
        <f>IF(Ferien!$B$7+ROW(B202)-1&lt;=Ferien!$C$7, Ferien!$B$7+ROW(B202)-1, "")</f>
        <v/>
      </c>
      <c r="F204" s="1"/>
      <c r="G204" s="1"/>
      <c r="H204" s="1"/>
      <c r="I204" s="1"/>
      <c r="J204" s="1"/>
      <c r="K204" s="1"/>
      <c r="L204" s="1"/>
      <c r="M204" s="1"/>
      <c r="N204" s="1" t="str">
        <f>IF(Ferien!$B$16+ROW(B202)-1&lt;=Ferien!$C$16, Ferien!$B$16+ROW(B202)-1, "")</f>
        <v/>
      </c>
      <c r="O204" s="1" t="str">
        <f>IF(Ferien!$B$17+ROW(B202)-1&lt;=Ferien!$C$17, Ferien!$B$17+ROW(B202)-1, "")</f>
        <v/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x14ac:dyDescent="0.3">
      <c r="A205" s="1" t="str">
        <f>IF(Ferien!$B$3+ROW(A203)-1&lt;=Ferien!$C$3, Ferien!$B$3+ROW(A203)-1, "")</f>
        <v/>
      </c>
      <c r="B205" s="1"/>
      <c r="C205" s="1"/>
      <c r="D205" s="1"/>
      <c r="E205" s="1" t="str">
        <f>IF(Ferien!$B$7+ROW(B203)-1&lt;=Ferien!$C$7, Ferien!$B$7+ROW(B203)-1, "")</f>
        <v/>
      </c>
      <c r="F205" s="1"/>
      <c r="G205" s="1"/>
      <c r="H205" s="1"/>
      <c r="I205" s="1"/>
      <c r="J205" s="1"/>
      <c r="K205" s="1"/>
      <c r="L205" s="1"/>
      <c r="M205" s="1"/>
      <c r="N205" s="1" t="str">
        <f>IF(Ferien!$B$16+ROW(B203)-1&lt;=Ferien!$C$16, Ferien!$B$16+ROW(B203)-1, "")</f>
        <v/>
      </c>
      <c r="O205" s="1" t="str">
        <f>IF(Ferien!$B$17+ROW(B203)-1&lt;=Ferien!$C$17, Ferien!$B$17+ROW(B203)-1, "")</f>
        <v/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x14ac:dyDescent="0.3">
      <c r="A206" s="1" t="str">
        <f>IF(Ferien!$B$3+ROW(A204)-1&lt;=Ferien!$C$3, Ferien!$B$3+ROW(A204)-1, "")</f>
        <v/>
      </c>
      <c r="B206" s="1"/>
      <c r="C206" s="1"/>
      <c r="D206" s="1"/>
      <c r="E206" s="1" t="str">
        <f>IF(Ferien!$B$7+ROW(B204)-1&lt;=Ferien!$C$7, Ferien!$B$7+ROW(B204)-1, "")</f>
        <v/>
      </c>
      <c r="F206" s="1"/>
      <c r="G206" s="1"/>
      <c r="H206" s="1"/>
      <c r="I206" s="1"/>
      <c r="J206" s="1"/>
      <c r="K206" s="1"/>
      <c r="L206" s="1"/>
      <c r="M206" s="1"/>
      <c r="N206" s="1" t="str">
        <f>IF(Ferien!$B$16+ROW(B204)-1&lt;=Ferien!$C$16, Ferien!$B$16+ROW(B204)-1, "")</f>
        <v/>
      </c>
      <c r="O206" s="1" t="str">
        <f>IF(Ferien!$B$17+ROW(B204)-1&lt;=Ferien!$C$17, Ferien!$B$17+ROW(B204)-1, "")</f>
        <v/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x14ac:dyDescent="0.3">
      <c r="A207" s="1" t="str">
        <f>IF(Ferien!$B$3+ROW(A205)-1&lt;=Ferien!$C$3, Ferien!$B$3+ROW(A205)-1, "")</f>
        <v/>
      </c>
      <c r="B207" s="1"/>
      <c r="C207" s="1"/>
      <c r="D207" s="1"/>
      <c r="E207" s="1" t="str">
        <f>IF(Ferien!$B$7+ROW(B205)-1&lt;=Ferien!$C$7, Ferien!$B$7+ROW(B205)-1, "")</f>
        <v/>
      </c>
      <c r="F207" s="1"/>
      <c r="G207" s="1"/>
      <c r="H207" s="1"/>
      <c r="I207" s="1"/>
      <c r="J207" s="1"/>
      <c r="K207" s="1"/>
      <c r="L207" s="1"/>
      <c r="M207" s="1"/>
      <c r="N207" s="1" t="str">
        <f>IF(Ferien!$B$16+ROW(B205)-1&lt;=Ferien!$C$16, Ferien!$B$16+ROW(B205)-1, "")</f>
        <v/>
      </c>
      <c r="O207" s="1" t="str">
        <f>IF(Ferien!$B$17+ROW(B205)-1&lt;=Ferien!$C$17, Ferien!$B$17+ROW(B205)-1, "")</f>
        <v/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x14ac:dyDescent="0.3">
      <c r="A208" s="1" t="str">
        <f>IF(Ferien!$B$3+ROW(A206)-1&lt;=Ferien!$C$3, Ferien!$B$3+ROW(A206)-1, "")</f>
        <v/>
      </c>
      <c r="B208" s="1"/>
      <c r="C208" s="1"/>
      <c r="D208" s="1"/>
      <c r="E208" s="1" t="str">
        <f>IF(Ferien!$B$7+ROW(B206)-1&lt;=Ferien!$C$7, Ferien!$B$7+ROW(B206)-1, "")</f>
        <v/>
      </c>
      <c r="F208" s="1"/>
      <c r="G208" s="1"/>
      <c r="H208" s="1"/>
      <c r="I208" s="1"/>
      <c r="J208" s="1"/>
      <c r="K208" s="1"/>
      <c r="L208" s="1"/>
      <c r="M208" s="1"/>
      <c r="N208" s="1" t="str">
        <f>IF(Ferien!$B$16+ROW(B206)-1&lt;=Ferien!$C$16, Ferien!$B$16+ROW(B206)-1, "")</f>
        <v/>
      </c>
      <c r="O208" s="1" t="str">
        <f>IF(Ferien!$B$17+ROW(B206)-1&lt;=Ferien!$C$17, Ferien!$B$17+ROW(B206)-1, "")</f>
        <v/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x14ac:dyDescent="0.3">
      <c r="A209" s="1" t="str">
        <f>IF(Ferien!$B$3+ROW(A207)-1&lt;=Ferien!$C$3, Ferien!$B$3+ROW(A207)-1, "")</f>
        <v/>
      </c>
      <c r="B209" s="1"/>
      <c r="C209" s="1"/>
      <c r="D209" s="1"/>
      <c r="E209" s="1" t="str">
        <f>IF(Ferien!$B$7+ROW(B207)-1&lt;=Ferien!$C$7, Ferien!$B$7+ROW(B207)-1, "")</f>
        <v/>
      </c>
      <c r="F209" s="1"/>
      <c r="G209" s="1"/>
      <c r="H209" s="1"/>
      <c r="I209" s="1"/>
      <c r="J209" s="1"/>
      <c r="K209" s="1"/>
      <c r="L209" s="1"/>
      <c r="M209" s="1"/>
      <c r="N209" s="1" t="str">
        <f>IF(Ferien!$B$16+ROW(B207)-1&lt;=Ferien!$C$16, Ferien!$B$16+ROW(B207)-1, "")</f>
        <v/>
      </c>
      <c r="O209" s="1" t="str">
        <f>IF(Ferien!$B$17+ROW(B207)-1&lt;=Ferien!$C$17, Ferien!$B$17+ROW(B207)-1, "")</f>
        <v/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x14ac:dyDescent="0.3">
      <c r="A210" s="1" t="str">
        <f>IF(Ferien!$B$3+ROW(A208)-1&lt;=Ferien!$C$3, Ferien!$B$3+ROW(A208)-1, "")</f>
        <v/>
      </c>
      <c r="B210" s="1"/>
      <c r="C210" s="1"/>
      <c r="D210" s="1"/>
      <c r="E210" s="1" t="str">
        <f>IF(Ferien!$B$7+ROW(B208)-1&lt;=Ferien!$C$7, Ferien!$B$7+ROW(B208)-1, "")</f>
        <v/>
      </c>
      <c r="F210" s="1"/>
      <c r="G210" s="1"/>
      <c r="H210" s="1"/>
      <c r="I210" s="1"/>
      <c r="J210" s="1"/>
      <c r="K210" s="1"/>
      <c r="L210" s="1"/>
      <c r="M210" s="1"/>
      <c r="N210" s="1" t="str">
        <f>IF(Ferien!$B$16+ROW(B208)-1&lt;=Ferien!$C$16, Ferien!$B$16+ROW(B208)-1, "")</f>
        <v/>
      </c>
      <c r="O210" s="1" t="str">
        <f>IF(Ferien!$B$17+ROW(B208)-1&lt;=Ferien!$C$17, Ferien!$B$17+ROW(B208)-1, "")</f>
        <v/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x14ac:dyDescent="0.3">
      <c r="A211" s="1" t="str">
        <f>IF(Ferien!$B$3+ROW(A209)-1&lt;=Ferien!$C$3, Ferien!$B$3+ROW(A209)-1, "")</f>
        <v/>
      </c>
      <c r="B211" s="1"/>
      <c r="C211" s="1"/>
      <c r="D211" s="1"/>
      <c r="E211" s="1" t="str">
        <f>IF(Ferien!$B$7+ROW(B209)-1&lt;=Ferien!$C$7, Ferien!$B$7+ROW(B209)-1, "")</f>
        <v/>
      </c>
      <c r="F211" s="1"/>
      <c r="G211" s="1"/>
      <c r="H211" s="1"/>
      <c r="I211" s="1"/>
      <c r="J211" s="1"/>
      <c r="K211" s="1"/>
      <c r="L211" s="1"/>
      <c r="M211" s="1"/>
      <c r="N211" s="1" t="str">
        <f>IF(Ferien!$B$16+ROW(B209)-1&lt;=Ferien!$C$16, Ferien!$B$16+ROW(B209)-1, "")</f>
        <v/>
      </c>
      <c r="O211" s="1" t="str">
        <f>IF(Ferien!$B$17+ROW(B209)-1&lt;=Ferien!$C$17, Ferien!$B$17+ROW(B209)-1, "")</f>
        <v/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x14ac:dyDescent="0.3">
      <c r="A212" s="1" t="str">
        <f>IF(Ferien!$B$3+ROW(A210)-1&lt;=Ferien!$C$3, Ferien!$B$3+ROW(A210)-1, "")</f>
        <v/>
      </c>
      <c r="B212" s="1"/>
      <c r="C212" s="1"/>
      <c r="D212" s="1"/>
      <c r="E212" s="1" t="str">
        <f>IF(Ferien!$B$7+ROW(B210)-1&lt;=Ferien!$C$7, Ferien!$B$7+ROW(B210)-1, "")</f>
        <v/>
      </c>
      <c r="F212" s="1"/>
      <c r="G212" s="1"/>
      <c r="H212" s="1"/>
      <c r="I212" s="1"/>
      <c r="J212" s="1"/>
      <c r="K212" s="1"/>
      <c r="L212" s="1"/>
      <c r="M212" s="1"/>
      <c r="N212" s="1" t="str">
        <f>IF(Ferien!$B$16+ROW(B210)-1&lt;=Ferien!$C$16, Ferien!$B$16+ROW(B210)-1, "")</f>
        <v/>
      </c>
      <c r="O212" s="1" t="str">
        <f>IF(Ferien!$B$17+ROW(B210)-1&lt;=Ferien!$C$17, Ferien!$B$17+ROW(B210)-1, "")</f>
        <v/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x14ac:dyDescent="0.3">
      <c r="A213" s="1" t="str">
        <f>IF(Ferien!$B$3+ROW(A211)-1&lt;=Ferien!$C$3, Ferien!$B$3+ROW(A211)-1, "")</f>
        <v/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 t="str">
        <f>IF(Ferien!$B$16+ROW(B211)-1&lt;=Ferien!$C$16, Ferien!$B$16+ROW(B211)-1, "")</f>
        <v/>
      </c>
      <c r="O213" s="1" t="str">
        <f>IF(Ferien!$B$17+ROW(B211)-1&lt;=Ferien!$C$17, Ferien!$B$17+ROW(B211)-1, "")</f>
        <v/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x14ac:dyDescent="0.3">
      <c r="A214" s="1" t="str">
        <f>IF(Ferien!$B$3+ROW(A212)-1&lt;=Ferien!$C$3, Ferien!$B$3+ROW(A212)-1, "")</f>
        <v/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 t="str">
        <f>IF(Ferien!$B$16+ROW(B212)-1&lt;=Ferien!$C$16, Ferien!$B$16+ROW(B212)-1, "")</f>
        <v/>
      </c>
      <c r="O214" s="1" t="str">
        <f>IF(Ferien!$B$17+ROW(B212)-1&lt;=Ferien!$C$17, Ferien!$B$17+ROW(B212)-1, "")</f>
        <v/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x14ac:dyDescent="0.3">
      <c r="A215" s="1" t="str">
        <f>IF(Ferien!$B$3+ROW(A213)-1&lt;=Ferien!$C$3, Ferien!$B$3+ROW(A213)-1, "")</f>
        <v/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 t="str">
        <f>IF(Ferien!$B$16+ROW(B213)-1&lt;=Ferien!$C$16, Ferien!$B$16+ROW(B213)-1, "")</f>
        <v/>
      </c>
      <c r="O215" s="1" t="str">
        <f>IF(Ferien!$B$17+ROW(B213)-1&lt;=Ferien!$C$17, Ferien!$B$17+ROW(B213)-1, "")</f>
        <v/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x14ac:dyDescent="0.3">
      <c r="A216" s="1" t="str">
        <f>IF(Ferien!$B$3+ROW(A214)-1&lt;=Ferien!$C$3, Ferien!$B$3+ROW(A214)-1, "")</f>
        <v/>
      </c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 t="str">
        <f>IF(Ferien!$B$16+ROW(B214)-1&lt;=Ferien!$C$16, Ferien!$B$16+ROW(B214)-1, "")</f>
        <v/>
      </c>
      <c r="O216" s="1" t="str">
        <f>IF(Ferien!$B$17+ROW(B214)-1&lt;=Ferien!$C$17, Ferien!$B$17+ROW(B214)-1, "")</f>
        <v/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x14ac:dyDescent="0.3">
      <c r="A217" s="1" t="str">
        <f>IF(Ferien!$B$3+ROW(A215)-1&lt;=Ferien!$C$3, Ferien!$B$3+ROW(A215)-1, "")</f>
        <v/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 t="str">
        <f>IF(Ferien!$B$17+ROW(B215)-1&lt;=Ferien!$C$17, Ferien!$B$17+ROW(B215)-1, "")</f>
        <v/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x14ac:dyDescent="0.3">
      <c r="A218" s="1" t="str">
        <f>IF(Ferien!$B$3+ROW(A216)-1&lt;=Ferien!$C$3, Ferien!$B$3+ROW(A216)-1, "")</f>
        <v/>
      </c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 t="str">
        <f>IF(Ferien!$B$17+ROW(B216)-1&lt;=Ferien!$C$17, Ferien!$B$17+ROW(B216)-1, "")</f>
        <v/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x14ac:dyDescent="0.3">
      <c r="A219" s="1" t="str">
        <f>IF(Ferien!$B$3+ROW(A217)-1&lt;=Ferien!$C$3, Ferien!$B$3+ROW(A217)-1, "")</f>
        <v/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 t="str">
        <f>IF(Ferien!$B$17+ROW(B217)-1&lt;=Ferien!$C$17, Ferien!$B$17+ROW(B217)-1, "")</f>
        <v/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x14ac:dyDescent="0.3">
      <c r="A220" s="1" t="str">
        <f>IF(Ferien!$B$3+ROW(A218)-1&lt;=Ferien!$C$3, Ferien!$B$3+ROW(A218)-1, "")</f>
        <v/>
      </c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 t="str">
        <f>IF(Ferien!$B$17+ROW(B218)-1&lt;=Ferien!$C$17, Ferien!$B$17+ROW(B218)-1, "")</f>
        <v/>
      </c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x14ac:dyDescent="0.3">
      <c r="A221" s="1" t="str">
        <f>IF(Ferien!$B$3+ROW(A219)-1&lt;=Ferien!$C$3, Ferien!$B$3+ROW(A219)-1, "")</f>
        <v/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 t="str">
        <f>IF(Ferien!$B$17+ROW(B219)-1&lt;=Ferien!$C$17, Ferien!$B$17+ROW(B219)-1, "")</f>
        <v/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x14ac:dyDescent="0.3">
      <c r="A222" s="1" t="str">
        <f>IF(Ferien!$B$3+ROW(A220)-1&lt;=Ferien!$C$3, Ferien!$B$3+ROW(A220)-1, "")</f>
        <v/>
      </c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 t="str">
        <f>IF(Ferien!$B$17+ROW(B220)-1&lt;=Ferien!$C$17, Ferien!$B$17+ROW(B220)-1, "")</f>
        <v/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x14ac:dyDescent="0.3">
      <c r="A223" s="1" t="str">
        <f>IF(Ferien!$B$3+ROW(A221)-1&lt;=Ferien!$C$3, Ferien!$B$3+ROW(A221)-1, "")</f>
        <v/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 t="str">
        <f>IF(Ferien!$B$17+ROW(B221)-1&lt;=Ferien!$C$17, Ferien!$B$17+ROW(B221)-1, "")</f>
        <v/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x14ac:dyDescent="0.3">
      <c r="A224" s="1" t="str">
        <f>IF(Ferien!$B$3+ROW(A222)-1&lt;=Ferien!$C$3, Ferien!$B$3+ROW(A222)-1, "")</f>
        <v/>
      </c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 t="str">
        <f>IF(Ferien!$B$17+ROW(B222)-1&lt;=Ferien!$C$17, Ferien!$B$17+ROW(B222)-1, "")</f>
        <v/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x14ac:dyDescent="0.3">
      <c r="A225" s="1" t="str">
        <f>IF(Ferien!$B$3+ROW(A223)-1&lt;=Ferien!$C$3, Ferien!$B$3+ROW(A223)-1, "")</f>
        <v/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 t="str">
        <f>IF(Ferien!$B$17+ROW(B223)-1&lt;=Ferien!$C$17, Ferien!$B$17+ROW(B223)-1, "")</f>
        <v/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x14ac:dyDescent="0.3">
      <c r="A226" s="1" t="str">
        <f>IF(Ferien!$B$3+ROW(A224)-1&lt;=Ferien!$C$3, Ferien!$B$3+ROW(A224)-1, "")</f>
        <v/>
      </c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 t="str">
        <f>IF(Ferien!$B$17+ROW(B224)-1&lt;=Ferien!$C$17, Ferien!$B$17+ROW(B224)-1, "")</f>
        <v/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x14ac:dyDescent="0.3">
      <c r="A227" s="1" t="str">
        <f>IF(Ferien!$B$3+ROW(A225)-1&lt;=Ferien!$C$3, Ferien!$B$3+ROW(A225)-1, "")</f>
        <v/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 t="str">
        <f>IF(Ferien!$B$17+ROW(B225)-1&lt;=Ferien!$C$17, Ferien!$B$17+ROW(B225)-1, "")</f>
        <v/>
      </c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x14ac:dyDescent="0.3">
      <c r="A228" s="1" t="str">
        <f>IF(Ferien!$B$3+ROW(A226)-1&lt;=Ferien!$C$3, Ferien!$B$3+ROW(A226)-1, "")</f>
        <v/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 t="str">
        <f>IF(Ferien!$B$17+ROW(B226)-1&lt;=Ferien!$C$17, Ferien!$B$17+ROW(B226)-1, "")</f>
        <v/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x14ac:dyDescent="0.3">
      <c r="A229" s="1" t="str">
        <f>IF(Ferien!$B$3+ROW(A227)-1&lt;=Ferien!$C$3, Ferien!$B$3+ROW(A227)-1, "")</f>
        <v/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 t="str">
        <f>IF(Ferien!$B$17+ROW(B227)-1&lt;=Ferien!$C$17, Ferien!$B$17+ROW(B227)-1, "")</f>
        <v/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x14ac:dyDescent="0.3">
      <c r="A230" s="1" t="str">
        <f>IF(Ferien!$B$3+ROW(A228)-1&lt;=Ferien!$C$3, Ferien!$B$3+ROW(A228)-1, "")</f>
        <v/>
      </c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 t="str">
        <f>IF(Ferien!$B$17+ROW(B228)-1&lt;=Ferien!$C$17, Ferien!$B$17+ROW(B228)-1, "")</f>
        <v/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x14ac:dyDescent="0.3">
      <c r="A231" s="1" t="str">
        <f>IF(Ferien!$B$3+ROW(A229)-1&lt;=Ferien!$C$3, Ferien!$B$3+ROW(A229)-1, "")</f>
        <v/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x14ac:dyDescent="0.3">
      <c r="A232" s="1" t="str">
        <f>IF(Ferien!$B$3+ROW(A230)-1&lt;=Ferien!$C$3, Ferien!$B$3+ROW(A230)-1, "")</f>
        <v/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x14ac:dyDescent="0.3">
      <c r="A233" s="1" t="str">
        <f>IF(Ferien!$B$3+ROW(A231)-1&lt;=Ferien!$C$3, Ferien!$B$3+ROW(A231)-1, "")</f>
        <v/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x14ac:dyDescent="0.3">
      <c r="A234" s="1" t="str">
        <f>IF(Ferien!$B$3+ROW(A232)-1&lt;=Ferien!$C$3, Ferien!$B$3+ROW(A232)-1, "")</f>
        <v/>
      </c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x14ac:dyDescent="0.3">
      <c r="A235" s="1" t="str">
        <f>IF(Ferien!$B$3+ROW(A233)-1&lt;=Ferien!$C$3, Ferien!$B$3+ROW(A233)-1, "")</f>
        <v/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x14ac:dyDescent="0.3">
      <c r="A236" s="1" t="str">
        <f>IF(Ferien!$B$3+ROW(A234)-1&lt;=Ferien!$C$3, Ferien!$B$3+ROW(A234)-1, "")</f>
        <v/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x14ac:dyDescent="0.3">
      <c r="A237" s="1" t="str">
        <f>IF(Ferien!$B$3+ROW(A235)-1&lt;=Ferien!$C$3, Ferien!$B$3+ROW(A235)-1, "")</f>
        <v/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x14ac:dyDescent="0.3">
      <c r="A238" s="1" t="str">
        <f>IF(Ferien!$B$3+ROW(A236)-1&lt;=Ferien!$C$3, Ferien!$B$3+ROW(A236)-1, "")</f>
        <v/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6F7-5CC8-4A77-A2C8-605F3EE37BAE}">
  <sheetPr codeName="Tabelle12"/>
  <dimension ref="A1:C17"/>
  <sheetViews>
    <sheetView workbookViewId="0">
      <selection activeCell="H8" sqref="H8"/>
    </sheetView>
  </sheetViews>
  <sheetFormatPr baseColWidth="10" defaultRowHeight="14.4" x14ac:dyDescent="0.3"/>
  <cols>
    <col min="1" max="1" width="12.6640625" bestFit="1" customWidth="1"/>
  </cols>
  <sheetData>
    <row r="1" spans="1:3" x14ac:dyDescent="0.3">
      <c r="B1" s="52" t="s">
        <v>9</v>
      </c>
      <c r="C1" s="53"/>
    </row>
    <row r="2" spans="1:3" x14ac:dyDescent="0.3">
      <c r="B2" s="28" t="s">
        <v>3</v>
      </c>
      <c r="C2" s="29" t="s">
        <v>2</v>
      </c>
    </row>
    <row r="3" spans="1:3" x14ac:dyDescent="0.3">
      <c r="A3" s="48" t="s">
        <v>35</v>
      </c>
      <c r="B3" s="38">
        <v>46023</v>
      </c>
      <c r="C3" s="42">
        <v>46023</v>
      </c>
    </row>
    <row r="4" spans="1:3" x14ac:dyDescent="0.3">
      <c r="A4" s="48" t="s">
        <v>36</v>
      </c>
      <c r="B4" s="38">
        <v>46156</v>
      </c>
      <c r="C4" s="42">
        <v>46156</v>
      </c>
    </row>
    <row r="5" spans="1:3" x14ac:dyDescent="0.3">
      <c r="A5" s="48" t="s">
        <v>37</v>
      </c>
      <c r="B5" s="38">
        <v>46327</v>
      </c>
      <c r="C5" s="42">
        <v>46327</v>
      </c>
    </row>
    <row r="6" spans="1:3" x14ac:dyDescent="0.3">
      <c r="A6" s="48" t="s">
        <v>38</v>
      </c>
      <c r="B6" s="38">
        <v>46115</v>
      </c>
      <c r="C6" s="42">
        <v>46115</v>
      </c>
    </row>
    <row r="7" spans="1:3" x14ac:dyDescent="0.3">
      <c r="A7" s="48" t="s">
        <v>39</v>
      </c>
      <c r="B7" s="38">
        <v>46167</v>
      </c>
      <c r="C7" s="42">
        <v>46167</v>
      </c>
    </row>
    <row r="8" spans="1:3" x14ac:dyDescent="0.3">
      <c r="A8" s="48" t="s">
        <v>40</v>
      </c>
      <c r="B8" s="38">
        <v>46381</v>
      </c>
      <c r="C8" s="42">
        <v>46381</v>
      </c>
    </row>
    <row r="9" spans="1:3" x14ac:dyDescent="0.3">
      <c r="A9" s="48" t="s">
        <v>41</v>
      </c>
      <c r="B9" s="38">
        <v>46382</v>
      </c>
      <c r="C9" s="42">
        <v>46382</v>
      </c>
    </row>
    <row r="10" spans="1:3" x14ac:dyDescent="0.3">
      <c r="A10" s="48" t="s">
        <v>42</v>
      </c>
      <c r="B10" s="38">
        <v>46118</v>
      </c>
      <c r="C10" s="42">
        <v>46118</v>
      </c>
    </row>
    <row r="11" spans="1:3" x14ac:dyDescent="0.3">
      <c r="A11" s="48" t="s">
        <v>43</v>
      </c>
      <c r="B11" s="38">
        <v>46177</v>
      </c>
      <c r="C11" s="42">
        <v>46177</v>
      </c>
    </row>
    <row r="12" spans="1:3" x14ac:dyDescent="0.3">
      <c r="A12" s="48" t="s">
        <v>44</v>
      </c>
      <c r="B12" s="38">
        <v>46143</v>
      </c>
      <c r="C12" s="42">
        <v>46143</v>
      </c>
    </row>
    <row r="13" spans="1:3" x14ac:dyDescent="0.3">
      <c r="A13" s="48" t="s">
        <v>45</v>
      </c>
      <c r="B13" s="38">
        <v>46298</v>
      </c>
      <c r="C13" s="42">
        <v>46298</v>
      </c>
    </row>
    <row r="14" spans="1:3" x14ac:dyDescent="0.3">
      <c r="A14" s="48"/>
      <c r="B14" s="40"/>
      <c r="C14" s="35"/>
    </row>
    <row r="15" spans="1:3" x14ac:dyDescent="0.3">
      <c r="A15" s="48"/>
      <c r="B15" s="40"/>
      <c r="C15" s="35"/>
    </row>
    <row r="16" spans="1:3" x14ac:dyDescent="0.3">
      <c r="A16" s="48"/>
      <c r="B16" s="40"/>
      <c r="C16" s="35"/>
    </row>
    <row r="17" spans="1:3" ht="15" thickBot="1" x14ac:dyDescent="0.35">
      <c r="A17" s="48"/>
      <c r="B17" s="43"/>
      <c r="C17" s="44"/>
    </row>
  </sheetData>
  <sheetProtection password="CFF0" sheet="1" objects="1" scenarios="1"/>
  <mergeCells count="1">
    <mergeCell ref="B1:C1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9950-482D-42A4-87E2-E5BC4207F18F}">
  <sheetPr codeName="Tabelle1"/>
  <dimension ref="A1:CY33"/>
  <sheetViews>
    <sheetView zoomScaleNormal="100" workbookViewId="0">
      <selection activeCell="X14" sqref="X14"/>
    </sheetView>
  </sheetViews>
  <sheetFormatPr baseColWidth="10" defaultRowHeight="14.4" x14ac:dyDescent="0.3"/>
  <cols>
    <col min="1" max="1" width="5" customWidth="1"/>
    <col min="2" max="2" width="4.88671875" customWidth="1"/>
    <col min="3" max="3" width="5" bestFit="1" customWidth="1"/>
    <col min="4" max="4" width="6.21875" bestFit="1" customWidth="1"/>
    <col min="5" max="10" width="1.77734375" customWidth="1"/>
    <col min="11" max="11" width="7.44140625" bestFit="1" customWidth="1"/>
    <col min="12" max="17" width="1.77734375" customWidth="1"/>
    <col min="18" max="18" width="6.21875" bestFit="1" customWidth="1"/>
    <col min="19" max="24" width="1.77734375" customWidth="1"/>
    <col min="25" max="25" width="6.21875" bestFit="1" customWidth="1"/>
    <col min="26" max="31" width="1.77734375" customWidth="1"/>
    <col min="32" max="32" width="6.21875" bestFit="1" customWidth="1"/>
    <col min="33" max="38" width="1.77734375" customWidth="1"/>
    <col min="39" max="39" width="6.21875" bestFit="1" customWidth="1"/>
    <col min="40" max="45" width="1.77734375" customWidth="1"/>
    <col min="46" max="46" width="6.21875" bestFit="1" customWidth="1"/>
    <col min="47" max="52" width="1.77734375" customWidth="1"/>
    <col min="53" max="53" width="6.88671875" bestFit="1" customWidth="1"/>
    <col min="54" max="59" width="1.77734375" customWidth="1"/>
    <col min="60" max="60" width="10.21875" bestFit="1" customWidth="1"/>
    <col min="61" max="66" width="1.77734375" customWidth="1"/>
    <col min="67" max="67" width="7.88671875" bestFit="1" customWidth="1"/>
    <col min="68" max="73" width="1.77734375" customWidth="1"/>
    <col min="74" max="74" width="9.88671875" bestFit="1" customWidth="1"/>
    <col min="75" max="80" width="1.77734375" customWidth="1"/>
    <col min="81" max="81" width="9.44140625" bestFit="1" customWidth="1"/>
    <col min="82" max="87" width="1.77734375" customWidth="1"/>
    <col min="88" max="88" width="4.5546875" bestFit="1" customWidth="1"/>
    <col min="89" max="89" width="4.5546875" customWidth="1"/>
    <col min="90" max="90" width="3.77734375" bestFit="1" customWidth="1"/>
    <col min="91" max="91" width="6.44140625" bestFit="1" customWidth="1"/>
    <col min="92" max="92" width="6.44140625" customWidth="1"/>
    <col min="93" max="93" width="3.77734375" bestFit="1" customWidth="1"/>
    <col min="94" max="94" width="9.77734375" bestFit="1" customWidth="1"/>
    <col min="95" max="95" width="9.77734375" customWidth="1"/>
    <col min="96" max="96" width="3.77734375" bestFit="1" customWidth="1"/>
    <col min="97" max="97" width="7.6640625" bestFit="1" customWidth="1"/>
    <col min="98" max="98" width="7.6640625" customWidth="1"/>
    <col min="99" max="99" width="3.77734375" bestFit="1" customWidth="1"/>
    <col min="100" max="100" width="9.5546875" bestFit="1" customWidth="1"/>
    <col min="101" max="101" width="9.5546875" customWidth="1"/>
    <col min="102" max="102" width="3.77734375" bestFit="1" customWidth="1"/>
    <col min="103" max="103" width="9.21875" bestFit="1" customWidth="1"/>
  </cols>
  <sheetData>
    <row r="1" spans="1:103" ht="16.2" thickBot="1" x14ac:dyDescent="0.35">
      <c r="A1" s="62" t="s">
        <v>0</v>
      </c>
      <c r="B1" s="62"/>
      <c r="C1" s="50">
        <v>2026</v>
      </c>
      <c r="D1" s="24" t="s">
        <v>19</v>
      </c>
      <c r="E1" s="19" t="str">
        <f>UPPER(LEFT(B11, 1))</f>
        <v>P</v>
      </c>
      <c r="F1" s="19" t="str">
        <f>UPPER(LEFT(C11, 1))</f>
        <v>P</v>
      </c>
      <c r="G1" s="19" t="str">
        <f>UPPER(LEFT(B27, 1))</f>
        <v>P</v>
      </c>
      <c r="H1" s="19" t="str">
        <f>UPPER(LEFT(C27, 1))</f>
        <v>P</v>
      </c>
      <c r="I1" s="19" t="s">
        <v>13</v>
      </c>
      <c r="J1" s="19" t="s">
        <v>12</v>
      </c>
      <c r="K1" s="25" t="s">
        <v>20</v>
      </c>
      <c r="L1" s="19" t="str">
        <f>UPPER(LEFT(B11, 1))</f>
        <v>P</v>
      </c>
      <c r="M1" s="19" t="str">
        <f>UPPER(LEFT(C11, 1))</f>
        <v>P</v>
      </c>
      <c r="N1" s="19" t="str">
        <f>UPPER(LEFT(B27, 1))</f>
        <v>P</v>
      </c>
      <c r="O1" s="19" t="str">
        <f>UPPER(LEFT(C27, 1))</f>
        <v>P</v>
      </c>
      <c r="P1" s="19" t="s">
        <v>13</v>
      </c>
      <c r="Q1" s="19" t="s">
        <v>12</v>
      </c>
      <c r="R1" s="24" t="s">
        <v>21</v>
      </c>
      <c r="S1" s="21" t="str">
        <f>UPPER(LEFT(B11, 1))</f>
        <v>P</v>
      </c>
      <c r="T1" s="19" t="str">
        <f>UPPER(LEFT(C11, 1))</f>
        <v>P</v>
      </c>
      <c r="U1" s="19" t="str">
        <f>UPPER(LEFT(B27, 1))</f>
        <v>P</v>
      </c>
      <c r="V1" s="20" t="str">
        <f>UPPER(LEFT(C27, 1))</f>
        <v>P</v>
      </c>
      <c r="W1" s="20" t="s">
        <v>13</v>
      </c>
      <c r="X1" s="20" t="s">
        <v>12</v>
      </c>
      <c r="Y1" s="24" t="s">
        <v>22</v>
      </c>
      <c r="Z1" s="21" t="str">
        <f>UPPER(LEFT(B11, 1))</f>
        <v>P</v>
      </c>
      <c r="AA1" s="22" t="str">
        <f>UPPER(LEFT(C11, 1))</f>
        <v>P</v>
      </c>
      <c r="AB1" s="22" t="str">
        <f>UPPER(LEFT(B27, 1))</f>
        <v>P</v>
      </c>
      <c r="AC1" s="22" t="str">
        <f>UPPER(LEFT(C27, 1))</f>
        <v>P</v>
      </c>
      <c r="AD1" s="20" t="s">
        <v>13</v>
      </c>
      <c r="AE1" s="20" t="s">
        <v>12</v>
      </c>
      <c r="AF1" s="23" t="s">
        <v>23</v>
      </c>
      <c r="AG1" s="22" t="str">
        <f>UPPER(LEFT(B11, 1))</f>
        <v>P</v>
      </c>
      <c r="AH1" s="22" t="str">
        <f>UPPER(LEFT(C11, 1))</f>
        <v>P</v>
      </c>
      <c r="AI1" s="22" t="str">
        <f>UPPER(LEFT(B27, 1))</f>
        <v>P</v>
      </c>
      <c r="AJ1" s="22" t="str">
        <f>UPPER(LEFT(C27, 1))</f>
        <v>P</v>
      </c>
      <c r="AK1" s="20" t="s">
        <v>13</v>
      </c>
      <c r="AL1" s="20" t="s">
        <v>12</v>
      </c>
      <c r="AM1" s="26" t="s">
        <v>24</v>
      </c>
      <c r="AN1" s="21" t="str">
        <f>UPPER(LEFT(B11, 1))</f>
        <v>P</v>
      </c>
      <c r="AO1" s="22" t="str">
        <f>UPPER(LEFT(C11, 1))</f>
        <v>P</v>
      </c>
      <c r="AP1" s="22" t="str">
        <f>UPPER(LEFT(B27, 1))</f>
        <v>P</v>
      </c>
      <c r="AQ1" s="22" t="str">
        <f>UPPER(LEFT(C27, 1))</f>
        <v>P</v>
      </c>
      <c r="AR1" s="20" t="s">
        <v>13</v>
      </c>
      <c r="AS1" s="20" t="s">
        <v>12</v>
      </c>
      <c r="AT1" s="24" t="s">
        <v>25</v>
      </c>
      <c r="AU1" s="21" t="str">
        <f>UPPER(LEFT(B11, 1))</f>
        <v>P</v>
      </c>
      <c r="AV1" s="22" t="str">
        <f>UPPER(LEFT(C11, 1))</f>
        <v>P</v>
      </c>
      <c r="AW1" s="22" t="str">
        <f>UPPER(LEFT(B27, 1))</f>
        <v>P</v>
      </c>
      <c r="AX1" s="22" t="str">
        <f>UPPER(LEFT(C27, 1))</f>
        <v>P</v>
      </c>
      <c r="AY1" s="20" t="s">
        <v>13</v>
      </c>
      <c r="AZ1" s="20" t="s">
        <v>12</v>
      </c>
      <c r="BA1" s="24" t="s">
        <v>26</v>
      </c>
      <c r="BB1" s="21" t="str">
        <f>UPPER(LEFT(B11, 1))</f>
        <v>P</v>
      </c>
      <c r="BC1" s="22" t="str">
        <f>UPPER(LEFT(C11, 1))</f>
        <v>P</v>
      </c>
      <c r="BD1" s="22" t="str">
        <f>UPPER(LEFT(B27, 1))</f>
        <v>P</v>
      </c>
      <c r="BE1" s="22" t="str">
        <f>UPPER(LEFT(C27, 1))</f>
        <v>P</v>
      </c>
      <c r="BF1" s="20" t="s">
        <v>13</v>
      </c>
      <c r="BG1" s="20" t="s">
        <v>12</v>
      </c>
      <c r="BH1" s="27" t="s">
        <v>27</v>
      </c>
      <c r="BI1" s="21" t="str">
        <f>UPPER(LEFT(B11, 1))</f>
        <v>P</v>
      </c>
      <c r="BJ1" s="22" t="str">
        <f>UPPER(LEFT(C11, 1))</f>
        <v>P</v>
      </c>
      <c r="BK1" s="22" t="str">
        <f>UPPER(LEFT(B27, 1))</f>
        <v>P</v>
      </c>
      <c r="BL1" s="22" t="str">
        <f>UPPER(LEFT(C27, 1))</f>
        <v>P</v>
      </c>
      <c r="BM1" s="20" t="s">
        <v>13</v>
      </c>
      <c r="BN1" s="20" t="s">
        <v>12</v>
      </c>
      <c r="BO1" s="24" t="s">
        <v>28</v>
      </c>
      <c r="BP1" s="21" t="str">
        <f>UPPER(LEFT(B11, 1))</f>
        <v>P</v>
      </c>
      <c r="BQ1" s="22" t="str">
        <f>UPPER(LEFT(C11, 1))</f>
        <v>P</v>
      </c>
      <c r="BR1" s="22" t="str">
        <f>UPPER(LEFT(B27, 1))</f>
        <v>P</v>
      </c>
      <c r="BS1" s="22" t="str">
        <f>UPPER(LEFT(C27, 1))</f>
        <v>P</v>
      </c>
      <c r="BT1" s="20" t="s">
        <v>13</v>
      </c>
      <c r="BU1" s="20" t="s">
        <v>12</v>
      </c>
      <c r="BV1" s="24" t="s">
        <v>29</v>
      </c>
      <c r="BW1" s="21" t="str">
        <f>UPPER(LEFT(B11, 1))</f>
        <v>P</v>
      </c>
      <c r="BX1" s="20" t="str">
        <f>UPPER(LEFT(C11, 1))</f>
        <v>P</v>
      </c>
      <c r="BY1" s="20" t="str">
        <f>UPPER(LEFT(B27, 1))</f>
        <v>P</v>
      </c>
      <c r="BZ1" s="20" t="str">
        <f>UPPER(LEFT(C27, 1))</f>
        <v>P</v>
      </c>
      <c r="CA1" s="20" t="s">
        <v>13</v>
      </c>
      <c r="CB1" s="20" t="s">
        <v>12</v>
      </c>
      <c r="CC1" s="24" t="s">
        <v>30</v>
      </c>
      <c r="CD1" s="21" t="str">
        <f>UPPER(LEFT(B11, 1))</f>
        <v>P</v>
      </c>
      <c r="CE1" s="20" t="str">
        <f>UPPER(LEFT(C11, 1))</f>
        <v>P</v>
      </c>
      <c r="CF1" s="20" t="str">
        <f>UPPER(LEFT(B27, 1))</f>
        <v>P</v>
      </c>
      <c r="CG1" s="20" t="str">
        <f>UPPER(LEFT(C27, 1))</f>
        <v>P</v>
      </c>
      <c r="CH1" s="20" t="s">
        <v>13</v>
      </c>
      <c r="CI1" s="20" t="s">
        <v>12</v>
      </c>
      <c r="CM1" s="5"/>
      <c r="CP1" s="5"/>
      <c r="CY1" s="5"/>
    </row>
    <row r="2" spans="1:103" ht="14.4" customHeight="1" x14ac:dyDescent="0.3">
      <c r="A2" s="63" t="s">
        <v>18</v>
      </c>
      <c r="B2" s="59">
        <f>Person1!H1 - SUMPRODUCT(((E2:CD1000="u") + (E2:CD1000="h")*0.5) * (MOD(COLUMN(E2:CD2),7)=5))</f>
        <v>28.5</v>
      </c>
      <c r="C2" s="60">
        <f>Person2!H1 - SUMPRODUCT(((F2:CE1000="u") + (F2:CE1000="h")*0.5) * (MOD(COLUMN(F2:CE2),7)=6))</f>
        <v>29</v>
      </c>
      <c r="D2" s="13">
        <f>DATE($C$1,1,1)</f>
        <v>46023</v>
      </c>
      <c r="E2" s="14" t="str">
        <f>IF(COUNTIF('Tage Person1 Aus.'!$V$3:$AA$100, D2)&gt;0, "S",IF(COUNTIF('Tage Person1 Aus.'!$A$3:$O$100, D2)&gt;0, "U",IF(COUNTIF('Tage Person1 Aus.'!$AE$3:$AI$100, D2)&gt;0, "h", "")))</f>
        <v/>
      </c>
      <c r="F2" s="14" t="str">
        <f>IF(COUNTIF('Tage Person2 Aus.2'!$V$3:$AA$100, D2)&gt;0, "S",IF(COUNTIF('Tage Person2 Aus.2'!$A$3:$O$100, D2)&gt;0, "U",IF(COUNTIF('Tage Person2 Aus.2'!$AE$3:$AI$100, D2)&gt;0, "h", "")))</f>
        <v/>
      </c>
      <c r="G2" s="14" t="str">
        <f>IF(COUNTIF('Tage Person3 Aus.3'!$V$3:$AA$100, D2)&gt;0, "S",IF(COUNTIF('Tage Person3 Aus.3'!$A$3:$O$100, D2)&gt;0, "U",IF(COUNTIF('Tage Person3 Aus.3'!$AE$3:$AI$100, D2)&gt;0, "h", "")))</f>
        <v/>
      </c>
      <c r="H2" s="14" t="str">
        <f>IF(COUNTIF('Tage Person4 Aus.4'!$V$3:$AA$100, D2)&gt;0, "S",IF(COUNTIF('Tage Person4 Aus.4'!$A$3:$O$100, D2)&gt;0, "U",IF(COUNTIF('Tage Person4 Aus.4'!$AE$3:$AI$100, D2)&gt;0, "h", "")))</f>
        <v/>
      </c>
      <c r="I2" s="14" t="str">
        <f>IF(COUNTIF('Tage ferien Aus.'!$A$3:$O$100, D2)&gt;0, "E", "")</f>
        <v/>
      </c>
      <c r="J2" s="14" t="str">
        <f>IF(COUNTIF('Tage feiertage Aus.'!$A$3:$O$100, D2)&gt;0, "f", "")</f>
        <v>f</v>
      </c>
      <c r="K2" s="13">
        <f>DATE($C$1,2,1)</f>
        <v>46054</v>
      </c>
      <c r="L2" s="14" t="str">
        <f>IF(COUNTIF('Tage Person1 Aus.'!$V$3:$AA$100, K2)&gt;0, "S",IF(COUNTIF('Tage Person1 Aus.'!$A$3:$O$100, K2)&gt;0, "U",IF(COUNTIF('Tage Person1 Aus.'!$AE$3:$AI$100, K2)&gt;0, "h", "")))</f>
        <v/>
      </c>
      <c r="M2" s="14" t="str">
        <f>IF(COUNTIF('Tage Person2 Aus.2'!$V$3:$AA$100, K2)&gt;0, "S",IF(COUNTIF('Tage Person2 Aus.2'!$A$3:$O$100, K2)&gt;0, "U",IF(COUNTIF('Tage Person2 Aus.2'!$AE$3:$AI$100, K2)&gt;0, "h", "")))</f>
        <v/>
      </c>
      <c r="N2" s="14" t="str">
        <f>IF(COUNTIF('Tage Person3 Aus.3'!$V$3:$AA$100, K2)&gt;0, "S",IF(COUNTIF('Tage Person3 Aus.3'!$A$3:$O$100, K2)&gt;0, "U",IF(COUNTIF('Tage Person3 Aus.3'!$AE$3:$AI$100, K2)&gt;0, "h", "")))</f>
        <v/>
      </c>
      <c r="O2" s="14" t="str">
        <f>IF(COUNTIF('Tage Person4 Aus.4'!$V$3:$AA$100, K2)&gt;0, "S",IF(COUNTIF('Tage Person4 Aus.4'!$A$3:$O$100, K2)&gt;0, "U",IF(COUNTIF('Tage Person4 Aus.4'!$AE$3:$AI$100, K2)&gt;0, "h", "")))</f>
        <v/>
      </c>
      <c r="P2" s="14" t="str">
        <f>IF(COUNTIF('Tage ferien Aus.'!$A$3:$O$100, K2)&gt;0, "E", "")</f>
        <v/>
      </c>
      <c r="Q2" s="14" t="str">
        <f>IF(COUNTIF('Tage feiertage Aus.'!$A$3:$O$100, K2)&gt;0, "f", "")</f>
        <v/>
      </c>
      <c r="R2" s="13">
        <f>DATE($C$1,3,1)</f>
        <v>46082</v>
      </c>
      <c r="S2" s="14" t="str">
        <f>IF(COUNTIF('Tage Person1 Aus.'!$V$3:$AA$100, R2)&gt;0, "S",IF(COUNTIF('Tage Person1 Aus.'!$A$3:$O$100, R2)&gt;0, "U",IF(COUNTIF('Tage Person1 Aus.'!$AE$3:$AI$100, R2)&gt;0, "h", "")))</f>
        <v/>
      </c>
      <c r="T2" s="14" t="str">
        <f>IF(COUNTIF('Tage Person2 Aus.2'!$V$3:$AA$100, R2)&gt;0, "S",IF(COUNTIF('Tage Person2 Aus.2'!$A$3:$O$100, R2)&gt;0, "U",IF(COUNTIF('Tage Person2 Aus.2'!$AE$3:$AI$100, R2)&gt;0, "h", "")))</f>
        <v/>
      </c>
      <c r="U2" s="14" t="str">
        <f>IF(COUNTIF('Tage Person3 Aus.3'!$V$3:$AA$100, R2)&gt;0, "S",IF(COUNTIF('Tage Person3 Aus.3'!$A$3:$O$100, R2)&gt;0, "U",IF(COUNTIF('Tage Person3 Aus.3'!$AE$3:$AI$100, R2)&gt;0, "h", "")))</f>
        <v/>
      </c>
      <c r="V2" s="14" t="str">
        <f>IF(COUNTIF('Tage Person4 Aus.4'!$V$3:$AA$100, R2)&gt;0, "S",IF(COUNTIF('Tage Person4 Aus.4'!$A$3:$O$100, R2)&gt;0, "U",IF(COUNTIF('Tage Person4 Aus.4'!$AE$3:$AI$100, R2)&gt;0, "h", "")))</f>
        <v/>
      </c>
      <c r="W2" s="14" t="str">
        <f>IF(COUNTIF('Tage ferien Aus.'!$A$3:$O$100, R2)&gt;0, "E", "")</f>
        <v/>
      </c>
      <c r="X2" s="14" t="str">
        <f>IF(COUNTIF('Tage feiertage Aus.'!$A$3:$O$100, R2)&gt;0, "f", "")</f>
        <v/>
      </c>
      <c r="Y2" s="13">
        <f>DATE($C$1,4,1)</f>
        <v>46113</v>
      </c>
      <c r="Z2" s="14" t="str">
        <f>IF(COUNTIF('Tage Person1 Aus.'!$V$3:$AA$100, Y2)&gt;0, "S",IF(COUNTIF('Tage Person1 Aus.'!$A$3:$O$100, Y2)&gt;0, "U",IF(COUNTIF('Tage Person1 Aus.'!$AE$3:$AI$100, Y2)&gt;0, "h", "")))</f>
        <v/>
      </c>
      <c r="AA2" s="14" t="str">
        <f>IF(COUNTIF('Tage Person2 Aus.2'!$V$3:$AA$100, Y2)&gt;0, "S",IF(COUNTIF('Tage Person2 Aus.2'!$A$3:$O$100, Y2)&gt;0, "U",IF(COUNTIF('Tage Person2 Aus.2'!$AE$3:$AI$100, Y2)&gt;0, "h", "")))</f>
        <v/>
      </c>
      <c r="AB2" s="14" t="str">
        <f>IF(COUNTIF('Tage Person3 Aus.3'!$V$3:$AA$100, Y2)&gt;0, "S",IF(COUNTIF('Tage Person3 Aus.3'!$A$3:$O$100, Y2)&gt;0, "U",IF(COUNTIF('Tage Person3 Aus.3'!$AE$3:$AI$100, Y2)&gt;0, "h", "")))</f>
        <v/>
      </c>
      <c r="AC2" s="14" t="str">
        <f>IF(COUNTIF('Tage Person4 Aus.4'!$V$3:$AA$100, Y2)&gt;0, "S",IF(COUNTIF('Tage Person4 Aus.4'!$A$3:$O$100, Y2)&gt;0, "U",IF(COUNTIF('Tage Person4 Aus.4'!$AE$3:$AI$100, Y2)&gt;0, "h", "")))</f>
        <v/>
      </c>
      <c r="AD2" s="14" t="str">
        <f>IF(COUNTIF('Tage ferien Aus.'!$A$3:$O$100, Y2)&gt;0, "E", "")</f>
        <v>E</v>
      </c>
      <c r="AE2" s="14" t="str">
        <f>IF(COUNTIF('Tage feiertage Aus.'!$A$3:$O$100, Y2)&gt;0, "f", "")</f>
        <v/>
      </c>
      <c r="AF2" s="13">
        <f>DATE($C$1,5,1)</f>
        <v>46143</v>
      </c>
      <c r="AG2" s="15" t="str">
        <f>IF(COUNTIF('Tage Person1 Aus.'!$V$3:$AA$100, AF2)&gt;0, "S",IF(COUNTIF('Tage Person1 Aus.'!$A$3:$O$100, AF2)&gt;0, "U",IF(COUNTIF('Tage Person1 Aus.'!$AE$3:$AI$100, AF2)&gt;0, "h", "")))</f>
        <v/>
      </c>
      <c r="AH2" s="14" t="str">
        <f>IF(COUNTIF('Tage Person2 Aus.2'!$V$3:$AA$100, AF2)&gt;0, "S",IF(COUNTIF('Tage Person2 Aus.2'!$A$3:$O$100, AF2)&gt;0, "U",IF(COUNTIF('Tage Person2 Aus.2'!$AE$3:$AI$100, AF2)&gt;0, "h", "")))</f>
        <v/>
      </c>
      <c r="AI2" s="14" t="str">
        <f>IF(COUNTIF('Tage Person3 Aus.3'!$V$3:$AA$100, AF2)&gt;0, "S",IF(COUNTIF('Tage Person3 Aus.3'!$A$3:$O$100, AF2)&gt;0, "U",IF(COUNTIF('Tage Person3 Aus.3'!$AE$3:$AI$100, AF2)&gt;0, "h", "")))</f>
        <v/>
      </c>
      <c r="AJ2" s="14" t="str">
        <f>IF(COUNTIF('Tage Person4 Aus.4'!$V$3:$AA$100, AF2)&gt;0, "S",IF(COUNTIF('Tage Person4 Aus.4'!$A$3:$O$100, AF2)&gt;0, "U",IF(COUNTIF('Tage Person4 Aus.4'!$AE$3:$AI$100, AF2)&gt;0, "h", "")))</f>
        <v/>
      </c>
      <c r="AK2" s="14" t="str">
        <f>IF(COUNTIF('Tage ferien Aus.'!$A$3:$O$100, AF2)&gt;0, "E", "")</f>
        <v/>
      </c>
      <c r="AL2" s="14" t="str">
        <f>IF(COUNTIF('Tage feiertage Aus.'!$A$3:$O$100, AF2)&gt;0, "f", "")</f>
        <v>f</v>
      </c>
      <c r="AM2" s="13">
        <f>DATE($C$1,6,1)</f>
        <v>46174</v>
      </c>
      <c r="AN2" s="14" t="str">
        <f>IF(COUNTIF('Tage Person1 Aus.'!$V$3:$AA$100, AM2)&gt;0, "S",IF(COUNTIF('Tage Person1 Aus.'!$A$3:$O$100, AM2)&gt;0, "U",IF(COUNTIF('Tage Person1 Aus.'!$AE$3:$AI$100, AM2)&gt;0, "h", "")))</f>
        <v/>
      </c>
      <c r="AO2" s="14" t="str">
        <f>IF(COUNTIF('Tage Person2 Aus.2'!$V$3:$AA$100, AM2)&gt;0, "S",IF(COUNTIF('Tage Person2 Aus.2'!$A$3:$O$100, AM2)&gt;0, "U",IF(COUNTIF('Tage Person2 Aus.2'!$AE$3:$AI$100, AM2)&gt;0, "h", "")))</f>
        <v/>
      </c>
      <c r="AP2" s="14" t="str">
        <f>IF(COUNTIF('Tage Person3 Aus.3'!$V$3:$AA$100, AM2)&gt;0, "S",IF(COUNTIF('Tage Person3 Aus.3'!$A$3:$O$100, AM2)&gt;0, "U",IF(COUNTIF('Tage Person3 Aus.3'!$AE$3:$AI$100, AM2)&gt;0, "h", "")))</f>
        <v/>
      </c>
      <c r="AQ2" s="14" t="str">
        <f>IF(COUNTIF('Tage Person4 Aus.4'!$V$3:$AA$100, AM2)&gt;0, "S",IF(COUNTIF('Tage Person4 Aus.4'!$A$3:$O$100, AM2)&gt;0, "U",IF(COUNTIF('Tage Person4 Aus.4'!$AE$3:$AI$100, AM2)&gt;0, "h", "")))</f>
        <v/>
      </c>
      <c r="AR2" s="14" t="str">
        <f>IF(COUNTIF('Tage ferien Aus.'!$A$3:$O$100, AM2)&gt;0, "E", "")</f>
        <v/>
      </c>
      <c r="AS2" s="14" t="str">
        <f>IF(COUNTIF('Tage feiertage Aus.'!$A$3:$O$100, AM2)&gt;0, "f", "")</f>
        <v/>
      </c>
      <c r="AT2" s="13">
        <f>DATE($C$1,7,1)</f>
        <v>46204</v>
      </c>
      <c r="AU2" s="14" t="str">
        <f>IF(COUNTIF('Tage Person1 Aus.'!$V$3:$AA$100, AT2)&gt;0, "S",IF(COUNTIF('Tage Person1 Aus.'!$A$3:$O$100, AT2)&gt;0, "U",IF(COUNTIF('Tage Person1 Aus.'!$AE$3:$AI$100, AT2)&gt;0, "h", "")))</f>
        <v/>
      </c>
      <c r="AV2" s="14" t="str">
        <f>IF(COUNTIF('Tage Person2 Aus.2'!$V$3:$AA$100, AT2)&gt;0, "S",IF(COUNTIF('Tage Person2 Aus.2'!$A$3:$O$100, AT2)&gt;0, "U",IF(COUNTIF('Tage Person2 Aus.2'!$AE$3:$AI$100, AT2)&gt;0, "h", "")))</f>
        <v/>
      </c>
      <c r="AW2" s="14" t="str">
        <f>IF(COUNTIF('Tage Person3 Aus.3'!$V$3:$AA$100, AT2)&gt;0, "S",IF(COUNTIF('Tage Person3 Aus.3'!$A$3:$O$100, AT2)&gt;0, "U",IF(COUNTIF('Tage Person3 Aus.3'!$AE$3:$AI$100, AT2)&gt;0, "h", "")))</f>
        <v/>
      </c>
      <c r="AX2" s="14" t="str">
        <f>IF(COUNTIF('Tage Person4 Aus.4'!$V$3:$AA$100, AT2)&gt;0, "S",IF(COUNTIF('Tage Person4 Aus.4'!$A$3:$O$100, AT2)&gt;0, "U",IF(COUNTIF('Tage Person4 Aus.4'!$AE$3:$AI$100, AT2)&gt;0, "h", "")))</f>
        <v/>
      </c>
      <c r="AY2" s="14" t="str">
        <f>IF(COUNTIF('Tage ferien Aus.'!$A$3:$O$100, AT2)&gt;0, "E", "")</f>
        <v/>
      </c>
      <c r="AZ2" s="14" t="str">
        <f>IF(COUNTIF('Tage feiertage Aus.'!$A$3:$O$100, AT2)&gt;0, "f", "")</f>
        <v/>
      </c>
      <c r="BA2" s="13">
        <f>DATE($C$1,8,1)</f>
        <v>46235</v>
      </c>
      <c r="BB2" s="14" t="str">
        <f>IF(COUNTIF('Tage Person1 Aus.'!$V$3:$AA$100, BA2)&gt;0, "S",IF(COUNTIF('Tage Person1 Aus.'!$A$3:$O$100, BA2)&gt;0, "U",IF(COUNTIF('Tage Person1 Aus.'!$AE$3:$AI$100, BA2)&gt;0, "h", "")))</f>
        <v/>
      </c>
      <c r="BC2" s="14" t="str">
        <f>IF(COUNTIF('Tage Person2 Aus.2'!$V$3:$AA$100, BA2)&gt;0, "S",IF(COUNTIF('Tage Person2 Aus.2'!$A$3:$O$100, BA2)&gt;0, "U",IF(COUNTIF('Tage Person2 Aus.2'!$AE$3:$AI$100, BA2)&gt;0, "h", "")))</f>
        <v/>
      </c>
      <c r="BD2" s="14" t="str">
        <f>IF(COUNTIF('Tage Person3 Aus.3'!$V$3:$AA$100, BA2)&gt;0, "S",IF(COUNTIF('Tage Person3 Aus.3'!$A$3:$O$100, BA2)&gt;0, "U",IF(COUNTIF('Tage Person3 Aus.3'!$AE$3:$AI$100, BA2)&gt;0, "h", "")))</f>
        <v/>
      </c>
      <c r="BE2" s="14" t="str">
        <f>IF(COUNTIF('Tage Person4 Aus.4'!$V$3:$AA$100, BA2)&gt;0, "S",IF(COUNTIF('Tage Person4 Aus.4'!$A$3:$O$100, BA2)&gt;0, "U",IF(COUNTIF('Tage Person4 Aus.4'!$AE$3:$AI$100, BA2)&gt;0, "h", "")))</f>
        <v/>
      </c>
      <c r="BF2" s="14" t="str">
        <f>IF(COUNTIF('Tage ferien Aus.'!$A$3:$O$100, BA2)&gt;0, "E", "")</f>
        <v>E</v>
      </c>
      <c r="BG2" s="14" t="str">
        <f>IF(COUNTIF('Tage feiertage Aus.'!$A$3:$O$100, BA2)&gt;0, "f", "")</f>
        <v/>
      </c>
      <c r="BH2" s="13">
        <f>DATE($C$1,9,1)</f>
        <v>46266</v>
      </c>
      <c r="BI2" s="14" t="str">
        <f>IF(COUNTIF('Tage Person1 Aus.'!$V$3:$AA$100, BH2)&gt;0, "S",IF(COUNTIF('Tage Person1 Aus.'!$A$3:$O$100, BH2)&gt;0, "U",IF(COUNTIF('Tage Person1 Aus.'!$AE$3:$AI$100, BH2)&gt;0, "h", "")))</f>
        <v/>
      </c>
      <c r="BJ2" s="14" t="str">
        <f>IF(COUNTIF('Tage Person2 Aus.2'!$V$3:$AA$100, BH2)&gt;0, "S",IF(COUNTIF('Tage Person2 Aus.2'!$A$3:$O$100, BH2)&gt;0, "U",IF(COUNTIF('Tage Person2 Aus.2'!$AE$3:$AI$100, BH2)&gt;0, "h", "")))</f>
        <v/>
      </c>
      <c r="BK2" s="14" t="str">
        <f>IF(COUNTIF('Tage Person3 Aus.3'!$V$3:$AA$100, BH2)&gt;0, "S",IF(COUNTIF('Tage Person3 Aus.3'!$A$3:$O$100, BH2)&gt;0, "U",IF(COUNTIF('Tage Person3 Aus.3'!$AE$3:$AI$100, BH2)&gt;0, "h", "")))</f>
        <v/>
      </c>
      <c r="BL2" s="14" t="str">
        <f>IF(COUNTIF('Tage Person4 Aus.4'!$V$3:$AA$100, BH2)&gt;0, "S",IF(COUNTIF('Tage Person4 Aus.4'!$A$3:$O$100, BH2)&gt;0, "U",IF(COUNTIF('Tage Person4 Aus.4'!$AE$3:$AI$100, BH2)&gt;0, "h", "")))</f>
        <v/>
      </c>
      <c r="BM2" s="14" t="str">
        <f>IF(COUNTIF('Tage ferien Aus.'!$A$3:$O$100, BH2)&gt;0, "E", "")</f>
        <v>E</v>
      </c>
      <c r="BN2" s="14" t="str">
        <f>IF(COUNTIF('Tage feiertage Aus.'!$A$3:$O$100, BH2)&gt;0, "f", "")</f>
        <v/>
      </c>
      <c r="BO2" s="13">
        <f>DATE($C$1,10,1)</f>
        <v>46296</v>
      </c>
      <c r="BP2" s="14" t="str">
        <f>IF(COUNTIF('Tage Person1 Aus.'!$V$3:$AA$100, BO2)&gt;0, "S",IF(COUNTIF('Tage Person1 Aus.'!$A$3:$O$100, BO2)&gt;0, "U",IF(COUNTIF('Tage Person1 Aus.'!$AE$3:$AI$100, BO2)&gt;0, "h", "")))</f>
        <v/>
      </c>
      <c r="BQ2" s="14" t="str">
        <f>IF(COUNTIF('Tage Person2 Aus.2'!$V$3:$AA$100, BO2)&gt;0, "S",IF(COUNTIF('Tage Person2 Aus.2'!$A$3:$O$100, BO2)&gt;0, "U",IF(COUNTIF('Tage Person2 Aus.2'!$AE$3:$AI$100, BO2)&gt;0, "h", "")))</f>
        <v/>
      </c>
      <c r="BR2" s="14" t="str">
        <f>IF(COUNTIF('Tage Person3 Aus.3'!$V$3:$AA$100, BO2)&gt;0, "S",IF(COUNTIF('Tage Person3 Aus.3'!$A$3:$O$100, BO2)&gt;0, "U",IF(COUNTIF('Tage Person3 Aus.3'!$AE$3:$AI$100, BO2)&gt;0, "h", "")))</f>
        <v/>
      </c>
      <c r="BS2" s="14" t="str">
        <f>IF(COUNTIF('Tage Person4 Aus.4'!$V$3:$AA$100, BO2)&gt;0, "S",IF(COUNTIF('Tage Person4 Aus.4'!$A$3:$O$100, BO2)&gt;0, "U",IF(COUNTIF('Tage Person4 Aus.4'!$AE$3:$AI$100, BO2)&gt;0, "h", "")))</f>
        <v/>
      </c>
      <c r="BT2" s="14" t="str">
        <f>IF(COUNTIF('Tage ferien Aus.'!$A$3:$O$100, BO2)&gt;0, "E", "")</f>
        <v/>
      </c>
      <c r="BU2" s="14" t="str">
        <f>IF(COUNTIF('Tage feiertage Aus.'!$A$3:$O$100, BO2)&gt;0, "f", "")</f>
        <v/>
      </c>
      <c r="BV2" s="13">
        <f>DATE($C$1,11,1)</f>
        <v>46327</v>
      </c>
      <c r="BW2" s="14" t="str">
        <f>IF(COUNTIF('Tage Person1 Aus.'!$V$3:$AA$100, BV2)&gt;0, "S",IF(COUNTIF('Tage Person1 Aus.'!$A$3:$O$100, BV2)&gt;0, "U",IF(COUNTIF('Tage Person1 Aus.'!$AE$3:$AI$100, BV2)&gt;0, "h", "")))</f>
        <v/>
      </c>
      <c r="BX2" s="14" t="str">
        <f>IF(COUNTIF('Tage Person2 Aus.2'!$V$3:$AA$100, BV2)&gt;0, "S",IF(COUNTIF('Tage Person2 Aus.2'!$A$3:$O$100, BV2)&gt;0, "U",IF(COUNTIF('Tage Person2 Aus.2'!$AE$3:$AI$100, BV2)&gt;0, "h", "")))</f>
        <v/>
      </c>
      <c r="BY2" s="14" t="str">
        <f>IF(COUNTIF('Tage Person3 Aus.3'!$V$3:$AA$100, BV2)&gt;0, "S",IF(COUNTIF('Tage Person3 Aus.3'!$A$3:$O$100, BV2)&gt;0, "U",IF(COUNTIF('Tage Person3 Aus.3'!$AE$3:$AI$100, BV2)&gt;0, "h", "")))</f>
        <v/>
      </c>
      <c r="BZ2" s="14" t="str">
        <f>IF(COUNTIF('Tage Person4 Aus.4'!$V$3:$AA$100, BV2)&gt;0, "S",IF(COUNTIF('Tage Person4 Aus.4'!$A$3:$O$100, BV2)&gt;0, "U",IF(COUNTIF('Tage Person4 Aus.4'!$AE$3:$AI$100, BV2)&gt;0, "h", "")))</f>
        <v/>
      </c>
      <c r="CA2" s="14" t="str">
        <f>IF(COUNTIF('Tage ferien Aus.'!$A$3:$O$100, BV2)&gt;0, "E", "")</f>
        <v/>
      </c>
      <c r="CB2" s="14" t="str">
        <f>IF(COUNTIF('Tage feiertage Aus.'!$A$3:$O$100, BV2)&gt;0, "f", "")</f>
        <v>f</v>
      </c>
      <c r="CC2" s="13">
        <f>DATE($C$1,12,1)</f>
        <v>46357</v>
      </c>
      <c r="CD2" s="16" t="str">
        <f>IF(COUNTIF('Tage Person1 Aus.'!$V$3:$AA$100, CC2)&gt;0, "S",IF(COUNTIF('Tage Person1 Aus.'!$A$3:$O$100, CC2)&gt;0, "U",IF(COUNTIF('Tage Person1 Aus.'!$AE$3:$AI$100, CC2)&gt;0, "h", "")))</f>
        <v/>
      </c>
      <c r="CE2" s="17" t="str">
        <f>IF(COUNTIF('Tage Person2 Aus.2'!$V$3:$AA$100, CC2)&gt;0, "S",IF(COUNTIF('Tage Person2 Aus.2'!$A$3:$O$100, CC2)&gt;0, "U",IF(COUNTIF('Tage Person2 Aus.2'!$AE$3:$AI$100, CC2)&gt;0, "h", "")))</f>
        <v/>
      </c>
      <c r="CF2" s="18" t="str">
        <f>IF(COUNTIF('Tage Person3 Aus.3'!$V$3:$AA$100, CC2)&gt;0, "S",IF(COUNTIF('Tage Person3 Aus.3'!$A$3:$O$100, CC2)&gt;0, "U",IF(COUNTIF('Tage Person3 Aus.3'!$AE$3:$AI$100, CC2)&gt;0, "h", "")))</f>
        <v/>
      </c>
      <c r="CG2" s="16" t="str">
        <f>IF(COUNTIF('Tage Person4 Aus.4'!$V$3:$AA$100, CC2)&gt;0, "S",IF(COUNTIF('Tage Person4 Aus.4'!$A$3:$O$100, CC2)&gt;0, "U",IF(COUNTIF('Tage Person4 Aus.4'!$AE$3:$AI$100, CC2)&gt;0, "h", "")))</f>
        <v/>
      </c>
      <c r="CH2" s="17" t="str">
        <f>IF(COUNTIF('Tage ferien Aus.'!$A$3:$O$100, CC2)&gt;0, "E", "")</f>
        <v/>
      </c>
      <c r="CI2" s="18" t="str">
        <f>IF(COUNTIF('Tage feiertage Aus.'!$A$3:$O$100, CC2)&gt;0, "f", "")</f>
        <v/>
      </c>
      <c r="CJ2" s="4"/>
      <c r="CK2" s="4"/>
      <c r="CL2" s="6"/>
      <c r="CM2" s="4"/>
      <c r="CN2" s="2"/>
      <c r="CO2" s="3"/>
      <c r="CP2" s="4"/>
      <c r="CQ2" s="2"/>
      <c r="CR2" s="3"/>
      <c r="CS2" s="4"/>
      <c r="CT2" s="4"/>
      <c r="CU2" s="6"/>
      <c r="CV2" s="4"/>
      <c r="CW2" s="4"/>
      <c r="CX2" s="6"/>
      <c r="CY2" s="4"/>
    </row>
    <row r="3" spans="1:103" x14ac:dyDescent="0.3">
      <c r="A3" s="64"/>
      <c r="B3" s="58"/>
      <c r="C3" s="61"/>
      <c r="D3" s="7">
        <f>D2+1</f>
        <v>46024</v>
      </c>
      <c r="E3" s="8" t="str">
        <f>IF(COUNTIF('Tage Person1 Aus.'!$V$3:$AA$100, D3)&gt;0, "S",IF(COUNTIF('Tage Person1 Aus.'!$A$3:$O$100, D3)&gt;0, "U",IF(COUNTIF('Tage Person1 Aus.'!$AE$3:$AI$100, D3)&gt;0, "h", "")))</f>
        <v>U</v>
      </c>
      <c r="F3" s="8" t="str">
        <f>IF(COUNTIF('Tage Person2 Aus.2'!$V$3:$AA$100, D3)&gt;0, "S",IF(COUNTIF('Tage Person2 Aus.2'!$A$3:$O$100, D3)&gt;0, "U",IF(COUNTIF('Tage Person2 Aus.2'!$AE$3:$AI$100, D3)&gt;0, "h", "")))</f>
        <v/>
      </c>
      <c r="G3" s="8" t="str">
        <f>IF(COUNTIF('Tage Person3 Aus.3'!$V$3:$AA$100, D3)&gt;0, "S",IF(COUNTIF('Tage Person3 Aus.3'!$A$3:$O$100, D3)&gt;0, "U",IF(COUNTIF('Tage Person3 Aus.3'!$AE$3:$AI$100, D3)&gt;0, "h", "")))</f>
        <v/>
      </c>
      <c r="H3" s="8" t="str">
        <f>IF(COUNTIF('Tage Person4 Aus.4'!$V$3:$AA$100, D3)&gt;0, "S",IF(COUNTIF('Tage Person4 Aus.4'!$A$3:$O$100, D3)&gt;0, "U",IF(COUNTIF('Tage Person4 Aus.4'!$AE$3:$AI$100, D3)&gt;0, "h", "")))</f>
        <v/>
      </c>
      <c r="I3" s="8" t="str">
        <f>IF(COUNTIF('Tage ferien Aus.'!$A$3:$O$100, D3)&gt;0, "E", "")</f>
        <v/>
      </c>
      <c r="J3" s="8" t="str">
        <f>IF(COUNTIF('Tage feiertage Aus.'!$A$3:$O$100, D3)&gt;0, "f", "")</f>
        <v/>
      </c>
      <c r="K3" s="7">
        <f>K2+1</f>
        <v>46055</v>
      </c>
      <c r="L3" s="8" t="str">
        <f>IF(COUNTIF('Tage Person1 Aus.'!$V$3:$AA$100, K3)&gt;0, "S",IF(COUNTIF('Tage Person1 Aus.'!$A$3:$O$100, K3)&gt;0, "U",IF(COUNTIF('Tage Person1 Aus.'!$AE$3:$AI$100, K3)&gt;0, "h", "")))</f>
        <v/>
      </c>
      <c r="M3" s="8" t="str">
        <f>IF(COUNTIF('Tage Person2 Aus.2'!$V$3:$AA$100, K3)&gt;0, "S",IF(COUNTIF('Tage Person2 Aus.2'!$A$3:$O$100, K3)&gt;0, "U",IF(COUNTIF('Tage Person2 Aus.2'!$AE$3:$AI$100, K3)&gt;0, "h", "")))</f>
        <v/>
      </c>
      <c r="N3" s="8" t="str">
        <f>IF(COUNTIF('Tage Person3 Aus.3'!$V$3:$AA$100, K3)&gt;0, "S",IF(COUNTIF('Tage Person3 Aus.3'!$A$3:$O$100, K3)&gt;0, "U",IF(COUNTIF('Tage Person3 Aus.3'!$AE$3:$AI$100, K3)&gt;0, "h", "")))</f>
        <v/>
      </c>
      <c r="O3" s="8" t="str">
        <f>IF(COUNTIF('Tage Person4 Aus.4'!$V$3:$AA$100, K3)&gt;0, "S",IF(COUNTIF('Tage Person4 Aus.4'!$A$3:$O$100, K3)&gt;0, "U",IF(COUNTIF('Tage Person4 Aus.4'!$AE$3:$AI$100, K3)&gt;0, "h", "")))</f>
        <v/>
      </c>
      <c r="P3" s="8" t="str">
        <f>IF(COUNTIF('Tage ferien Aus.'!$A$3:$O$100, K3)&gt;0, "E", "")</f>
        <v/>
      </c>
      <c r="Q3" s="8" t="str">
        <f>IF(COUNTIF('Tage feiertage Aus.'!$A$3:$O$100, K3)&gt;0, "f", "")</f>
        <v/>
      </c>
      <c r="R3" s="7">
        <f>R2+1</f>
        <v>46083</v>
      </c>
      <c r="S3" s="8" t="str">
        <f>IF(COUNTIF('Tage Person1 Aus.'!$V$3:$AA$100, R3)&gt;0, "S",IF(COUNTIF('Tage Person1 Aus.'!$A$3:$O$100, R3)&gt;0, "U",IF(COUNTIF('Tage Person1 Aus.'!$AE$3:$AI$100, R3)&gt;0, "h", "")))</f>
        <v/>
      </c>
      <c r="T3" s="8" t="str">
        <f>IF(COUNTIF('Tage Person2 Aus.2'!$V$3:$AA$100, R3)&gt;0, "S",IF(COUNTIF('Tage Person2 Aus.2'!$A$3:$O$100, R3)&gt;0, "U",IF(COUNTIF('Tage Person2 Aus.2'!$AE$3:$AI$100, R3)&gt;0, "h", "")))</f>
        <v/>
      </c>
      <c r="U3" s="8" t="str">
        <f>IF(COUNTIF('Tage Person3 Aus.3'!$V$3:$AA$100, R3)&gt;0, "S",IF(COUNTIF('Tage Person3 Aus.3'!$A$3:$O$100, R3)&gt;0, "U",IF(COUNTIF('Tage Person3 Aus.3'!$AE$3:$AI$100, R3)&gt;0, "h", "")))</f>
        <v/>
      </c>
      <c r="V3" s="8" t="str">
        <f>IF(COUNTIF('Tage Person4 Aus.4'!$V$3:$AA$100, R3)&gt;0, "S",IF(COUNTIF('Tage Person4 Aus.4'!$A$3:$O$100, R3)&gt;0, "U",IF(COUNTIF('Tage Person4 Aus.4'!$AE$3:$AI$100, R3)&gt;0, "h", "")))</f>
        <v/>
      </c>
      <c r="W3" s="8" t="str">
        <f>IF(COUNTIF('Tage ferien Aus.'!$A$3:$O$100, R3)&gt;0, "E", "")</f>
        <v/>
      </c>
      <c r="X3" s="8" t="str">
        <f>IF(COUNTIF('Tage feiertage Aus.'!$A$3:$O$100, R3)&gt;0, "f", "")</f>
        <v/>
      </c>
      <c r="Y3" s="7">
        <f>Y2+1</f>
        <v>46114</v>
      </c>
      <c r="Z3" s="8" t="str">
        <f>IF(COUNTIF('Tage Person1 Aus.'!$V$3:$AA$100, Y3)&gt;0, "S",IF(COUNTIF('Tage Person1 Aus.'!$A$3:$O$100, Y3)&gt;0, "U",IF(COUNTIF('Tage Person1 Aus.'!$AE$3:$AI$100, Y3)&gt;0, "h", "")))</f>
        <v/>
      </c>
      <c r="AA3" s="8" t="str">
        <f>IF(COUNTIF('Tage Person2 Aus.2'!$V$3:$AA$100, Y3)&gt;0, "S",IF(COUNTIF('Tage Person2 Aus.2'!$A$3:$O$100, Y3)&gt;0, "U",IF(COUNTIF('Tage Person2 Aus.2'!$AE$3:$AI$100, Y3)&gt;0, "h", "")))</f>
        <v/>
      </c>
      <c r="AB3" s="8" t="str">
        <f>IF(COUNTIF('Tage Person3 Aus.3'!$V$3:$AA$100, Y3)&gt;0, "S",IF(COUNTIF('Tage Person3 Aus.3'!$A$3:$O$100, Y3)&gt;0, "U",IF(COUNTIF('Tage Person3 Aus.3'!$AE$3:$AI$100, Y3)&gt;0, "h", "")))</f>
        <v/>
      </c>
      <c r="AC3" s="8" t="str">
        <f>IF(COUNTIF('Tage Person4 Aus.4'!$V$3:$AA$100, Y3)&gt;0, "S",IF(COUNTIF('Tage Person4 Aus.4'!$A$3:$O$100, Y3)&gt;0, "U",IF(COUNTIF('Tage Person4 Aus.4'!$AE$3:$AI$100, Y3)&gt;0, "h", "")))</f>
        <v/>
      </c>
      <c r="AD3" s="8" t="str">
        <f>IF(COUNTIF('Tage ferien Aus.'!$A$3:$O$100, Y3)&gt;0, "E", "")</f>
        <v>E</v>
      </c>
      <c r="AE3" s="8" t="str">
        <f>IF(COUNTIF('Tage feiertage Aus.'!$A$3:$O$100, Y3)&gt;0, "f", "")</f>
        <v/>
      </c>
      <c r="AF3" s="7">
        <f>AF2+1</f>
        <v>46144</v>
      </c>
      <c r="AG3" s="9" t="str">
        <f>IF(COUNTIF('Tage Person1 Aus.'!$V$3:$AA$100, AF3)&gt;0, "S",IF(COUNTIF('Tage Person1 Aus.'!$A$3:$O$100, AF3)&gt;0, "U",IF(COUNTIF('Tage Person1 Aus.'!$AE$3:$AI$100, AF3)&gt;0, "h", "")))</f>
        <v/>
      </c>
      <c r="AH3" s="8" t="str">
        <f>IF(COUNTIF('Tage Person2 Aus.2'!$V$3:$AA$100, AF3)&gt;0, "S",IF(COUNTIF('Tage Person2 Aus.2'!$A$3:$O$100, AF3)&gt;0, "U",IF(COUNTIF('Tage Person2 Aus.2'!$AE$3:$AI$100, AF3)&gt;0, "h", "")))</f>
        <v/>
      </c>
      <c r="AI3" s="8" t="str">
        <f>IF(COUNTIF('Tage Person3 Aus.3'!$V$3:$AA$100, AF3)&gt;0, "S",IF(COUNTIF('Tage Person3 Aus.3'!$A$3:$O$100, AF3)&gt;0, "U",IF(COUNTIF('Tage Person3 Aus.3'!$AE$3:$AI$100, AF3)&gt;0, "h", "")))</f>
        <v/>
      </c>
      <c r="AJ3" s="8" t="str">
        <f>IF(COUNTIF('Tage Person4 Aus.4'!$V$3:$AA$100, AF3)&gt;0, "S",IF(COUNTIF('Tage Person4 Aus.4'!$A$3:$O$100, AF3)&gt;0, "U",IF(COUNTIF('Tage Person4 Aus.4'!$AE$3:$AI$100, AF3)&gt;0, "h", "")))</f>
        <v/>
      </c>
      <c r="AK3" s="8" t="str">
        <f>IF(COUNTIF('Tage ferien Aus.'!$A$3:$O$100, AF3)&gt;0, "E", "")</f>
        <v/>
      </c>
      <c r="AL3" s="8" t="str">
        <f>IF(COUNTIF('Tage feiertage Aus.'!$A$3:$O$100, AF3)&gt;0, "f", "")</f>
        <v/>
      </c>
      <c r="AM3" s="7">
        <f>AM2+1</f>
        <v>46175</v>
      </c>
      <c r="AN3" s="8" t="str">
        <f>IF(COUNTIF('Tage Person1 Aus.'!$V$3:$AA$100, AM3)&gt;0, "S",IF(COUNTIF('Tage Person1 Aus.'!$A$3:$O$100, AM3)&gt;0, "U",IF(COUNTIF('Tage Person1 Aus.'!$AE$3:$AI$100, AM3)&gt;0, "h", "")))</f>
        <v/>
      </c>
      <c r="AO3" s="8" t="str">
        <f>IF(COUNTIF('Tage Person2 Aus.2'!$V$3:$AA$100, AM3)&gt;0, "S",IF(COUNTIF('Tage Person2 Aus.2'!$A$3:$O$100, AM3)&gt;0, "U",IF(COUNTIF('Tage Person2 Aus.2'!$AE$3:$AI$100, AM3)&gt;0, "h", "")))</f>
        <v/>
      </c>
      <c r="AP3" s="8" t="str">
        <f>IF(COUNTIF('Tage Person3 Aus.3'!$V$3:$AA$100, AM3)&gt;0, "S",IF(COUNTIF('Tage Person3 Aus.3'!$A$3:$O$100, AM3)&gt;0, "U",IF(COUNTIF('Tage Person3 Aus.3'!$AE$3:$AI$100, AM3)&gt;0, "h", "")))</f>
        <v/>
      </c>
      <c r="AQ3" s="8" t="str">
        <f>IF(COUNTIF('Tage Person4 Aus.4'!$V$3:$AA$100, AM3)&gt;0, "S",IF(COUNTIF('Tage Person4 Aus.4'!$A$3:$O$100, AM3)&gt;0, "U",IF(COUNTIF('Tage Person4 Aus.4'!$AE$3:$AI$100, AM3)&gt;0, "h", "")))</f>
        <v/>
      </c>
      <c r="AR3" s="8" t="str">
        <f>IF(COUNTIF('Tage ferien Aus.'!$A$3:$O$100, AM3)&gt;0, "E", "")</f>
        <v/>
      </c>
      <c r="AS3" s="8" t="str">
        <f>IF(COUNTIF('Tage feiertage Aus.'!$A$3:$O$100, AM3)&gt;0, "f", "")</f>
        <v/>
      </c>
      <c r="AT3" s="7">
        <f>AT2+1</f>
        <v>46205</v>
      </c>
      <c r="AU3" s="8" t="str">
        <f>IF(COUNTIF('Tage Person1 Aus.'!$V$3:$AA$100, AT3)&gt;0, "S",IF(COUNTIF('Tage Person1 Aus.'!$A$3:$O$100, AT3)&gt;0, "U",IF(COUNTIF('Tage Person1 Aus.'!$AE$3:$AI$100, AT3)&gt;0, "h", "")))</f>
        <v/>
      </c>
      <c r="AV3" s="8" t="str">
        <f>IF(COUNTIF('Tage Person2 Aus.2'!$V$3:$AA$100, AT3)&gt;0, "S",IF(COUNTIF('Tage Person2 Aus.2'!$A$3:$O$100, AT3)&gt;0, "U",IF(COUNTIF('Tage Person2 Aus.2'!$AE$3:$AI$100, AT3)&gt;0, "h", "")))</f>
        <v/>
      </c>
      <c r="AW3" s="8" t="str">
        <f>IF(COUNTIF('Tage Person3 Aus.3'!$V$3:$AA$100, AT3)&gt;0, "S",IF(COUNTIF('Tage Person3 Aus.3'!$A$3:$O$100, AT3)&gt;0, "U",IF(COUNTIF('Tage Person3 Aus.3'!$AE$3:$AI$100, AT3)&gt;0, "h", "")))</f>
        <v/>
      </c>
      <c r="AX3" s="8" t="str">
        <f>IF(COUNTIF('Tage Person4 Aus.4'!$V$3:$AA$100, AT3)&gt;0, "S",IF(COUNTIF('Tage Person4 Aus.4'!$A$3:$O$100, AT3)&gt;0, "U",IF(COUNTIF('Tage Person4 Aus.4'!$AE$3:$AI$100, AT3)&gt;0, "h", "")))</f>
        <v/>
      </c>
      <c r="AY3" s="8" t="str">
        <f>IF(COUNTIF('Tage ferien Aus.'!$A$3:$O$100, AT3)&gt;0, "E", "")</f>
        <v/>
      </c>
      <c r="AZ3" s="8" t="str">
        <f>IF(COUNTIF('Tage feiertage Aus.'!$A$3:$O$100, AT3)&gt;0, "f", "")</f>
        <v/>
      </c>
      <c r="BA3" s="7">
        <f>BA2+1</f>
        <v>46236</v>
      </c>
      <c r="BB3" s="8" t="str">
        <f>IF(COUNTIF('Tage Person1 Aus.'!$V$3:$AA$100, BA3)&gt;0, "S",IF(COUNTIF('Tage Person1 Aus.'!$A$3:$O$100, BA3)&gt;0, "U",IF(COUNTIF('Tage Person1 Aus.'!$AE$3:$AI$100, BA3)&gt;0, "h", "")))</f>
        <v/>
      </c>
      <c r="BC3" s="8" t="str">
        <f>IF(COUNTIF('Tage Person2 Aus.2'!$V$3:$AA$100, BA3)&gt;0, "S",IF(COUNTIF('Tage Person2 Aus.2'!$A$3:$O$100, BA3)&gt;0, "U",IF(COUNTIF('Tage Person2 Aus.2'!$AE$3:$AI$100, BA3)&gt;0, "h", "")))</f>
        <v/>
      </c>
      <c r="BD3" s="8" t="str">
        <f>IF(COUNTIF('Tage Person3 Aus.3'!$V$3:$AA$100, BA3)&gt;0, "S",IF(COUNTIF('Tage Person3 Aus.3'!$A$3:$O$100, BA3)&gt;0, "U",IF(COUNTIF('Tage Person3 Aus.3'!$AE$3:$AI$100, BA3)&gt;0, "h", "")))</f>
        <v/>
      </c>
      <c r="BE3" s="8" t="str">
        <f>IF(COUNTIF('Tage Person4 Aus.4'!$V$3:$AA$100, BA3)&gt;0, "S",IF(COUNTIF('Tage Person4 Aus.4'!$A$3:$O$100, BA3)&gt;0, "U",IF(COUNTIF('Tage Person4 Aus.4'!$AE$3:$AI$100, BA3)&gt;0, "h", "")))</f>
        <v/>
      </c>
      <c r="BF3" s="8" t="str">
        <f>IF(COUNTIF('Tage ferien Aus.'!$A$3:$O$100, BA3)&gt;0, "E", "")</f>
        <v>E</v>
      </c>
      <c r="BG3" s="8" t="str">
        <f>IF(COUNTIF('Tage feiertage Aus.'!$A$3:$O$100, BA3)&gt;0, "f", "")</f>
        <v/>
      </c>
      <c r="BH3" s="7">
        <f>BH2+1</f>
        <v>46267</v>
      </c>
      <c r="BI3" s="8" t="str">
        <f>IF(COUNTIF('Tage Person1 Aus.'!$V$3:$AA$100, BH3)&gt;0, "S",IF(COUNTIF('Tage Person1 Aus.'!$A$3:$O$100, BH3)&gt;0, "U",IF(COUNTIF('Tage Person1 Aus.'!$AE$3:$AI$100, BH3)&gt;0, "h", "")))</f>
        <v/>
      </c>
      <c r="BJ3" s="8" t="str">
        <f>IF(COUNTIF('Tage Person2 Aus.2'!$V$3:$AA$100, BH3)&gt;0, "S",IF(COUNTIF('Tage Person2 Aus.2'!$A$3:$O$100, BH3)&gt;0, "U",IF(COUNTIF('Tage Person2 Aus.2'!$AE$3:$AI$100, BH3)&gt;0, "h", "")))</f>
        <v/>
      </c>
      <c r="BK3" s="8" t="str">
        <f>IF(COUNTIF('Tage Person3 Aus.3'!$V$3:$AA$100, BH3)&gt;0, "S",IF(COUNTIF('Tage Person3 Aus.3'!$A$3:$O$100, BH3)&gt;0, "U",IF(COUNTIF('Tage Person3 Aus.3'!$AE$3:$AI$100, BH3)&gt;0, "h", "")))</f>
        <v/>
      </c>
      <c r="BL3" s="8" t="str">
        <f>IF(COUNTIF('Tage Person4 Aus.4'!$V$3:$AA$100, BH3)&gt;0, "S",IF(COUNTIF('Tage Person4 Aus.4'!$A$3:$O$100, BH3)&gt;0, "U",IF(COUNTIF('Tage Person4 Aus.4'!$AE$3:$AI$100, BH3)&gt;0, "h", "")))</f>
        <v/>
      </c>
      <c r="BM3" s="8" t="str">
        <f>IF(COUNTIF('Tage ferien Aus.'!$A$3:$O$100, BH3)&gt;0, "E", "")</f>
        <v/>
      </c>
      <c r="BN3" s="8" t="str">
        <f>IF(COUNTIF('Tage feiertage Aus.'!$A$3:$O$100, BH3)&gt;0, "f", "")</f>
        <v/>
      </c>
      <c r="BO3" s="7">
        <f>BO2+1</f>
        <v>46297</v>
      </c>
      <c r="BP3" s="8" t="str">
        <f>IF(COUNTIF('Tage Person1 Aus.'!$V$3:$AA$100, BO3)&gt;0, "S",IF(COUNTIF('Tage Person1 Aus.'!$A$3:$O$100, BO3)&gt;0, "U",IF(COUNTIF('Tage Person1 Aus.'!$AE$3:$AI$100, BO3)&gt;0, "h", "")))</f>
        <v/>
      </c>
      <c r="BQ3" s="8" t="str">
        <f>IF(COUNTIF('Tage Person2 Aus.2'!$V$3:$AA$100, BO3)&gt;0, "S",IF(COUNTIF('Tage Person2 Aus.2'!$A$3:$O$100, BO3)&gt;0, "U",IF(COUNTIF('Tage Person2 Aus.2'!$AE$3:$AI$100, BO3)&gt;0, "h", "")))</f>
        <v/>
      </c>
      <c r="BR3" s="8" t="str">
        <f>IF(COUNTIF('Tage Person3 Aus.3'!$V$3:$AA$100, BO3)&gt;0, "S",IF(COUNTIF('Tage Person3 Aus.3'!$A$3:$O$100, BO3)&gt;0, "U",IF(COUNTIF('Tage Person3 Aus.3'!$AE$3:$AI$100, BO3)&gt;0, "h", "")))</f>
        <v/>
      </c>
      <c r="BS3" s="8" t="str">
        <f>IF(COUNTIF('Tage Person4 Aus.4'!$V$3:$AA$100, BO3)&gt;0, "S",IF(COUNTIF('Tage Person4 Aus.4'!$A$3:$O$100, BO3)&gt;0, "U",IF(COUNTIF('Tage Person4 Aus.4'!$AE$3:$AI$100, BO3)&gt;0, "h", "")))</f>
        <v/>
      </c>
      <c r="BT3" s="8" t="str">
        <f>IF(COUNTIF('Tage ferien Aus.'!$A$3:$O$100, BO3)&gt;0, "E", "")</f>
        <v/>
      </c>
      <c r="BU3" s="8" t="str">
        <f>IF(COUNTIF('Tage feiertage Aus.'!$A$3:$O$100, BO3)&gt;0, "f", "")</f>
        <v/>
      </c>
      <c r="BV3" s="7">
        <f>BV2+1</f>
        <v>46328</v>
      </c>
      <c r="BW3" s="8" t="str">
        <f>IF(COUNTIF('Tage Person1 Aus.'!$V$3:$AA$100, BV3)&gt;0, "S",IF(COUNTIF('Tage Person1 Aus.'!$A$3:$O$100, BV3)&gt;0, "U",IF(COUNTIF('Tage Person1 Aus.'!$AE$3:$AI$100, BV3)&gt;0, "h", "")))</f>
        <v/>
      </c>
      <c r="BX3" s="8" t="str">
        <f>IF(COUNTIF('Tage Person2 Aus.2'!$V$3:$AA$100, BV3)&gt;0, "S",IF(COUNTIF('Tage Person2 Aus.2'!$A$3:$O$100, BV3)&gt;0, "U",IF(COUNTIF('Tage Person2 Aus.2'!$AE$3:$AI$100, BV3)&gt;0, "h", "")))</f>
        <v/>
      </c>
      <c r="BY3" s="8" t="str">
        <f>IF(COUNTIF('Tage Person3 Aus.3'!$V$3:$AA$100, BV3)&gt;0, "S",IF(COUNTIF('Tage Person3 Aus.3'!$A$3:$O$100, BV3)&gt;0, "U",IF(COUNTIF('Tage Person3 Aus.3'!$AE$3:$AI$100, BV3)&gt;0, "h", "")))</f>
        <v/>
      </c>
      <c r="BZ3" s="8" t="str">
        <f>IF(COUNTIF('Tage Person4 Aus.4'!$V$3:$AA$100, BV3)&gt;0, "S",IF(COUNTIF('Tage Person4 Aus.4'!$A$3:$O$100, BV3)&gt;0, "U",IF(COUNTIF('Tage Person4 Aus.4'!$AE$3:$AI$100, BV3)&gt;0, "h", "")))</f>
        <v/>
      </c>
      <c r="CA3" s="8" t="str">
        <f>IF(COUNTIF('Tage ferien Aus.'!$A$3:$O$100, BV3)&gt;0, "E", "")</f>
        <v/>
      </c>
      <c r="CB3" s="8" t="str">
        <f>IF(COUNTIF('Tage feiertage Aus.'!$A$3:$O$100, BV3)&gt;0, "f", "")</f>
        <v/>
      </c>
      <c r="CC3" s="7">
        <f>CC2+1</f>
        <v>46358</v>
      </c>
      <c r="CD3" s="10" t="str">
        <f>IF(COUNTIF('Tage Person1 Aus.'!$V$3:$AA$100, CC3)&gt;0, "S",IF(COUNTIF('Tage Person1 Aus.'!$A$3:$O$100, CC3)&gt;0, "U",IF(COUNTIF('Tage Person1 Aus.'!$AE$3:$AI$100, CC3)&gt;0, "h", "")))</f>
        <v/>
      </c>
      <c r="CE3" s="11" t="str">
        <f>IF(COUNTIF('Tage Person2 Aus.2'!$V$3:$AA$100, CC3)&gt;0, "S",IF(COUNTIF('Tage Person2 Aus.2'!$A$3:$O$100, CC3)&gt;0, "U",IF(COUNTIF('Tage Person2 Aus.2'!$AE$3:$AI$100, CC3)&gt;0, "h", "")))</f>
        <v/>
      </c>
      <c r="CF3" s="12" t="str">
        <f>IF(COUNTIF('Tage Person3 Aus.3'!$V$3:$AA$100, CC3)&gt;0, "S",IF(COUNTIF('Tage Person3 Aus.3'!$A$3:$O$100, CC3)&gt;0, "U",IF(COUNTIF('Tage Person3 Aus.3'!$AE$3:$AI$100, CC3)&gt;0, "h", "")))</f>
        <v/>
      </c>
      <c r="CG3" s="10" t="str">
        <f>IF(COUNTIF('Tage Person4 Aus.4'!$V$3:$AA$100, CC3)&gt;0, "S",IF(COUNTIF('Tage Person4 Aus.4'!$A$3:$O$100, CC3)&gt;0, "U",IF(COUNTIF('Tage Person4 Aus.4'!$AE$3:$AI$100, CC3)&gt;0, "h", "")))</f>
        <v/>
      </c>
      <c r="CH3" s="11" t="str">
        <f>IF(COUNTIF('Tage ferien Aus.'!$A$3:$O$100, CC3)&gt;0, "E", "")</f>
        <v/>
      </c>
      <c r="CI3" s="12" t="str">
        <f>IF(COUNTIF('Tage feiertage Aus.'!$A$3:$O$100, CC3)&gt;0, "f", "")</f>
        <v/>
      </c>
      <c r="CJ3" s="4"/>
      <c r="CK3" s="4"/>
      <c r="CL3" s="6"/>
      <c r="CM3" s="4"/>
      <c r="CN3" s="2"/>
      <c r="CO3" s="3"/>
      <c r="CP3" s="4"/>
      <c r="CQ3" s="2"/>
      <c r="CR3" s="3"/>
      <c r="CS3" s="4"/>
      <c r="CT3" s="4"/>
      <c r="CU3" s="6"/>
      <c r="CV3" s="4"/>
      <c r="CW3" s="4"/>
      <c r="CX3" s="6"/>
      <c r="CY3" s="4"/>
    </row>
    <row r="4" spans="1:103" ht="14.4" customHeight="1" x14ac:dyDescent="0.3">
      <c r="A4" s="64"/>
      <c r="B4" s="58"/>
      <c r="C4" s="61"/>
      <c r="D4" s="7">
        <f t="shared" ref="D4:D32" si="0">D3+1</f>
        <v>46025</v>
      </c>
      <c r="E4" s="8" t="str">
        <f>IF(COUNTIF('Tage Person1 Aus.'!$V$3:$AA$100, D4)&gt;0, "S",IF(COUNTIF('Tage Person1 Aus.'!$A$3:$O$100, D4)&gt;0, "U",IF(COUNTIF('Tage Person1 Aus.'!$AE$3:$AI$100, D4)&gt;0, "h", "")))</f>
        <v/>
      </c>
      <c r="F4" s="8" t="str">
        <f>IF(COUNTIF('Tage Person2 Aus.2'!$V$3:$AA$100, D4)&gt;0, "S",IF(COUNTIF('Tage Person2 Aus.2'!$A$3:$O$100, D4)&gt;0, "U",IF(COUNTIF('Tage Person2 Aus.2'!$AE$3:$AI$100, D4)&gt;0, "h", "")))</f>
        <v/>
      </c>
      <c r="G4" s="8" t="str">
        <f>IF(COUNTIF('Tage Person3 Aus.3'!$V$3:$AA$100, D4)&gt;0, "S",IF(COUNTIF('Tage Person3 Aus.3'!$A$3:$O$100, D4)&gt;0, "U",IF(COUNTIF('Tage Person3 Aus.3'!$AE$3:$AI$100, D4)&gt;0, "h", "")))</f>
        <v/>
      </c>
      <c r="H4" s="8" t="str">
        <f>IF(COUNTIF('Tage Person4 Aus.4'!$V$3:$AA$100, D4)&gt;0, "S",IF(COUNTIF('Tage Person4 Aus.4'!$A$3:$O$100, D4)&gt;0, "U",IF(COUNTIF('Tage Person4 Aus.4'!$AE$3:$AI$100, D4)&gt;0, "h", "")))</f>
        <v/>
      </c>
      <c r="I4" s="8" t="str">
        <f>IF(COUNTIF('Tage ferien Aus.'!$A$3:$O$100, D4)&gt;0, "E", "")</f>
        <v/>
      </c>
      <c r="J4" s="8" t="str">
        <f>IF(COUNTIF('Tage feiertage Aus.'!$A$3:$O$100, D4)&gt;0, "f", "")</f>
        <v/>
      </c>
      <c r="K4" s="7">
        <f t="shared" ref="K4:K32" si="1">K3+1</f>
        <v>46056</v>
      </c>
      <c r="L4" s="8" t="str">
        <f>IF(COUNTIF('Tage Person1 Aus.'!$V$3:$AA$100, K4)&gt;0, "S",IF(COUNTIF('Tage Person1 Aus.'!$A$3:$O$100, K4)&gt;0, "U",IF(COUNTIF('Tage Person1 Aus.'!$AE$3:$AI$100, K4)&gt;0, "h", "")))</f>
        <v/>
      </c>
      <c r="M4" s="8" t="str">
        <f>IF(COUNTIF('Tage Person2 Aus.2'!$V$3:$AA$100, K4)&gt;0, "S",IF(COUNTIF('Tage Person2 Aus.2'!$A$3:$O$100, K4)&gt;0, "U",IF(COUNTIF('Tage Person2 Aus.2'!$AE$3:$AI$100, K4)&gt;0, "h", "")))</f>
        <v/>
      </c>
      <c r="N4" s="8" t="str">
        <f>IF(COUNTIF('Tage Person3 Aus.3'!$V$3:$AA$100, K4)&gt;0, "S",IF(COUNTIF('Tage Person3 Aus.3'!$A$3:$O$100, K4)&gt;0, "U",IF(COUNTIF('Tage Person3 Aus.3'!$AE$3:$AI$100, K4)&gt;0, "h", "")))</f>
        <v/>
      </c>
      <c r="O4" s="8" t="str">
        <f>IF(COUNTIF('Tage Person4 Aus.4'!$V$3:$AA$100, K4)&gt;0, "S",IF(COUNTIF('Tage Person4 Aus.4'!$A$3:$O$100, K4)&gt;0, "U",IF(COUNTIF('Tage Person4 Aus.4'!$AE$3:$AI$100, K4)&gt;0, "h", "")))</f>
        <v/>
      </c>
      <c r="P4" s="8" t="str">
        <f>IF(COUNTIF('Tage ferien Aus.'!$A$3:$O$100, K4)&gt;0, "E", "")</f>
        <v/>
      </c>
      <c r="Q4" s="8" t="str">
        <f>IF(COUNTIF('Tage feiertage Aus.'!$A$3:$O$100, K4)&gt;0, "f", "")</f>
        <v/>
      </c>
      <c r="R4" s="7">
        <f t="shared" ref="R4:R32" si="2">R3+1</f>
        <v>46084</v>
      </c>
      <c r="S4" s="8" t="str">
        <f>IF(COUNTIF('Tage Person1 Aus.'!$V$3:$AA$100, R4)&gt;0, "S",IF(COUNTIF('Tage Person1 Aus.'!$A$3:$O$100, R4)&gt;0, "U",IF(COUNTIF('Tage Person1 Aus.'!$AE$3:$AI$100, R4)&gt;0, "h", "")))</f>
        <v/>
      </c>
      <c r="T4" s="8" t="str">
        <f>IF(COUNTIF('Tage Person2 Aus.2'!$V$3:$AA$100, R4)&gt;0, "S",IF(COUNTIF('Tage Person2 Aus.2'!$A$3:$O$100, R4)&gt;0, "U",IF(COUNTIF('Tage Person2 Aus.2'!$AE$3:$AI$100, R4)&gt;0, "h", "")))</f>
        <v/>
      </c>
      <c r="U4" s="8" t="str">
        <f>IF(COUNTIF('Tage Person3 Aus.3'!$V$3:$AA$100, R4)&gt;0, "S",IF(COUNTIF('Tage Person3 Aus.3'!$A$3:$O$100, R4)&gt;0, "U",IF(COUNTIF('Tage Person3 Aus.3'!$AE$3:$AI$100, R4)&gt;0, "h", "")))</f>
        <v/>
      </c>
      <c r="V4" s="8" t="str">
        <f>IF(COUNTIF('Tage Person4 Aus.4'!$V$3:$AA$100, R4)&gt;0, "S",IF(COUNTIF('Tage Person4 Aus.4'!$A$3:$O$100, R4)&gt;0, "U",IF(COUNTIF('Tage Person4 Aus.4'!$AE$3:$AI$100, R4)&gt;0, "h", "")))</f>
        <v/>
      </c>
      <c r="W4" s="8" t="str">
        <f>IF(COUNTIF('Tage ferien Aus.'!$A$3:$O$100, R4)&gt;0, "E", "")</f>
        <v/>
      </c>
      <c r="X4" s="8" t="str">
        <f>IF(COUNTIF('Tage feiertage Aus.'!$A$3:$O$100, R4)&gt;0, "f", "")</f>
        <v/>
      </c>
      <c r="Y4" s="7">
        <f t="shared" ref="Y4:Y32" si="3">Y3+1</f>
        <v>46115</v>
      </c>
      <c r="Z4" s="8" t="str">
        <f>IF(COUNTIF('Tage Person1 Aus.'!$V$3:$AA$100, Y4)&gt;0, "S",IF(COUNTIF('Tage Person1 Aus.'!$A$3:$O$100, Y4)&gt;0, "U",IF(COUNTIF('Tage Person1 Aus.'!$AE$3:$AI$100, Y4)&gt;0, "h", "")))</f>
        <v/>
      </c>
      <c r="AA4" s="8" t="str">
        <f>IF(COUNTIF('Tage Person2 Aus.2'!$V$3:$AA$100, Y4)&gt;0, "S",IF(COUNTIF('Tage Person2 Aus.2'!$A$3:$O$100, Y4)&gt;0, "U",IF(COUNTIF('Tage Person2 Aus.2'!$AE$3:$AI$100, Y4)&gt;0, "h", "")))</f>
        <v/>
      </c>
      <c r="AB4" s="8" t="str">
        <f>IF(COUNTIF('Tage Person3 Aus.3'!$V$3:$AA$100, Y4)&gt;0, "S",IF(COUNTIF('Tage Person3 Aus.3'!$A$3:$O$100, Y4)&gt;0, "U",IF(COUNTIF('Tage Person3 Aus.3'!$AE$3:$AI$100, Y4)&gt;0, "h", "")))</f>
        <v/>
      </c>
      <c r="AC4" s="8" t="str">
        <f>IF(COUNTIF('Tage Person4 Aus.4'!$V$3:$AA$100, Y4)&gt;0, "S",IF(COUNTIF('Tage Person4 Aus.4'!$A$3:$O$100, Y4)&gt;0, "U",IF(COUNTIF('Tage Person4 Aus.4'!$AE$3:$AI$100, Y4)&gt;0, "h", "")))</f>
        <v/>
      </c>
      <c r="AD4" s="8" t="str">
        <f>IF(COUNTIF('Tage ferien Aus.'!$A$3:$O$100, Y4)&gt;0, "E", "")</f>
        <v>E</v>
      </c>
      <c r="AE4" s="8" t="str">
        <f>IF(COUNTIF('Tage feiertage Aus.'!$A$3:$O$100, Y4)&gt;0, "f", "")</f>
        <v>f</v>
      </c>
      <c r="AF4" s="7">
        <f t="shared" ref="AF4:AF32" si="4">AF3+1</f>
        <v>46145</v>
      </c>
      <c r="AG4" s="9" t="str">
        <f>IF(COUNTIF('Tage Person1 Aus.'!$V$3:$AA$100, AF4)&gt;0, "S",IF(COUNTIF('Tage Person1 Aus.'!$A$3:$O$100, AF4)&gt;0, "U",IF(COUNTIF('Tage Person1 Aus.'!$AE$3:$AI$100, AF4)&gt;0, "h", "")))</f>
        <v/>
      </c>
      <c r="AH4" s="8" t="str">
        <f>IF(COUNTIF('Tage Person2 Aus.2'!$V$3:$AA$100, AF4)&gt;0, "S",IF(COUNTIF('Tage Person2 Aus.2'!$A$3:$O$100, AF4)&gt;0, "U",IF(COUNTIF('Tage Person2 Aus.2'!$AE$3:$AI$100, AF4)&gt;0, "h", "")))</f>
        <v/>
      </c>
      <c r="AI4" s="8" t="str">
        <f>IF(COUNTIF('Tage Person3 Aus.3'!$V$3:$AA$100, AF4)&gt;0, "S",IF(COUNTIF('Tage Person3 Aus.3'!$A$3:$O$100, AF4)&gt;0, "U",IF(COUNTIF('Tage Person3 Aus.3'!$AE$3:$AI$100, AF4)&gt;0, "h", "")))</f>
        <v/>
      </c>
      <c r="AJ4" s="8" t="str">
        <f>IF(COUNTIF('Tage Person4 Aus.4'!$V$3:$AA$100, AF4)&gt;0, "S",IF(COUNTIF('Tage Person4 Aus.4'!$A$3:$O$100, AF4)&gt;0, "U",IF(COUNTIF('Tage Person4 Aus.4'!$AE$3:$AI$100, AF4)&gt;0, "h", "")))</f>
        <v/>
      </c>
      <c r="AK4" s="8" t="str">
        <f>IF(COUNTIF('Tage ferien Aus.'!$A$3:$O$100, AF4)&gt;0, "E", "")</f>
        <v/>
      </c>
      <c r="AL4" s="8" t="str">
        <f>IF(COUNTIF('Tage feiertage Aus.'!$A$3:$O$100, AF4)&gt;0, "f", "")</f>
        <v/>
      </c>
      <c r="AM4" s="7">
        <f t="shared" ref="AM4:AM32" si="5">AM3+1</f>
        <v>46176</v>
      </c>
      <c r="AN4" s="8" t="str">
        <f>IF(COUNTIF('Tage Person1 Aus.'!$V$3:$AA$100, AM4)&gt;0, "S",IF(COUNTIF('Tage Person1 Aus.'!$A$3:$O$100, AM4)&gt;0, "U",IF(COUNTIF('Tage Person1 Aus.'!$AE$3:$AI$100, AM4)&gt;0, "h", "")))</f>
        <v/>
      </c>
      <c r="AO4" s="8" t="str">
        <f>IF(COUNTIF('Tage Person2 Aus.2'!$V$3:$AA$100, AM4)&gt;0, "S",IF(COUNTIF('Tage Person2 Aus.2'!$A$3:$O$100, AM4)&gt;0, "U",IF(COUNTIF('Tage Person2 Aus.2'!$AE$3:$AI$100, AM4)&gt;0, "h", "")))</f>
        <v/>
      </c>
      <c r="AP4" s="8" t="str">
        <f>IF(COUNTIF('Tage Person3 Aus.3'!$V$3:$AA$100, AM4)&gt;0, "S",IF(COUNTIF('Tage Person3 Aus.3'!$A$3:$O$100, AM4)&gt;0, "U",IF(COUNTIF('Tage Person3 Aus.3'!$AE$3:$AI$100, AM4)&gt;0, "h", "")))</f>
        <v/>
      </c>
      <c r="AQ4" s="8" t="str">
        <f>IF(COUNTIF('Tage Person4 Aus.4'!$V$3:$AA$100, AM4)&gt;0, "S",IF(COUNTIF('Tage Person4 Aus.4'!$A$3:$O$100, AM4)&gt;0, "U",IF(COUNTIF('Tage Person4 Aus.4'!$AE$3:$AI$100, AM4)&gt;0, "h", "")))</f>
        <v/>
      </c>
      <c r="AR4" s="8" t="str">
        <f>IF(COUNTIF('Tage ferien Aus.'!$A$3:$O$100, AM4)&gt;0, "E", "")</f>
        <v/>
      </c>
      <c r="AS4" s="8" t="str">
        <f>IF(COUNTIF('Tage feiertage Aus.'!$A$3:$O$100, AM4)&gt;0, "f", "")</f>
        <v/>
      </c>
      <c r="AT4" s="7">
        <f t="shared" ref="AT4:AT32" si="6">AT3+1</f>
        <v>46206</v>
      </c>
      <c r="AU4" s="8" t="str">
        <f>IF(COUNTIF('Tage Person1 Aus.'!$V$3:$AA$100, AT4)&gt;0, "S",IF(COUNTIF('Tage Person1 Aus.'!$A$3:$O$100, AT4)&gt;0, "U",IF(COUNTIF('Tage Person1 Aus.'!$AE$3:$AI$100, AT4)&gt;0, "h", "")))</f>
        <v/>
      </c>
      <c r="AV4" s="8" t="str">
        <f>IF(COUNTIF('Tage Person2 Aus.2'!$V$3:$AA$100, AT4)&gt;0, "S",IF(COUNTIF('Tage Person2 Aus.2'!$A$3:$O$100, AT4)&gt;0, "U",IF(COUNTIF('Tage Person2 Aus.2'!$AE$3:$AI$100, AT4)&gt;0, "h", "")))</f>
        <v/>
      </c>
      <c r="AW4" s="8" t="str">
        <f>IF(COUNTIF('Tage Person3 Aus.3'!$V$3:$AA$100, AT4)&gt;0, "S",IF(COUNTIF('Tage Person3 Aus.3'!$A$3:$O$100, AT4)&gt;0, "U",IF(COUNTIF('Tage Person3 Aus.3'!$AE$3:$AI$100, AT4)&gt;0, "h", "")))</f>
        <v/>
      </c>
      <c r="AX4" s="8" t="str">
        <f>IF(COUNTIF('Tage Person4 Aus.4'!$V$3:$AA$100, AT4)&gt;0, "S",IF(COUNTIF('Tage Person4 Aus.4'!$A$3:$O$100, AT4)&gt;0, "U",IF(COUNTIF('Tage Person4 Aus.4'!$AE$3:$AI$100, AT4)&gt;0, "h", "")))</f>
        <v/>
      </c>
      <c r="AY4" s="8" t="str">
        <f>IF(COUNTIF('Tage ferien Aus.'!$A$3:$O$100, AT4)&gt;0, "E", "")</f>
        <v/>
      </c>
      <c r="AZ4" s="8" t="str">
        <f>IF(COUNTIF('Tage feiertage Aus.'!$A$3:$O$100, AT4)&gt;0, "f", "")</f>
        <v/>
      </c>
      <c r="BA4" s="7">
        <f t="shared" ref="BA4:BA32" si="7">BA3+1</f>
        <v>46237</v>
      </c>
      <c r="BB4" s="8" t="str">
        <f>IF(COUNTIF('Tage Person1 Aus.'!$V$3:$AA$100, BA4)&gt;0, "S",IF(COUNTIF('Tage Person1 Aus.'!$A$3:$O$100, BA4)&gt;0, "U",IF(COUNTIF('Tage Person1 Aus.'!$AE$3:$AI$100, BA4)&gt;0, "h", "")))</f>
        <v/>
      </c>
      <c r="BC4" s="8" t="str">
        <f>IF(COUNTIF('Tage Person2 Aus.2'!$V$3:$AA$100, BA4)&gt;0, "S",IF(COUNTIF('Tage Person2 Aus.2'!$A$3:$O$100, BA4)&gt;0, "U",IF(COUNTIF('Tage Person2 Aus.2'!$AE$3:$AI$100, BA4)&gt;0, "h", "")))</f>
        <v/>
      </c>
      <c r="BD4" s="8" t="str">
        <f>IF(COUNTIF('Tage Person3 Aus.3'!$V$3:$AA$100, BA4)&gt;0, "S",IF(COUNTIF('Tage Person3 Aus.3'!$A$3:$O$100, BA4)&gt;0, "U",IF(COUNTIF('Tage Person3 Aus.3'!$AE$3:$AI$100, BA4)&gt;0, "h", "")))</f>
        <v/>
      </c>
      <c r="BE4" s="8" t="str">
        <f>IF(COUNTIF('Tage Person4 Aus.4'!$V$3:$AA$100, BA4)&gt;0, "S",IF(COUNTIF('Tage Person4 Aus.4'!$A$3:$O$100, BA4)&gt;0, "U",IF(COUNTIF('Tage Person4 Aus.4'!$AE$3:$AI$100, BA4)&gt;0, "h", "")))</f>
        <v/>
      </c>
      <c r="BF4" s="8" t="str">
        <f>IF(COUNTIF('Tage ferien Aus.'!$A$3:$O$100, BA4)&gt;0, "E", "")</f>
        <v>E</v>
      </c>
      <c r="BG4" s="8" t="str">
        <f>IF(COUNTIF('Tage feiertage Aus.'!$A$3:$O$100, BA4)&gt;0, "f", "")</f>
        <v/>
      </c>
      <c r="BH4" s="7">
        <f t="shared" ref="BH4:BH32" si="8">BH3+1</f>
        <v>46268</v>
      </c>
      <c r="BI4" s="8" t="str">
        <f>IF(COUNTIF('Tage Person1 Aus.'!$V$3:$AA$100, BH4)&gt;0, "S",IF(COUNTIF('Tage Person1 Aus.'!$A$3:$O$100, BH4)&gt;0, "U",IF(COUNTIF('Tage Person1 Aus.'!$AE$3:$AI$100, BH4)&gt;0, "h", "")))</f>
        <v/>
      </c>
      <c r="BJ4" s="8" t="str">
        <f>IF(COUNTIF('Tage Person2 Aus.2'!$V$3:$AA$100, BH4)&gt;0, "S",IF(COUNTIF('Tage Person2 Aus.2'!$A$3:$O$100, BH4)&gt;0, "U",IF(COUNTIF('Tage Person2 Aus.2'!$AE$3:$AI$100, BH4)&gt;0, "h", "")))</f>
        <v/>
      </c>
      <c r="BK4" s="8" t="str">
        <f>IF(COUNTIF('Tage Person3 Aus.3'!$V$3:$AA$100, BH4)&gt;0, "S",IF(COUNTIF('Tage Person3 Aus.3'!$A$3:$O$100, BH4)&gt;0, "U",IF(COUNTIF('Tage Person3 Aus.3'!$AE$3:$AI$100, BH4)&gt;0, "h", "")))</f>
        <v/>
      </c>
      <c r="BL4" s="8" t="str">
        <f>IF(COUNTIF('Tage Person4 Aus.4'!$V$3:$AA$100, BH4)&gt;0, "S",IF(COUNTIF('Tage Person4 Aus.4'!$A$3:$O$100, BH4)&gt;0, "U",IF(COUNTIF('Tage Person4 Aus.4'!$AE$3:$AI$100, BH4)&gt;0, "h", "")))</f>
        <v/>
      </c>
      <c r="BM4" s="8" t="str">
        <f>IF(COUNTIF('Tage ferien Aus.'!$A$3:$O$100, BH4)&gt;0, "E", "")</f>
        <v/>
      </c>
      <c r="BN4" s="8" t="str">
        <f>IF(COUNTIF('Tage feiertage Aus.'!$A$3:$O$100, BH4)&gt;0, "f", "")</f>
        <v/>
      </c>
      <c r="BO4" s="7">
        <f t="shared" ref="BO4:BO32" si="9">BO3+1</f>
        <v>46298</v>
      </c>
      <c r="BP4" s="8" t="str">
        <f>IF(COUNTIF('Tage Person1 Aus.'!$V$3:$AA$100, BO4)&gt;0, "S",IF(COUNTIF('Tage Person1 Aus.'!$A$3:$O$100, BO4)&gt;0, "U",IF(COUNTIF('Tage Person1 Aus.'!$AE$3:$AI$100, BO4)&gt;0, "h", "")))</f>
        <v/>
      </c>
      <c r="BQ4" s="8" t="str">
        <f>IF(COUNTIF('Tage Person2 Aus.2'!$V$3:$AA$100, BO4)&gt;0, "S",IF(COUNTIF('Tage Person2 Aus.2'!$A$3:$O$100, BO4)&gt;0, "U",IF(COUNTIF('Tage Person2 Aus.2'!$AE$3:$AI$100, BO4)&gt;0, "h", "")))</f>
        <v/>
      </c>
      <c r="BR4" s="8" t="str">
        <f>IF(COUNTIF('Tage Person3 Aus.3'!$V$3:$AA$100, BO4)&gt;0, "S",IF(COUNTIF('Tage Person3 Aus.3'!$A$3:$O$100, BO4)&gt;0, "U",IF(COUNTIF('Tage Person3 Aus.3'!$AE$3:$AI$100, BO4)&gt;0, "h", "")))</f>
        <v/>
      </c>
      <c r="BS4" s="8" t="str">
        <f>IF(COUNTIF('Tage Person4 Aus.4'!$V$3:$AA$100, BO4)&gt;0, "S",IF(COUNTIF('Tage Person4 Aus.4'!$A$3:$O$100, BO4)&gt;0, "U",IF(COUNTIF('Tage Person4 Aus.4'!$AE$3:$AI$100, BO4)&gt;0, "h", "")))</f>
        <v/>
      </c>
      <c r="BT4" s="8" t="str">
        <f>IF(COUNTIF('Tage ferien Aus.'!$A$3:$O$100, BO4)&gt;0, "E", "")</f>
        <v/>
      </c>
      <c r="BU4" s="8" t="str">
        <f>IF(COUNTIF('Tage feiertage Aus.'!$A$3:$O$100, BO4)&gt;0, "f", "")</f>
        <v>f</v>
      </c>
      <c r="BV4" s="7">
        <f t="shared" ref="BV4:BV32" si="10">BV3+1</f>
        <v>46329</v>
      </c>
      <c r="BW4" s="8" t="str">
        <f>IF(COUNTIF('Tage Person1 Aus.'!$V$3:$AA$100, BV4)&gt;0, "S",IF(COUNTIF('Tage Person1 Aus.'!$A$3:$O$100, BV4)&gt;0, "U",IF(COUNTIF('Tage Person1 Aus.'!$AE$3:$AI$100, BV4)&gt;0, "h", "")))</f>
        <v/>
      </c>
      <c r="BX4" s="8" t="str">
        <f>IF(COUNTIF('Tage Person2 Aus.2'!$V$3:$AA$100, BV4)&gt;0, "S",IF(COUNTIF('Tage Person2 Aus.2'!$A$3:$O$100, BV4)&gt;0, "U",IF(COUNTIF('Tage Person2 Aus.2'!$AE$3:$AI$100, BV4)&gt;0, "h", "")))</f>
        <v/>
      </c>
      <c r="BY4" s="8" t="str">
        <f>IF(COUNTIF('Tage Person3 Aus.3'!$V$3:$AA$100, BV4)&gt;0, "S",IF(COUNTIF('Tage Person3 Aus.3'!$A$3:$O$100, BV4)&gt;0, "U",IF(COUNTIF('Tage Person3 Aus.3'!$AE$3:$AI$100, BV4)&gt;0, "h", "")))</f>
        <v/>
      </c>
      <c r="BZ4" s="8" t="str">
        <f>IF(COUNTIF('Tage Person4 Aus.4'!$V$3:$AA$100, BV4)&gt;0, "S",IF(COUNTIF('Tage Person4 Aus.4'!$A$3:$O$100, BV4)&gt;0, "U",IF(COUNTIF('Tage Person4 Aus.4'!$AE$3:$AI$100, BV4)&gt;0, "h", "")))</f>
        <v/>
      </c>
      <c r="CA4" s="8" t="str">
        <f>IF(COUNTIF('Tage ferien Aus.'!$A$3:$O$100, BV4)&gt;0, "E", "")</f>
        <v/>
      </c>
      <c r="CB4" s="8" t="str">
        <f>IF(COUNTIF('Tage feiertage Aus.'!$A$3:$O$100, BV4)&gt;0, "f", "")</f>
        <v/>
      </c>
      <c r="CC4" s="7">
        <f t="shared" ref="CC4:CC32" si="11">CC3+1</f>
        <v>46359</v>
      </c>
      <c r="CD4" s="10" t="str">
        <f>IF(COUNTIF('Tage Person1 Aus.'!$V$3:$AA$100, CC4)&gt;0, "S",IF(COUNTIF('Tage Person1 Aus.'!$A$3:$O$100, CC4)&gt;0, "U",IF(COUNTIF('Tage Person1 Aus.'!$AE$3:$AI$100, CC4)&gt;0, "h", "")))</f>
        <v/>
      </c>
      <c r="CE4" s="11" t="str">
        <f>IF(COUNTIF('Tage Person2 Aus.2'!$V$3:$AA$100, CC4)&gt;0, "S",IF(COUNTIF('Tage Person2 Aus.2'!$A$3:$O$100, CC4)&gt;0, "U",IF(COUNTIF('Tage Person2 Aus.2'!$AE$3:$AI$100, CC4)&gt;0, "h", "")))</f>
        <v/>
      </c>
      <c r="CF4" s="12" t="str">
        <f>IF(COUNTIF('Tage Person3 Aus.3'!$V$3:$AA$100, CC4)&gt;0, "S",IF(COUNTIF('Tage Person3 Aus.3'!$A$3:$O$100, CC4)&gt;0, "U",IF(COUNTIF('Tage Person3 Aus.3'!$AE$3:$AI$100, CC4)&gt;0, "h", "")))</f>
        <v/>
      </c>
      <c r="CG4" s="10" t="str">
        <f>IF(COUNTIF('Tage Person4 Aus.4'!$V$3:$AA$100, CC4)&gt;0, "S",IF(COUNTIF('Tage Person4 Aus.4'!$A$3:$O$100, CC4)&gt;0, "U",IF(COUNTIF('Tage Person4 Aus.4'!$AE$3:$AI$100, CC4)&gt;0, "h", "")))</f>
        <v/>
      </c>
      <c r="CH4" s="11" t="str">
        <f>IF(COUNTIF('Tage ferien Aus.'!$A$3:$O$100, CC4)&gt;0, "E", "")</f>
        <v/>
      </c>
      <c r="CI4" s="12" t="str">
        <f>IF(COUNTIF('Tage feiertage Aus.'!$A$3:$O$100, CC4)&gt;0, "f", "")</f>
        <v/>
      </c>
      <c r="CJ4" s="4"/>
      <c r="CK4" s="4"/>
      <c r="CL4" s="6"/>
      <c r="CM4" s="4"/>
      <c r="CN4" s="2"/>
      <c r="CO4" s="3"/>
      <c r="CP4" s="4"/>
      <c r="CQ4" s="2"/>
      <c r="CR4" s="3"/>
      <c r="CS4" s="4"/>
      <c r="CT4" s="4"/>
      <c r="CU4" s="6"/>
      <c r="CV4" s="4"/>
      <c r="CW4" s="4"/>
      <c r="CX4" s="6"/>
      <c r="CY4" s="4"/>
    </row>
    <row r="5" spans="1:103" ht="14.4" customHeight="1" x14ac:dyDescent="0.3">
      <c r="A5" s="64"/>
      <c r="B5" s="58"/>
      <c r="C5" s="61"/>
      <c r="D5" s="7">
        <f t="shared" si="0"/>
        <v>46026</v>
      </c>
      <c r="E5" s="8" t="str">
        <f>IF(COUNTIF('Tage Person1 Aus.'!$V$3:$AA$100, D5)&gt;0, "S",IF(COUNTIF('Tage Person1 Aus.'!$A$3:$O$100, D5)&gt;0, "U",IF(COUNTIF('Tage Person1 Aus.'!$AE$3:$AI$100, D5)&gt;0, "h", "")))</f>
        <v/>
      </c>
      <c r="F5" s="8" t="str">
        <f>IF(COUNTIF('Tage Person2 Aus.2'!$V$3:$AA$100, D5)&gt;0, "S",IF(COUNTIF('Tage Person2 Aus.2'!$A$3:$O$100, D5)&gt;0, "U",IF(COUNTIF('Tage Person2 Aus.2'!$AE$3:$AI$100, D5)&gt;0, "h", "")))</f>
        <v/>
      </c>
      <c r="G5" s="8" t="str">
        <f>IF(COUNTIF('Tage Person3 Aus.3'!$V$3:$AA$100, D5)&gt;0, "S",IF(COUNTIF('Tage Person3 Aus.3'!$A$3:$O$100, D5)&gt;0, "U",IF(COUNTIF('Tage Person3 Aus.3'!$AE$3:$AI$100, D5)&gt;0, "h", "")))</f>
        <v/>
      </c>
      <c r="H5" s="8" t="str">
        <f>IF(COUNTIF('Tage Person4 Aus.4'!$V$3:$AA$100, D5)&gt;0, "S",IF(COUNTIF('Tage Person4 Aus.4'!$A$3:$O$100, D5)&gt;0, "U",IF(COUNTIF('Tage Person4 Aus.4'!$AE$3:$AI$100, D5)&gt;0, "h", "")))</f>
        <v/>
      </c>
      <c r="I5" s="8" t="str">
        <f>IF(COUNTIF('Tage ferien Aus.'!$A$3:$O$100, D5)&gt;0, "E", "")</f>
        <v/>
      </c>
      <c r="J5" s="8" t="str">
        <f>IF(COUNTIF('Tage feiertage Aus.'!$A$3:$O$100, D5)&gt;0, "f", "")</f>
        <v/>
      </c>
      <c r="K5" s="7">
        <f t="shared" si="1"/>
        <v>46057</v>
      </c>
      <c r="L5" s="8" t="str">
        <f>IF(COUNTIF('Tage Person1 Aus.'!$V$3:$AA$100, K5)&gt;0, "S",IF(COUNTIF('Tage Person1 Aus.'!$A$3:$O$100, K5)&gt;0, "U",IF(COUNTIF('Tage Person1 Aus.'!$AE$3:$AI$100, K5)&gt;0, "h", "")))</f>
        <v/>
      </c>
      <c r="M5" s="8" t="str">
        <f>IF(COUNTIF('Tage Person2 Aus.2'!$V$3:$AA$100, K5)&gt;0, "S",IF(COUNTIF('Tage Person2 Aus.2'!$A$3:$O$100, K5)&gt;0, "U",IF(COUNTIF('Tage Person2 Aus.2'!$AE$3:$AI$100, K5)&gt;0, "h", "")))</f>
        <v/>
      </c>
      <c r="N5" s="8" t="str">
        <f>IF(COUNTIF('Tage Person3 Aus.3'!$V$3:$AA$100, K5)&gt;0, "S",IF(COUNTIF('Tage Person3 Aus.3'!$A$3:$O$100, K5)&gt;0, "U",IF(COUNTIF('Tage Person3 Aus.3'!$AE$3:$AI$100, K5)&gt;0, "h", "")))</f>
        <v/>
      </c>
      <c r="O5" s="8" t="str">
        <f>IF(COUNTIF('Tage Person4 Aus.4'!$V$3:$AA$100, K5)&gt;0, "S",IF(COUNTIF('Tage Person4 Aus.4'!$A$3:$O$100, K5)&gt;0, "U",IF(COUNTIF('Tage Person4 Aus.4'!$AE$3:$AI$100, K5)&gt;0, "h", "")))</f>
        <v/>
      </c>
      <c r="P5" s="8" t="str">
        <f>IF(COUNTIF('Tage ferien Aus.'!$A$3:$O$100, K5)&gt;0, "E", "")</f>
        <v/>
      </c>
      <c r="Q5" s="8" t="str">
        <f>IF(COUNTIF('Tage feiertage Aus.'!$A$3:$O$100, K5)&gt;0, "f", "")</f>
        <v/>
      </c>
      <c r="R5" s="7">
        <f t="shared" si="2"/>
        <v>46085</v>
      </c>
      <c r="S5" s="8" t="str">
        <f>IF(COUNTIF('Tage Person1 Aus.'!$V$3:$AA$100, R5)&gt;0, "S",IF(COUNTIF('Tage Person1 Aus.'!$A$3:$O$100, R5)&gt;0, "U",IF(COUNTIF('Tage Person1 Aus.'!$AE$3:$AI$100, R5)&gt;0, "h", "")))</f>
        <v/>
      </c>
      <c r="T5" s="8" t="str">
        <f>IF(COUNTIF('Tage Person2 Aus.2'!$V$3:$AA$100, R5)&gt;0, "S",IF(COUNTIF('Tage Person2 Aus.2'!$A$3:$O$100, R5)&gt;0, "U",IF(COUNTIF('Tage Person2 Aus.2'!$AE$3:$AI$100, R5)&gt;0, "h", "")))</f>
        <v/>
      </c>
      <c r="U5" s="8" t="str">
        <f>IF(COUNTIF('Tage Person3 Aus.3'!$V$3:$AA$100, R5)&gt;0, "S",IF(COUNTIF('Tage Person3 Aus.3'!$A$3:$O$100, R5)&gt;0, "U",IF(COUNTIF('Tage Person3 Aus.3'!$AE$3:$AI$100, R5)&gt;0, "h", "")))</f>
        <v/>
      </c>
      <c r="V5" s="8" t="str">
        <f>IF(COUNTIF('Tage Person4 Aus.4'!$V$3:$AA$100, R5)&gt;0, "S",IF(COUNTIF('Tage Person4 Aus.4'!$A$3:$O$100, R5)&gt;0, "U",IF(COUNTIF('Tage Person4 Aus.4'!$AE$3:$AI$100, R5)&gt;0, "h", "")))</f>
        <v/>
      </c>
      <c r="W5" s="8" t="str">
        <f>IF(COUNTIF('Tage ferien Aus.'!$A$3:$O$100, R5)&gt;0, "E", "")</f>
        <v/>
      </c>
      <c r="X5" s="8" t="str">
        <f>IF(COUNTIF('Tage feiertage Aus.'!$A$3:$O$100, R5)&gt;0, "f", "")</f>
        <v/>
      </c>
      <c r="Y5" s="7">
        <f t="shared" si="3"/>
        <v>46116</v>
      </c>
      <c r="Z5" s="8" t="str">
        <f>IF(COUNTIF('Tage Person1 Aus.'!$V$3:$AA$100, Y5)&gt;0, "S",IF(COUNTIF('Tage Person1 Aus.'!$A$3:$O$100, Y5)&gt;0, "U",IF(COUNTIF('Tage Person1 Aus.'!$AE$3:$AI$100, Y5)&gt;0, "h", "")))</f>
        <v/>
      </c>
      <c r="AA5" s="8" t="str">
        <f>IF(COUNTIF('Tage Person2 Aus.2'!$V$3:$AA$100, Y5)&gt;0, "S",IF(COUNTIF('Tage Person2 Aus.2'!$A$3:$O$100, Y5)&gt;0, "U",IF(COUNTIF('Tage Person2 Aus.2'!$AE$3:$AI$100, Y5)&gt;0, "h", "")))</f>
        <v/>
      </c>
      <c r="AB5" s="8" t="str">
        <f>IF(COUNTIF('Tage Person3 Aus.3'!$V$3:$AA$100, Y5)&gt;0, "S",IF(COUNTIF('Tage Person3 Aus.3'!$A$3:$O$100, Y5)&gt;0, "U",IF(COUNTIF('Tage Person3 Aus.3'!$AE$3:$AI$100, Y5)&gt;0, "h", "")))</f>
        <v/>
      </c>
      <c r="AC5" s="8" t="str">
        <f>IF(COUNTIF('Tage Person4 Aus.4'!$V$3:$AA$100, Y5)&gt;0, "S",IF(COUNTIF('Tage Person4 Aus.4'!$A$3:$O$100, Y5)&gt;0, "U",IF(COUNTIF('Tage Person4 Aus.4'!$AE$3:$AI$100, Y5)&gt;0, "h", "")))</f>
        <v/>
      </c>
      <c r="AD5" s="8" t="str">
        <f>IF(COUNTIF('Tage ferien Aus.'!$A$3:$O$100, Y5)&gt;0, "E", "")</f>
        <v>E</v>
      </c>
      <c r="AE5" s="8" t="str">
        <f>IF(COUNTIF('Tage feiertage Aus.'!$A$3:$O$100, Y5)&gt;0, "f", "")</f>
        <v/>
      </c>
      <c r="AF5" s="7">
        <f t="shared" si="4"/>
        <v>46146</v>
      </c>
      <c r="AG5" s="9" t="str">
        <f>IF(COUNTIF('Tage Person1 Aus.'!$V$3:$AA$100, AF5)&gt;0, "S",IF(COUNTIF('Tage Person1 Aus.'!$A$3:$O$100, AF5)&gt;0, "U",IF(COUNTIF('Tage Person1 Aus.'!$AE$3:$AI$100, AF5)&gt;0, "h", "")))</f>
        <v/>
      </c>
      <c r="AH5" s="8" t="str">
        <f>IF(COUNTIF('Tage Person2 Aus.2'!$V$3:$AA$100, AF5)&gt;0, "S",IF(COUNTIF('Tage Person2 Aus.2'!$A$3:$O$100, AF5)&gt;0, "U",IF(COUNTIF('Tage Person2 Aus.2'!$AE$3:$AI$100, AF5)&gt;0, "h", "")))</f>
        <v/>
      </c>
      <c r="AI5" s="8" t="str">
        <f>IF(COUNTIF('Tage Person3 Aus.3'!$V$3:$AA$100, AF5)&gt;0, "S",IF(COUNTIF('Tage Person3 Aus.3'!$A$3:$O$100, AF5)&gt;0, "U",IF(COUNTIF('Tage Person3 Aus.3'!$AE$3:$AI$100, AF5)&gt;0, "h", "")))</f>
        <v/>
      </c>
      <c r="AJ5" s="8" t="str">
        <f>IF(COUNTIF('Tage Person4 Aus.4'!$V$3:$AA$100, AF5)&gt;0, "S",IF(COUNTIF('Tage Person4 Aus.4'!$A$3:$O$100, AF5)&gt;0, "U",IF(COUNTIF('Tage Person4 Aus.4'!$AE$3:$AI$100, AF5)&gt;0, "h", "")))</f>
        <v/>
      </c>
      <c r="AK5" s="8" t="str">
        <f>IF(COUNTIF('Tage ferien Aus.'!$A$3:$O$100, AF5)&gt;0, "E", "")</f>
        <v/>
      </c>
      <c r="AL5" s="8" t="str">
        <f>IF(COUNTIF('Tage feiertage Aus.'!$A$3:$O$100, AF5)&gt;0, "f", "")</f>
        <v/>
      </c>
      <c r="AM5" s="7">
        <f t="shared" si="5"/>
        <v>46177</v>
      </c>
      <c r="AN5" s="8" t="str">
        <f>IF(COUNTIF('Tage Person1 Aus.'!$V$3:$AA$100, AM5)&gt;0, "S",IF(COUNTIF('Tage Person1 Aus.'!$A$3:$O$100, AM5)&gt;0, "U",IF(COUNTIF('Tage Person1 Aus.'!$AE$3:$AI$100, AM5)&gt;0, "h", "")))</f>
        <v/>
      </c>
      <c r="AO5" s="8" t="str">
        <f>IF(COUNTIF('Tage Person2 Aus.2'!$V$3:$AA$100, AM5)&gt;0, "S",IF(COUNTIF('Tage Person2 Aus.2'!$A$3:$O$100, AM5)&gt;0, "U",IF(COUNTIF('Tage Person2 Aus.2'!$AE$3:$AI$100, AM5)&gt;0, "h", "")))</f>
        <v/>
      </c>
      <c r="AP5" s="8" t="str">
        <f>IF(COUNTIF('Tage Person3 Aus.3'!$V$3:$AA$100, AM5)&gt;0, "S",IF(COUNTIF('Tage Person3 Aus.3'!$A$3:$O$100, AM5)&gt;0, "U",IF(COUNTIF('Tage Person3 Aus.3'!$AE$3:$AI$100, AM5)&gt;0, "h", "")))</f>
        <v/>
      </c>
      <c r="AQ5" s="8" t="str">
        <f>IF(COUNTIF('Tage Person4 Aus.4'!$V$3:$AA$100, AM5)&gt;0, "S",IF(COUNTIF('Tage Person4 Aus.4'!$A$3:$O$100, AM5)&gt;0, "U",IF(COUNTIF('Tage Person4 Aus.4'!$AE$3:$AI$100, AM5)&gt;0, "h", "")))</f>
        <v/>
      </c>
      <c r="AR5" s="8" t="str">
        <f>IF(COUNTIF('Tage ferien Aus.'!$A$3:$O$100, AM5)&gt;0, "E", "")</f>
        <v/>
      </c>
      <c r="AS5" s="8" t="str">
        <f>IF(COUNTIF('Tage feiertage Aus.'!$A$3:$O$100, AM5)&gt;0, "f", "")</f>
        <v>f</v>
      </c>
      <c r="AT5" s="7">
        <f t="shared" si="6"/>
        <v>46207</v>
      </c>
      <c r="AU5" s="8" t="str">
        <f>IF(COUNTIF('Tage Person1 Aus.'!$V$3:$AA$100, AT5)&gt;0, "S",IF(COUNTIF('Tage Person1 Aus.'!$A$3:$O$100, AT5)&gt;0, "U",IF(COUNTIF('Tage Person1 Aus.'!$AE$3:$AI$100, AT5)&gt;0, "h", "")))</f>
        <v/>
      </c>
      <c r="AV5" s="8" t="str">
        <f>IF(COUNTIF('Tage Person2 Aus.2'!$V$3:$AA$100, AT5)&gt;0, "S",IF(COUNTIF('Tage Person2 Aus.2'!$A$3:$O$100, AT5)&gt;0, "U",IF(COUNTIF('Tage Person2 Aus.2'!$AE$3:$AI$100, AT5)&gt;0, "h", "")))</f>
        <v/>
      </c>
      <c r="AW5" s="8" t="str">
        <f>IF(COUNTIF('Tage Person3 Aus.3'!$V$3:$AA$100, AT5)&gt;0, "S",IF(COUNTIF('Tage Person3 Aus.3'!$A$3:$O$100, AT5)&gt;0, "U",IF(COUNTIF('Tage Person3 Aus.3'!$AE$3:$AI$100, AT5)&gt;0, "h", "")))</f>
        <v/>
      </c>
      <c r="AX5" s="8" t="str">
        <f>IF(COUNTIF('Tage Person4 Aus.4'!$V$3:$AA$100, AT5)&gt;0, "S",IF(COUNTIF('Tage Person4 Aus.4'!$A$3:$O$100, AT5)&gt;0, "U",IF(COUNTIF('Tage Person4 Aus.4'!$AE$3:$AI$100, AT5)&gt;0, "h", "")))</f>
        <v/>
      </c>
      <c r="AY5" s="8" t="str">
        <f>IF(COUNTIF('Tage ferien Aus.'!$A$3:$O$100, AT5)&gt;0, "E", "")</f>
        <v/>
      </c>
      <c r="AZ5" s="8" t="str">
        <f>IF(COUNTIF('Tage feiertage Aus.'!$A$3:$O$100, AT5)&gt;0, "f", "")</f>
        <v/>
      </c>
      <c r="BA5" s="7">
        <f t="shared" si="7"/>
        <v>46238</v>
      </c>
      <c r="BB5" s="8" t="str">
        <f>IF(COUNTIF('Tage Person1 Aus.'!$V$3:$AA$100, BA5)&gt;0, "S",IF(COUNTIF('Tage Person1 Aus.'!$A$3:$O$100, BA5)&gt;0, "U",IF(COUNTIF('Tage Person1 Aus.'!$AE$3:$AI$100, BA5)&gt;0, "h", "")))</f>
        <v/>
      </c>
      <c r="BC5" s="8" t="str">
        <f>IF(COUNTIF('Tage Person2 Aus.2'!$V$3:$AA$100, BA5)&gt;0, "S",IF(COUNTIF('Tage Person2 Aus.2'!$A$3:$O$100, BA5)&gt;0, "U",IF(COUNTIF('Tage Person2 Aus.2'!$AE$3:$AI$100, BA5)&gt;0, "h", "")))</f>
        <v/>
      </c>
      <c r="BD5" s="8" t="str">
        <f>IF(COUNTIF('Tage Person3 Aus.3'!$V$3:$AA$100, BA5)&gt;0, "S",IF(COUNTIF('Tage Person3 Aus.3'!$A$3:$O$100, BA5)&gt;0, "U",IF(COUNTIF('Tage Person3 Aus.3'!$AE$3:$AI$100, BA5)&gt;0, "h", "")))</f>
        <v/>
      </c>
      <c r="BE5" s="8" t="str">
        <f>IF(COUNTIF('Tage Person4 Aus.4'!$V$3:$AA$100, BA5)&gt;0, "S",IF(COUNTIF('Tage Person4 Aus.4'!$A$3:$O$100, BA5)&gt;0, "U",IF(COUNTIF('Tage Person4 Aus.4'!$AE$3:$AI$100, BA5)&gt;0, "h", "")))</f>
        <v/>
      </c>
      <c r="BF5" s="8" t="str">
        <f>IF(COUNTIF('Tage ferien Aus.'!$A$3:$O$100, BA5)&gt;0, "E", "")</f>
        <v>E</v>
      </c>
      <c r="BG5" s="8" t="str">
        <f>IF(COUNTIF('Tage feiertage Aus.'!$A$3:$O$100, BA5)&gt;0, "f", "")</f>
        <v/>
      </c>
      <c r="BH5" s="7">
        <f t="shared" si="8"/>
        <v>46269</v>
      </c>
      <c r="BI5" s="8" t="str">
        <f>IF(COUNTIF('Tage Person1 Aus.'!$V$3:$AA$100, BH5)&gt;0, "S",IF(COUNTIF('Tage Person1 Aus.'!$A$3:$O$100, BH5)&gt;0, "U",IF(COUNTIF('Tage Person1 Aus.'!$AE$3:$AI$100, BH5)&gt;0, "h", "")))</f>
        <v/>
      </c>
      <c r="BJ5" s="8" t="str">
        <f>IF(COUNTIF('Tage Person2 Aus.2'!$V$3:$AA$100, BH5)&gt;0, "S",IF(COUNTIF('Tage Person2 Aus.2'!$A$3:$O$100, BH5)&gt;0, "U",IF(COUNTIF('Tage Person2 Aus.2'!$AE$3:$AI$100, BH5)&gt;0, "h", "")))</f>
        <v/>
      </c>
      <c r="BK5" s="8" t="str">
        <f>IF(COUNTIF('Tage Person3 Aus.3'!$V$3:$AA$100, BH5)&gt;0, "S",IF(COUNTIF('Tage Person3 Aus.3'!$A$3:$O$100, BH5)&gt;0, "U",IF(COUNTIF('Tage Person3 Aus.3'!$AE$3:$AI$100, BH5)&gt;0, "h", "")))</f>
        <v/>
      </c>
      <c r="BL5" s="8" t="str">
        <f>IF(COUNTIF('Tage Person4 Aus.4'!$V$3:$AA$100, BH5)&gt;0, "S",IF(COUNTIF('Tage Person4 Aus.4'!$A$3:$O$100, BH5)&gt;0, "U",IF(COUNTIF('Tage Person4 Aus.4'!$AE$3:$AI$100, BH5)&gt;0, "h", "")))</f>
        <v/>
      </c>
      <c r="BM5" s="8" t="str">
        <f>IF(COUNTIF('Tage ferien Aus.'!$A$3:$O$100, BH5)&gt;0, "E", "")</f>
        <v/>
      </c>
      <c r="BN5" s="8" t="str">
        <f>IF(COUNTIF('Tage feiertage Aus.'!$A$3:$O$100, BH5)&gt;0, "f", "")</f>
        <v/>
      </c>
      <c r="BO5" s="7">
        <f t="shared" si="9"/>
        <v>46299</v>
      </c>
      <c r="BP5" s="8" t="str">
        <f>IF(COUNTIF('Tage Person1 Aus.'!$V$3:$AA$100, BO5)&gt;0, "S",IF(COUNTIF('Tage Person1 Aus.'!$A$3:$O$100, BO5)&gt;0, "U",IF(COUNTIF('Tage Person1 Aus.'!$AE$3:$AI$100, BO5)&gt;0, "h", "")))</f>
        <v/>
      </c>
      <c r="BQ5" s="8" t="str">
        <f>IF(COUNTIF('Tage Person2 Aus.2'!$V$3:$AA$100, BO5)&gt;0, "S",IF(COUNTIF('Tage Person2 Aus.2'!$A$3:$O$100, BO5)&gt;0, "U",IF(COUNTIF('Tage Person2 Aus.2'!$AE$3:$AI$100, BO5)&gt;0, "h", "")))</f>
        <v/>
      </c>
      <c r="BR5" s="8" t="str">
        <f>IF(COUNTIF('Tage Person3 Aus.3'!$V$3:$AA$100, BO5)&gt;0, "S",IF(COUNTIF('Tage Person3 Aus.3'!$A$3:$O$100, BO5)&gt;0, "U",IF(COUNTIF('Tage Person3 Aus.3'!$AE$3:$AI$100, BO5)&gt;0, "h", "")))</f>
        <v/>
      </c>
      <c r="BS5" s="8" t="str">
        <f>IF(COUNTIF('Tage Person4 Aus.4'!$V$3:$AA$100, BO5)&gt;0, "S",IF(COUNTIF('Tage Person4 Aus.4'!$A$3:$O$100, BO5)&gt;0, "U",IF(COUNTIF('Tage Person4 Aus.4'!$AE$3:$AI$100, BO5)&gt;0, "h", "")))</f>
        <v/>
      </c>
      <c r="BT5" s="8" t="str">
        <f>IF(COUNTIF('Tage ferien Aus.'!$A$3:$O$100, BO5)&gt;0, "E", "")</f>
        <v/>
      </c>
      <c r="BU5" s="8" t="str">
        <f>IF(COUNTIF('Tage feiertage Aus.'!$A$3:$O$100, BO5)&gt;0, "f", "")</f>
        <v/>
      </c>
      <c r="BV5" s="7">
        <f t="shared" si="10"/>
        <v>46330</v>
      </c>
      <c r="BW5" s="8" t="str">
        <f>IF(COUNTIF('Tage Person1 Aus.'!$V$3:$AA$100, BV5)&gt;0, "S",IF(COUNTIF('Tage Person1 Aus.'!$A$3:$O$100, BV5)&gt;0, "U",IF(COUNTIF('Tage Person1 Aus.'!$AE$3:$AI$100, BV5)&gt;0, "h", "")))</f>
        <v/>
      </c>
      <c r="BX5" s="8" t="str">
        <f>IF(COUNTIF('Tage Person2 Aus.2'!$V$3:$AA$100, BV5)&gt;0, "S",IF(COUNTIF('Tage Person2 Aus.2'!$A$3:$O$100, BV5)&gt;0, "U",IF(COUNTIF('Tage Person2 Aus.2'!$AE$3:$AI$100, BV5)&gt;0, "h", "")))</f>
        <v/>
      </c>
      <c r="BY5" s="8" t="str">
        <f>IF(COUNTIF('Tage Person3 Aus.3'!$V$3:$AA$100, BV5)&gt;0, "S",IF(COUNTIF('Tage Person3 Aus.3'!$A$3:$O$100, BV5)&gt;0, "U",IF(COUNTIF('Tage Person3 Aus.3'!$AE$3:$AI$100, BV5)&gt;0, "h", "")))</f>
        <v/>
      </c>
      <c r="BZ5" s="8" t="str">
        <f>IF(COUNTIF('Tage Person4 Aus.4'!$V$3:$AA$100, BV5)&gt;0, "S",IF(COUNTIF('Tage Person4 Aus.4'!$A$3:$O$100, BV5)&gt;0, "U",IF(COUNTIF('Tage Person4 Aus.4'!$AE$3:$AI$100, BV5)&gt;0, "h", "")))</f>
        <v/>
      </c>
      <c r="CA5" s="8" t="str">
        <f>IF(COUNTIF('Tage ferien Aus.'!$A$3:$O$100, BV5)&gt;0, "E", "")</f>
        <v/>
      </c>
      <c r="CB5" s="8" t="str">
        <f>IF(COUNTIF('Tage feiertage Aus.'!$A$3:$O$100, BV5)&gt;0, "f", "")</f>
        <v/>
      </c>
      <c r="CC5" s="7">
        <f t="shared" si="11"/>
        <v>46360</v>
      </c>
      <c r="CD5" s="10" t="str">
        <f>IF(COUNTIF('Tage Person1 Aus.'!$V$3:$AA$100, CC5)&gt;0, "S",IF(COUNTIF('Tage Person1 Aus.'!$A$3:$O$100, CC5)&gt;0, "U",IF(COUNTIF('Tage Person1 Aus.'!$AE$3:$AI$100, CC5)&gt;0, "h", "")))</f>
        <v/>
      </c>
      <c r="CE5" s="11" t="str">
        <f>IF(COUNTIF('Tage Person2 Aus.2'!$V$3:$AA$100, CC5)&gt;0, "S",IF(COUNTIF('Tage Person2 Aus.2'!$A$3:$O$100, CC5)&gt;0, "U",IF(COUNTIF('Tage Person2 Aus.2'!$AE$3:$AI$100, CC5)&gt;0, "h", "")))</f>
        <v/>
      </c>
      <c r="CF5" s="12" t="str">
        <f>IF(COUNTIF('Tage Person3 Aus.3'!$V$3:$AA$100, CC5)&gt;0, "S",IF(COUNTIF('Tage Person3 Aus.3'!$A$3:$O$100, CC5)&gt;0, "U",IF(COUNTIF('Tage Person3 Aus.3'!$AE$3:$AI$100, CC5)&gt;0, "h", "")))</f>
        <v/>
      </c>
      <c r="CG5" s="10" t="str">
        <f>IF(COUNTIF('Tage Person4 Aus.4'!$V$3:$AA$100, CC5)&gt;0, "S",IF(COUNTIF('Tage Person4 Aus.4'!$A$3:$O$100, CC5)&gt;0, "U",IF(COUNTIF('Tage Person4 Aus.4'!$AE$3:$AI$100, CC5)&gt;0, "h", "")))</f>
        <v/>
      </c>
      <c r="CH5" s="11" t="str">
        <f>IF(COUNTIF('Tage ferien Aus.'!$A$3:$O$100, CC5)&gt;0, "E", "")</f>
        <v/>
      </c>
      <c r="CI5" s="12" t="str">
        <f>IF(COUNTIF('Tage feiertage Aus.'!$A$3:$O$100, CC5)&gt;0, "f", "")</f>
        <v/>
      </c>
      <c r="CJ5" s="4"/>
      <c r="CK5" s="4"/>
      <c r="CL5" s="6"/>
      <c r="CM5" s="4"/>
      <c r="CN5" s="2"/>
      <c r="CO5" s="3"/>
      <c r="CP5" s="4"/>
      <c r="CQ5" s="2"/>
      <c r="CR5" s="3"/>
      <c r="CS5" s="4"/>
      <c r="CT5" s="4"/>
      <c r="CU5" s="6"/>
      <c r="CV5" s="4"/>
      <c r="CW5" s="4"/>
      <c r="CX5" s="6"/>
      <c r="CY5" s="4"/>
    </row>
    <row r="6" spans="1:103" x14ac:dyDescent="0.3">
      <c r="A6" s="64"/>
      <c r="B6" s="58"/>
      <c r="C6" s="61"/>
      <c r="D6" s="7">
        <f t="shared" si="0"/>
        <v>46027</v>
      </c>
      <c r="E6" s="8" t="str">
        <f>IF(COUNTIF('Tage Person1 Aus.'!$V$3:$AA$100, D6)&gt;0, "S",IF(COUNTIF('Tage Person1 Aus.'!$A$3:$O$100, D6)&gt;0, "U",IF(COUNTIF('Tage Person1 Aus.'!$AE$3:$AI$100, D6)&gt;0, "h", "")))</f>
        <v/>
      </c>
      <c r="F6" s="8" t="str">
        <f>IF(COUNTIF('Tage Person2 Aus.2'!$V$3:$AA$100, D6)&gt;0, "S",IF(COUNTIF('Tage Person2 Aus.2'!$A$3:$O$100, D6)&gt;0, "U",IF(COUNTIF('Tage Person2 Aus.2'!$AE$3:$AI$100, D6)&gt;0, "h", "")))</f>
        <v>U</v>
      </c>
      <c r="G6" s="8" t="str">
        <f>IF(COUNTIF('Tage Person3 Aus.3'!$V$3:$AA$100, D6)&gt;0, "S",IF(COUNTIF('Tage Person3 Aus.3'!$A$3:$O$100, D6)&gt;0, "U",IF(COUNTIF('Tage Person3 Aus.3'!$AE$3:$AI$100, D6)&gt;0, "h", "")))</f>
        <v/>
      </c>
      <c r="H6" s="8" t="str">
        <f>IF(COUNTIF('Tage Person4 Aus.4'!$V$3:$AA$100, D6)&gt;0, "S",IF(COUNTIF('Tage Person4 Aus.4'!$A$3:$O$100, D6)&gt;0, "U",IF(COUNTIF('Tage Person4 Aus.4'!$AE$3:$AI$100, D6)&gt;0, "h", "")))</f>
        <v/>
      </c>
      <c r="I6" s="8" t="str">
        <f>IF(COUNTIF('Tage ferien Aus.'!$A$3:$O$100, D6)&gt;0, "E", "")</f>
        <v/>
      </c>
      <c r="J6" s="8" t="str">
        <f>IF(COUNTIF('Tage feiertage Aus.'!$A$3:$O$100, D6)&gt;0, "f", "")</f>
        <v/>
      </c>
      <c r="K6" s="7">
        <f t="shared" si="1"/>
        <v>46058</v>
      </c>
      <c r="L6" s="8" t="str">
        <f>IF(COUNTIF('Tage Person1 Aus.'!$V$3:$AA$100, K6)&gt;0, "S",IF(COUNTIF('Tage Person1 Aus.'!$A$3:$O$100, K6)&gt;0, "U",IF(COUNTIF('Tage Person1 Aus.'!$AE$3:$AI$100, K6)&gt;0, "h", "")))</f>
        <v/>
      </c>
      <c r="M6" s="8" t="str">
        <f>IF(COUNTIF('Tage Person2 Aus.2'!$V$3:$AA$100, K6)&gt;0, "S",IF(COUNTIF('Tage Person2 Aus.2'!$A$3:$O$100, K6)&gt;0, "U",IF(COUNTIF('Tage Person2 Aus.2'!$AE$3:$AI$100, K6)&gt;0, "h", "")))</f>
        <v/>
      </c>
      <c r="N6" s="8" t="str">
        <f>IF(COUNTIF('Tage Person3 Aus.3'!$V$3:$AA$100, K6)&gt;0, "S",IF(COUNTIF('Tage Person3 Aus.3'!$A$3:$O$100, K6)&gt;0, "U",IF(COUNTIF('Tage Person3 Aus.3'!$AE$3:$AI$100, K6)&gt;0, "h", "")))</f>
        <v/>
      </c>
      <c r="O6" s="8" t="str">
        <f>IF(COUNTIF('Tage Person4 Aus.4'!$V$3:$AA$100, K6)&gt;0, "S",IF(COUNTIF('Tage Person4 Aus.4'!$A$3:$O$100, K6)&gt;0, "U",IF(COUNTIF('Tage Person4 Aus.4'!$AE$3:$AI$100, K6)&gt;0, "h", "")))</f>
        <v/>
      </c>
      <c r="P6" s="8" t="str">
        <f>IF(COUNTIF('Tage ferien Aus.'!$A$3:$O$100, K6)&gt;0, "E", "")</f>
        <v/>
      </c>
      <c r="Q6" s="8" t="str">
        <f>IF(COUNTIF('Tage feiertage Aus.'!$A$3:$O$100, K6)&gt;0, "f", "")</f>
        <v/>
      </c>
      <c r="R6" s="7">
        <f t="shared" si="2"/>
        <v>46086</v>
      </c>
      <c r="S6" s="8" t="str">
        <f>IF(COUNTIF('Tage Person1 Aus.'!$V$3:$AA$100, R6)&gt;0, "S",IF(COUNTIF('Tage Person1 Aus.'!$A$3:$O$100, R6)&gt;0, "U",IF(COUNTIF('Tage Person1 Aus.'!$AE$3:$AI$100, R6)&gt;0, "h", "")))</f>
        <v/>
      </c>
      <c r="T6" s="8" t="str">
        <f>IF(COUNTIF('Tage Person2 Aus.2'!$V$3:$AA$100, R6)&gt;0, "S",IF(COUNTIF('Tage Person2 Aus.2'!$A$3:$O$100, R6)&gt;0, "U",IF(COUNTIF('Tage Person2 Aus.2'!$AE$3:$AI$100, R6)&gt;0, "h", "")))</f>
        <v/>
      </c>
      <c r="U6" s="8" t="str">
        <f>IF(COUNTIF('Tage Person3 Aus.3'!$V$3:$AA$100, R6)&gt;0, "S",IF(COUNTIF('Tage Person3 Aus.3'!$A$3:$O$100, R6)&gt;0, "U",IF(COUNTIF('Tage Person3 Aus.3'!$AE$3:$AI$100, R6)&gt;0, "h", "")))</f>
        <v/>
      </c>
      <c r="V6" s="8" t="str">
        <f>IF(COUNTIF('Tage Person4 Aus.4'!$V$3:$AA$100, R6)&gt;0, "S",IF(COUNTIF('Tage Person4 Aus.4'!$A$3:$O$100, R6)&gt;0, "U",IF(COUNTIF('Tage Person4 Aus.4'!$AE$3:$AI$100, R6)&gt;0, "h", "")))</f>
        <v/>
      </c>
      <c r="W6" s="8" t="str">
        <f>IF(COUNTIF('Tage ferien Aus.'!$A$3:$O$100, R6)&gt;0, "E", "")</f>
        <v/>
      </c>
      <c r="X6" s="8" t="str">
        <f>IF(COUNTIF('Tage feiertage Aus.'!$A$3:$O$100, R6)&gt;0, "f", "")</f>
        <v/>
      </c>
      <c r="Y6" s="7">
        <f t="shared" si="3"/>
        <v>46117</v>
      </c>
      <c r="Z6" s="8" t="str">
        <f>IF(COUNTIF('Tage Person1 Aus.'!$V$3:$AA$100, Y6)&gt;0, "S",IF(COUNTIF('Tage Person1 Aus.'!$A$3:$O$100, Y6)&gt;0, "U",IF(COUNTIF('Tage Person1 Aus.'!$AE$3:$AI$100, Y6)&gt;0, "h", "")))</f>
        <v/>
      </c>
      <c r="AA6" s="8" t="str">
        <f>IF(COUNTIF('Tage Person2 Aus.2'!$V$3:$AA$100, Y6)&gt;0, "S",IF(COUNTIF('Tage Person2 Aus.2'!$A$3:$O$100, Y6)&gt;0, "U",IF(COUNTIF('Tage Person2 Aus.2'!$AE$3:$AI$100, Y6)&gt;0, "h", "")))</f>
        <v/>
      </c>
      <c r="AB6" s="8" t="str">
        <f>IF(COUNTIF('Tage Person3 Aus.3'!$V$3:$AA$100, Y6)&gt;0, "S",IF(COUNTIF('Tage Person3 Aus.3'!$A$3:$O$100, Y6)&gt;0, "U",IF(COUNTIF('Tage Person3 Aus.3'!$AE$3:$AI$100, Y6)&gt;0, "h", "")))</f>
        <v/>
      </c>
      <c r="AC6" s="8" t="str">
        <f>IF(COUNTIF('Tage Person4 Aus.4'!$V$3:$AA$100, Y6)&gt;0, "S",IF(COUNTIF('Tage Person4 Aus.4'!$A$3:$O$100, Y6)&gt;0, "U",IF(COUNTIF('Tage Person4 Aus.4'!$AE$3:$AI$100, Y6)&gt;0, "h", "")))</f>
        <v/>
      </c>
      <c r="AD6" s="8" t="str">
        <f>IF(COUNTIF('Tage ferien Aus.'!$A$3:$O$100, Y6)&gt;0, "E", "")</f>
        <v>E</v>
      </c>
      <c r="AE6" s="8" t="str">
        <f>IF(COUNTIF('Tage feiertage Aus.'!$A$3:$O$100, Y6)&gt;0, "f", "")</f>
        <v/>
      </c>
      <c r="AF6" s="7">
        <f t="shared" si="4"/>
        <v>46147</v>
      </c>
      <c r="AG6" s="9" t="str">
        <f>IF(COUNTIF('Tage Person1 Aus.'!$V$3:$AA$100, AF6)&gt;0, "S",IF(COUNTIF('Tage Person1 Aus.'!$A$3:$O$100, AF6)&gt;0, "U",IF(COUNTIF('Tage Person1 Aus.'!$AE$3:$AI$100, AF6)&gt;0, "h", "")))</f>
        <v/>
      </c>
      <c r="AH6" s="8" t="str">
        <f>IF(COUNTIF('Tage Person2 Aus.2'!$V$3:$AA$100, AF6)&gt;0, "S",IF(COUNTIF('Tage Person2 Aus.2'!$A$3:$O$100, AF6)&gt;0, "U",IF(COUNTIF('Tage Person2 Aus.2'!$AE$3:$AI$100, AF6)&gt;0, "h", "")))</f>
        <v/>
      </c>
      <c r="AI6" s="8" t="str">
        <f>IF(COUNTIF('Tage Person3 Aus.3'!$V$3:$AA$100, AF6)&gt;0, "S",IF(COUNTIF('Tage Person3 Aus.3'!$A$3:$O$100, AF6)&gt;0, "U",IF(COUNTIF('Tage Person3 Aus.3'!$AE$3:$AI$100, AF6)&gt;0, "h", "")))</f>
        <v/>
      </c>
      <c r="AJ6" s="8" t="str">
        <f>IF(COUNTIF('Tage Person4 Aus.4'!$V$3:$AA$100, AF6)&gt;0, "S",IF(COUNTIF('Tage Person4 Aus.4'!$A$3:$O$100, AF6)&gt;0, "U",IF(COUNTIF('Tage Person4 Aus.4'!$AE$3:$AI$100, AF6)&gt;0, "h", "")))</f>
        <v/>
      </c>
      <c r="AK6" s="8" t="str">
        <f>IF(COUNTIF('Tage ferien Aus.'!$A$3:$O$100, AF6)&gt;0, "E", "")</f>
        <v/>
      </c>
      <c r="AL6" s="8" t="str">
        <f>IF(COUNTIF('Tage feiertage Aus.'!$A$3:$O$100, AF6)&gt;0, "f", "")</f>
        <v/>
      </c>
      <c r="AM6" s="7">
        <f t="shared" si="5"/>
        <v>46178</v>
      </c>
      <c r="AN6" s="8" t="str">
        <f>IF(COUNTIF('Tage Person1 Aus.'!$V$3:$AA$100, AM6)&gt;0, "S",IF(COUNTIF('Tage Person1 Aus.'!$A$3:$O$100, AM6)&gt;0, "U",IF(COUNTIF('Tage Person1 Aus.'!$AE$3:$AI$100, AM6)&gt;0, "h", "")))</f>
        <v/>
      </c>
      <c r="AO6" s="8" t="str">
        <f>IF(COUNTIF('Tage Person2 Aus.2'!$V$3:$AA$100, AM6)&gt;0, "S",IF(COUNTIF('Tage Person2 Aus.2'!$A$3:$O$100, AM6)&gt;0, "U",IF(COUNTIF('Tage Person2 Aus.2'!$AE$3:$AI$100, AM6)&gt;0, "h", "")))</f>
        <v/>
      </c>
      <c r="AP6" s="8" t="str">
        <f>IF(COUNTIF('Tage Person3 Aus.3'!$V$3:$AA$100, AM6)&gt;0, "S",IF(COUNTIF('Tage Person3 Aus.3'!$A$3:$O$100, AM6)&gt;0, "U",IF(COUNTIF('Tage Person3 Aus.3'!$AE$3:$AI$100, AM6)&gt;0, "h", "")))</f>
        <v/>
      </c>
      <c r="AQ6" s="8" t="str">
        <f>IF(COUNTIF('Tage Person4 Aus.4'!$V$3:$AA$100, AM6)&gt;0, "S",IF(COUNTIF('Tage Person4 Aus.4'!$A$3:$O$100, AM6)&gt;0, "U",IF(COUNTIF('Tage Person4 Aus.4'!$AE$3:$AI$100, AM6)&gt;0, "h", "")))</f>
        <v/>
      </c>
      <c r="AR6" s="8" t="str">
        <f>IF(COUNTIF('Tage ferien Aus.'!$A$3:$O$100, AM6)&gt;0, "E", "")</f>
        <v/>
      </c>
      <c r="AS6" s="8" t="str">
        <f>IF(COUNTIF('Tage feiertage Aus.'!$A$3:$O$100, AM6)&gt;0, "f", "")</f>
        <v/>
      </c>
      <c r="AT6" s="7">
        <f t="shared" si="6"/>
        <v>46208</v>
      </c>
      <c r="AU6" s="8" t="str">
        <f>IF(COUNTIF('Tage Person1 Aus.'!$V$3:$AA$100, AT6)&gt;0, "S",IF(COUNTIF('Tage Person1 Aus.'!$A$3:$O$100, AT6)&gt;0, "U",IF(COUNTIF('Tage Person1 Aus.'!$AE$3:$AI$100, AT6)&gt;0, "h", "")))</f>
        <v/>
      </c>
      <c r="AV6" s="8" t="str">
        <f>IF(COUNTIF('Tage Person2 Aus.2'!$V$3:$AA$100, AT6)&gt;0, "S",IF(COUNTIF('Tage Person2 Aus.2'!$A$3:$O$100, AT6)&gt;0, "U",IF(COUNTIF('Tage Person2 Aus.2'!$AE$3:$AI$100, AT6)&gt;0, "h", "")))</f>
        <v/>
      </c>
      <c r="AW6" s="8" t="str">
        <f>IF(COUNTIF('Tage Person3 Aus.3'!$V$3:$AA$100, AT6)&gt;0, "S",IF(COUNTIF('Tage Person3 Aus.3'!$A$3:$O$100, AT6)&gt;0, "U",IF(COUNTIF('Tage Person3 Aus.3'!$AE$3:$AI$100, AT6)&gt;0, "h", "")))</f>
        <v/>
      </c>
      <c r="AX6" s="8" t="str">
        <f>IF(COUNTIF('Tage Person4 Aus.4'!$V$3:$AA$100, AT6)&gt;0, "S",IF(COUNTIF('Tage Person4 Aus.4'!$A$3:$O$100, AT6)&gt;0, "U",IF(COUNTIF('Tage Person4 Aus.4'!$AE$3:$AI$100, AT6)&gt;0, "h", "")))</f>
        <v/>
      </c>
      <c r="AY6" s="8" t="str">
        <f>IF(COUNTIF('Tage ferien Aus.'!$A$3:$O$100, AT6)&gt;0, "E", "")</f>
        <v/>
      </c>
      <c r="AZ6" s="8" t="str">
        <f>IF(COUNTIF('Tage feiertage Aus.'!$A$3:$O$100, AT6)&gt;0, "f", "")</f>
        <v/>
      </c>
      <c r="BA6" s="7">
        <f t="shared" si="7"/>
        <v>46239</v>
      </c>
      <c r="BB6" s="8" t="str">
        <f>IF(COUNTIF('Tage Person1 Aus.'!$V$3:$AA$100, BA6)&gt;0, "S",IF(COUNTIF('Tage Person1 Aus.'!$A$3:$O$100, BA6)&gt;0, "U",IF(COUNTIF('Tage Person1 Aus.'!$AE$3:$AI$100, BA6)&gt;0, "h", "")))</f>
        <v/>
      </c>
      <c r="BC6" s="8" t="str">
        <f>IF(COUNTIF('Tage Person2 Aus.2'!$V$3:$AA$100, BA6)&gt;0, "S",IF(COUNTIF('Tage Person2 Aus.2'!$A$3:$O$100, BA6)&gt;0, "U",IF(COUNTIF('Tage Person2 Aus.2'!$AE$3:$AI$100, BA6)&gt;0, "h", "")))</f>
        <v/>
      </c>
      <c r="BD6" s="8" t="str">
        <f>IF(COUNTIF('Tage Person3 Aus.3'!$V$3:$AA$100, BA6)&gt;0, "S",IF(COUNTIF('Tage Person3 Aus.3'!$A$3:$O$100, BA6)&gt;0, "U",IF(COUNTIF('Tage Person3 Aus.3'!$AE$3:$AI$100, BA6)&gt;0, "h", "")))</f>
        <v/>
      </c>
      <c r="BE6" s="8" t="str">
        <f>IF(COUNTIF('Tage Person4 Aus.4'!$V$3:$AA$100, BA6)&gt;0, "S",IF(COUNTIF('Tage Person4 Aus.4'!$A$3:$O$100, BA6)&gt;0, "U",IF(COUNTIF('Tage Person4 Aus.4'!$AE$3:$AI$100, BA6)&gt;0, "h", "")))</f>
        <v/>
      </c>
      <c r="BF6" s="8" t="str">
        <f>IF(COUNTIF('Tage ferien Aus.'!$A$3:$O$100, BA6)&gt;0, "E", "")</f>
        <v>E</v>
      </c>
      <c r="BG6" s="8" t="str">
        <f>IF(COUNTIF('Tage feiertage Aus.'!$A$3:$O$100, BA6)&gt;0, "f", "")</f>
        <v/>
      </c>
      <c r="BH6" s="7">
        <f t="shared" si="8"/>
        <v>46270</v>
      </c>
      <c r="BI6" s="8" t="str">
        <f>IF(COUNTIF('Tage Person1 Aus.'!$V$3:$AA$100, BH6)&gt;0, "S",IF(COUNTIF('Tage Person1 Aus.'!$A$3:$O$100, BH6)&gt;0, "U",IF(COUNTIF('Tage Person1 Aus.'!$AE$3:$AI$100, BH6)&gt;0, "h", "")))</f>
        <v/>
      </c>
      <c r="BJ6" s="8" t="str">
        <f>IF(COUNTIF('Tage Person2 Aus.2'!$V$3:$AA$100, BH6)&gt;0, "S",IF(COUNTIF('Tage Person2 Aus.2'!$A$3:$O$100, BH6)&gt;0, "U",IF(COUNTIF('Tage Person2 Aus.2'!$AE$3:$AI$100, BH6)&gt;0, "h", "")))</f>
        <v/>
      </c>
      <c r="BK6" s="8" t="str">
        <f>IF(COUNTIF('Tage Person3 Aus.3'!$V$3:$AA$100, BH6)&gt;0, "S",IF(COUNTIF('Tage Person3 Aus.3'!$A$3:$O$100, BH6)&gt;0, "U",IF(COUNTIF('Tage Person3 Aus.3'!$AE$3:$AI$100, BH6)&gt;0, "h", "")))</f>
        <v/>
      </c>
      <c r="BL6" s="8" t="str">
        <f>IF(COUNTIF('Tage Person4 Aus.4'!$V$3:$AA$100, BH6)&gt;0, "S",IF(COUNTIF('Tage Person4 Aus.4'!$A$3:$O$100, BH6)&gt;0, "U",IF(COUNTIF('Tage Person4 Aus.4'!$AE$3:$AI$100, BH6)&gt;0, "h", "")))</f>
        <v/>
      </c>
      <c r="BM6" s="8" t="str">
        <f>IF(COUNTIF('Tage ferien Aus.'!$A$3:$O$100, BH6)&gt;0, "E", "")</f>
        <v/>
      </c>
      <c r="BN6" s="8" t="str">
        <f>IF(COUNTIF('Tage feiertage Aus.'!$A$3:$O$100, BH6)&gt;0, "f", "")</f>
        <v/>
      </c>
      <c r="BO6" s="7">
        <f t="shared" si="9"/>
        <v>46300</v>
      </c>
      <c r="BP6" s="8" t="str">
        <f>IF(COUNTIF('Tage Person1 Aus.'!$V$3:$AA$100, BO6)&gt;0, "S",IF(COUNTIF('Tage Person1 Aus.'!$A$3:$O$100, BO6)&gt;0, "U",IF(COUNTIF('Tage Person1 Aus.'!$AE$3:$AI$100, BO6)&gt;0, "h", "")))</f>
        <v/>
      </c>
      <c r="BQ6" s="8" t="str">
        <f>IF(COUNTIF('Tage Person2 Aus.2'!$V$3:$AA$100, BO6)&gt;0, "S",IF(COUNTIF('Tage Person2 Aus.2'!$A$3:$O$100, BO6)&gt;0, "U",IF(COUNTIF('Tage Person2 Aus.2'!$AE$3:$AI$100, BO6)&gt;0, "h", "")))</f>
        <v/>
      </c>
      <c r="BR6" s="8" t="str">
        <f>IF(COUNTIF('Tage Person3 Aus.3'!$V$3:$AA$100, BO6)&gt;0, "S",IF(COUNTIF('Tage Person3 Aus.3'!$A$3:$O$100, BO6)&gt;0, "U",IF(COUNTIF('Tage Person3 Aus.3'!$AE$3:$AI$100, BO6)&gt;0, "h", "")))</f>
        <v/>
      </c>
      <c r="BS6" s="8" t="str">
        <f>IF(COUNTIF('Tage Person4 Aus.4'!$V$3:$AA$100, BO6)&gt;0, "S",IF(COUNTIF('Tage Person4 Aus.4'!$A$3:$O$100, BO6)&gt;0, "U",IF(COUNTIF('Tage Person4 Aus.4'!$AE$3:$AI$100, BO6)&gt;0, "h", "")))</f>
        <v/>
      </c>
      <c r="BT6" s="8" t="str">
        <f>IF(COUNTIF('Tage ferien Aus.'!$A$3:$O$100, BO6)&gt;0, "E", "")</f>
        <v/>
      </c>
      <c r="BU6" s="8" t="str">
        <f>IF(COUNTIF('Tage feiertage Aus.'!$A$3:$O$100, BO6)&gt;0, "f", "")</f>
        <v/>
      </c>
      <c r="BV6" s="7">
        <f t="shared" si="10"/>
        <v>46331</v>
      </c>
      <c r="BW6" s="8" t="str">
        <f>IF(COUNTIF('Tage Person1 Aus.'!$V$3:$AA$100, BV6)&gt;0, "S",IF(COUNTIF('Tage Person1 Aus.'!$A$3:$O$100, BV6)&gt;0, "U",IF(COUNTIF('Tage Person1 Aus.'!$AE$3:$AI$100, BV6)&gt;0, "h", "")))</f>
        <v/>
      </c>
      <c r="BX6" s="8" t="str">
        <f>IF(COUNTIF('Tage Person2 Aus.2'!$V$3:$AA$100, BV6)&gt;0, "S",IF(COUNTIF('Tage Person2 Aus.2'!$A$3:$O$100, BV6)&gt;0, "U",IF(COUNTIF('Tage Person2 Aus.2'!$AE$3:$AI$100, BV6)&gt;0, "h", "")))</f>
        <v/>
      </c>
      <c r="BY6" s="8" t="str">
        <f>IF(COUNTIF('Tage Person3 Aus.3'!$V$3:$AA$100, BV6)&gt;0, "S",IF(COUNTIF('Tage Person3 Aus.3'!$A$3:$O$100, BV6)&gt;0, "U",IF(COUNTIF('Tage Person3 Aus.3'!$AE$3:$AI$100, BV6)&gt;0, "h", "")))</f>
        <v/>
      </c>
      <c r="BZ6" s="8" t="str">
        <f>IF(COUNTIF('Tage Person4 Aus.4'!$V$3:$AA$100, BV6)&gt;0, "S",IF(COUNTIF('Tage Person4 Aus.4'!$A$3:$O$100, BV6)&gt;0, "U",IF(COUNTIF('Tage Person4 Aus.4'!$AE$3:$AI$100, BV6)&gt;0, "h", "")))</f>
        <v/>
      </c>
      <c r="CA6" s="8" t="str">
        <f>IF(COUNTIF('Tage ferien Aus.'!$A$3:$O$100, BV6)&gt;0, "E", "")</f>
        <v/>
      </c>
      <c r="CB6" s="8" t="str">
        <f>IF(COUNTIF('Tage feiertage Aus.'!$A$3:$O$100, BV6)&gt;0, "f", "")</f>
        <v/>
      </c>
      <c r="CC6" s="7">
        <f t="shared" si="11"/>
        <v>46361</v>
      </c>
      <c r="CD6" s="10" t="str">
        <f>IF(COUNTIF('Tage Person1 Aus.'!$V$3:$AA$100, CC6)&gt;0, "S",IF(COUNTIF('Tage Person1 Aus.'!$A$3:$O$100, CC6)&gt;0, "U",IF(COUNTIF('Tage Person1 Aus.'!$AE$3:$AI$100, CC6)&gt;0, "h", "")))</f>
        <v/>
      </c>
      <c r="CE6" s="11" t="str">
        <f>IF(COUNTIF('Tage Person2 Aus.2'!$V$3:$AA$100, CC6)&gt;0, "S",IF(COUNTIF('Tage Person2 Aus.2'!$A$3:$O$100, CC6)&gt;0, "U",IF(COUNTIF('Tage Person2 Aus.2'!$AE$3:$AI$100, CC6)&gt;0, "h", "")))</f>
        <v/>
      </c>
      <c r="CF6" s="12" t="str">
        <f>IF(COUNTIF('Tage Person3 Aus.3'!$V$3:$AA$100, CC6)&gt;0, "S",IF(COUNTIF('Tage Person3 Aus.3'!$A$3:$O$100, CC6)&gt;0, "U",IF(COUNTIF('Tage Person3 Aus.3'!$AE$3:$AI$100, CC6)&gt;0, "h", "")))</f>
        <v/>
      </c>
      <c r="CG6" s="10" t="str">
        <f>IF(COUNTIF('Tage Person4 Aus.4'!$V$3:$AA$100, CC6)&gt;0, "S",IF(COUNTIF('Tage Person4 Aus.4'!$A$3:$O$100, CC6)&gt;0, "U",IF(COUNTIF('Tage Person4 Aus.4'!$AE$3:$AI$100, CC6)&gt;0, "h", "")))</f>
        <v/>
      </c>
      <c r="CH6" s="11" t="str">
        <f>IF(COUNTIF('Tage ferien Aus.'!$A$3:$O$100, CC6)&gt;0, "E", "")</f>
        <v/>
      </c>
      <c r="CI6" s="12" t="str">
        <f>IF(COUNTIF('Tage feiertage Aus.'!$A$3:$O$100, CC6)&gt;0, "f", "")</f>
        <v/>
      </c>
      <c r="CJ6" s="4"/>
      <c r="CK6" s="4"/>
      <c r="CL6" s="6"/>
      <c r="CM6" s="4"/>
      <c r="CN6" s="2"/>
      <c r="CO6" s="3"/>
      <c r="CP6" s="4"/>
      <c r="CQ6" s="2"/>
      <c r="CR6" s="3"/>
      <c r="CS6" s="4"/>
      <c r="CT6" s="4"/>
      <c r="CU6" s="6"/>
      <c r="CV6" s="4"/>
      <c r="CW6" s="4"/>
      <c r="CX6" s="6"/>
      <c r="CY6" s="4"/>
    </row>
    <row r="7" spans="1:103" x14ac:dyDescent="0.3">
      <c r="A7" s="64"/>
      <c r="B7" s="58" t="s">
        <v>11</v>
      </c>
      <c r="C7" s="57" t="s">
        <v>11</v>
      </c>
      <c r="D7" s="7">
        <f t="shared" si="0"/>
        <v>46028</v>
      </c>
      <c r="E7" s="8" t="str">
        <f>IF(COUNTIF('Tage Person1 Aus.'!$V$3:$AA$100, D7)&gt;0, "S",IF(COUNTIF('Tage Person1 Aus.'!$A$3:$O$100, D7)&gt;0, "U",IF(COUNTIF('Tage Person1 Aus.'!$AE$3:$AI$100, D7)&gt;0, "h", "")))</f>
        <v/>
      </c>
      <c r="F7" s="8" t="str">
        <f>IF(COUNTIF('Tage Person2 Aus.2'!$V$3:$AA$100, D7)&gt;0, "S",IF(COUNTIF('Tage Person2 Aus.2'!$A$3:$O$100, D7)&gt;0, "U",IF(COUNTIF('Tage Person2 Aus.2'!$AE$3:$AI$100, D7)&gt;0, "h", "")))</f>
        <v/>
      </c>
      <c r="G7" s="8" t="str">
        <f>IF(COUNTIF('Tage Person3 Aus.3'!$V$3:$AA$100, D7)&gt;0, "S",IF(COUNTIF('Tage Person3 Aus.3'!$A$3:$O$100, D7)&gt;0, "U",IF(COUNTIF('Tage Person3 Aus.3'!$AE$3:$AI$100, D7)&gt;0, "h", "")))</f>
        <v/>
      </c>
      <c r="H7" s="8" t="str">
        <f>IF(COUNTIF('Tage Person4 Aus.4'!$V$3:$AA$100, D7)&gt;0, "S",IF(COUNTIF('Tage Person4 Aus.4'!$A$3:$O$100, D7)&gt;0, "U",IF(COUNTIF('Tage Person4 Aus.4'!$AE$3:$AI$100, D7)&gt;0, "h", "")))</f>
        <v/>
      </c>
      <c r="I7" s="8" t="str">
        <f>IF(COUNTIF('Tage ferien Aus.'!$A$3:$O$100, D7)&gt;0, "E", "")</f>
        <v/>
      </c>
      <c r="J7" s="8" t="str">
        <f>IF(COUNTIF('Tage feiertage Aus.'!$A$3:$O$100, D7)&gt;0, "f", "")</f>
        <v/>
      </c>
      <c r="K7" s="7">
        <f t="shared" si="1"/>
        <v>46059</v>
      </c>
      <c r="L7" s="8" t="str">
        <f>IF(COUNTIF('Tage Person1 Aus.'!$V$3:$AA$100, K7)&gt;0, "S",IF(COUNTIF('Tage Person1 Aus.'!$A$3:$O$100, K7)&gt;0, "U",IF(COUNTIF('Tage Person1 Aus.'!$AE$3:$AI$100, K7)&gt;0, "h", "")))</f>
        <v/>
      </c>
      <c r="M7" s="8" t="str">
        <f>IF(COUNTIF('Tage Person2 Aus.2'!$V$3:$AA$100, K7)&gt;0, "S",IF(COUNTIF('Tage Person2 Aus.2'!$A$3:$O$100, K7)&gt;0, "U",IF(COUNTIF('Tage Person2 Aus.2'!$AE$3:$AI$100, K7)&gt;0, "h", "")))</f>
        <v/>
      </c>
      <c r="N7" s="8" t="str">
        <f>IF(COUNTIF('Tage Person3 Aus.3'!$V$3:$AA$100, K7)&gt;0, "S",IF(COUNTIF('Tage Person3 Aus.3'!$A$3:$O$100, K7)&gt;0, "U",IF(COUNTIF('Tage Person3 Aus.3'!$AE$3:$AI$100, K7)&gt;0, "h", "")))</f>
        <v/>
      </c>
      <c r="O7" s="8" t="str">
        <f>IF(COUNTIF('Tage Person4 Aus.4'!$V$3:$AA$100, K7)&gt;0, "S",IF(COUNTIF('Tage Person4 Aus.4'!$A$3:$O$100, K7)&gt;0, "U",IF(COUNTIF('Tage Person4 Aus.4'!$AE$3:$AI$100, K7)&gt;0, "h", "")))</f>
        <v/>
      </c>
      <c r="P7" s="8" t="str">
        <f>IF(COUNTIF('Tage ferien Aus.'!$A$3:$O$100, K7)&gt;0, "E", "")</f>
        <v/>
      </c>
      <c r="Q7" s="8" t="str">
        <f>IF(COUNTIF('Tage feiertage Aus.'!$A$3:$O$100, K7)&gt;0, "f", "")</f>
        <v/>
      </c>
      <c r="R7" s="7">
        <f t="shared" si="2"/>
        <v>46087</v>
      </c>
      <c r="S7" s="8" t="str">
        <f>IF(COUNTIF('Tage Person1 Aus.'!$V$3:$AA$100, R7)&gt;0, "S",IF(COUNTIF('Tage Person1 Aus.'!$A$3:$O$100, R7)&gt;0, "U",IF(COUNTIF('Tage Person1 Aus.'!$AE$3:$AI$100, R7)&gt;0, "h", "")))</f>
        <v/>
      </c>
      <c r="T7" s="8" t="str">
        <f>IF(COUNTIF('Tage Person2 Aus.2'!$V$3:$AA$100, R7)&gt;0, "S",IF(COUNTIF('Tage Person2 Aus.2'!$A$3:$O$100, R7)&gt;0, "U",IF(COUNTIF('Tage Person2 Aus.2'!$AE$3:$AI$100, R7)&gt;0, "h", "")))</f>
        <v/>
      </c>
      <c r="U7" s="8" t="str">
        <f>IF(COUNTIF('Tage Person3 Aus.3'!$V$3:$AA$100, R7)&gt;0, "S",IF(COUNTIF('Tage Person3 Aus.3'!$A$3:$O$100, R7)&gt;0, "U",IF(COUNTIF('Tage Person3 Aus.3'!$AE$3:$AI$100, R7)&gt;0, "h", "")))</f>
        <v/>
      </c>
      <c r="V7" s="8" t="str">
        <f>IF(COUNTIF('Tage Person4 Aus.4'!$V$3:$AA$100, R7)&gt;0, "S",IF(COUNTIF('Tage Person4 Aus.4'!$A$3:$O$100, R7)&gt;0, "U",IF(COUNTIF('Tage Person4 Aus.4'!$AE$3:$AI$100, R7)&gt;0, "h", "")))</f>
        <v/>
      </c>
      <c r="W7" s="8" t="str">
        <f>IF(COUNTIF('Tage ferien Aus.'!$A$3:$O$100, R7)&gt;0, "E", "")</f>
        <v/>
      </c>
      <c r="X7" s="8" t="str">
        <f>IF(COUNTIF('Tage feiertage Aus.'!$A$3:$O$100, R7)&gt;0, "f", "")</f>
        <v/>
      </c>
      <c r="Y7" s="7">
        <f t="shared" si="3"/>
        <v>46118</v>
      </c>
      <c r="Z7" s="8" t="str">
        <f>IF(COUNTIF('Tage Person1 Aus.'!$V$3:$AA$100, Y7)&gt;0, "S",IF(COUNTIF('Tage Person1 Aus.'!$A$3:$O$100, Y7)&gt;0, "U",IF(COUNTIF('Tage Person1 Aus.'!$AE$3:$AI$100, Y7)&gt;0, "h", "")))</f>
        <v/>
      </c>
      <c r="AA7" s="8" t="str">
        <f>IF(COUNTIF('Tage Person2 Aus.2'!$V$3:$AA$100, Y7)&gt;0, "S",IF(COUNTIF('Tage Person2 Aus.2'!$A$3:$O$100, Y7)&gt;0, "U",IF(COUNTIF('Tage Person2 Aus.2'!$AE$3:$AI$100, Y7)&gt;0, "h", "")))</f>
        <v/>
      </c>
      <c r="AB7" s="8" t="str">
        <f>IF(COUNTIF('Tage Person3 Aus.3'!$V$3:$AA$100, Y7)&gt;0, "S",IF(COUNTIF('Tage Person3 Aus.3'!$A$3:$O$100, Y7)&gt;0, "U",IF(COUNTIF('Tage Person3 Aus.3'!$AE$3:$AI$100, Y7)&gt;0, "h", "")))</f>
        <v/>
      </c>
      <c r="AC7" s="8" t="str">
        <f>IF(COUNTIF('Tage Person4 Aus.4'!$V$3:$AA$100, Y7)&gt;0, "S",IF(COUNTIF('Tage Person4 Aus.4'!$A$3:$O$100, Y7)&gt;0, "U",IF(COUNTIF('Tage Person4 Aus.4'!$AE$3:$AI$100, Y7)&gt;0, "h", "")))</f>
        <v/>
      </c>
      <c r="AD7" s="8" t="str">
        <f>IF(COUNTIF('Tage ferien Aus.'!$A$3:$O$100, Y7)&gt;0, "E", "")</f>
        <v>E</v>
      </c>
      <c r="AE7" s="8" t="str">
        <f>IF(COUNTIF('Tage feiertage Aus.'!$A$3:$O$100, Y7)&gt;0, "f", "")</f>
        <v>f</v>
      </c>
      <c r="AF7" s="7">
        <f t="shared" si="4"/>
        <v>46148</v>
      </c>
      <c r="AG7" s="9" t="str">
        <f>IF(COUNTIF('Tage Person1 Aus.'!$V$3:$AA$100, AF7)&gt;0, "S",IF(COUNTIF('Tage Person1 Aus.'!$A$3:$O$100, AF7)&gt;0, "U",IF(COUNTIF('Tage Person1 Aus.'!$AE$3:$AI$100, AF7)&gt;0, "h", "")))</f>
        <v/>
      </c>
      <c r="AH7" s="8" t="str">
        <f>IF(COUNTIF('Tage Person2 Aus.2'!$V$3:$AA$100, AF7)&gt;0, "S",IF(COUNTIF('Tage Person2 Aus.2'!$A$3:$O$100, AF7)&gt;0, "U",IF(COUNTIF('Tage Person2 Aus.2'!$AE$3:$AI$100, AF7)&gt;0, "h", "")))</f>
        <v/>
      </c>
      <c r="AI7" s="8" t="str">
        <f>IF(COUNTIF('Tage Person3 Aus.3'!$V$3:$AA$100, AF7)&gt;0, "S",IF(COUNTIF('Tage Person3 Aus.3'!$A$3:$O$100, AF7)&gt;0, "U",IF(COUNTIF('Tage Person3 Aus.3'!$AE$3:$AI$100, AF7)&gt;0, "h", "")))</f>
        <v/>
      </c>
      <c r="AJ7" s="8" t="str">
        <f>IF(COUNTIF('Tage Person4 Aus.4'!$V$3:$AA$100, AF7)&gt;0, "S",IF(COUNTIF('Tage Person4 Aus.4'!$A$3:$O$100, AF7)&gt;0, "U",IF(COUNTIF('Tage Person4 Aus.4'!$AE$3:$AI$100, AF7)&gt;0, "h", "")))</f>
        <v/>
      </c>
      <c r="AK7" s="8" t="str">
        <f>IF(COUNTIF('Tage ferien Aus.'!$A$3:$O$100, AF7)&gt;0, "E", "")</f>
        <v/>
      </c>
      <c r="AL7" s="8" t="str">
        <f>IF(COUNTIF('Tage feiertage Aus.'!$A$3:$O$100, AF7)&gt;0, "f", "")</f>
        <v/>
      </c>
      <c r="AM7" s="7">
        <f t="shared" si="5"/>
        <v>46179</v>
      </c>
      <c r="AN7" s="8" t="str">
        <f>IF(COUNTIF('Tage Person1 Aus.'!$V$3:$AA$100, AM7)&gt;0, "S",IF(COUNTIF('Tage Person1 Aus.'!$A$3:$O$100, AM7)&gt;0, "U",IF(COUNTIF('Tage Person1 Aus.'!$AE$3:$AI$100, AM7)&gt;0, "h", "")))</f>
        <v/>
      </c>
      <c r="AO7" s="8" t="str">
        <f>IF(COUNTIF('Tage Person2 Aus.2'!$V$3:$AA$100, AM7)&gt;0, "S",IF(COUNTIF('Tage Person2 Aus.2'!$A$3:$O$100, AM7)&gt;0, "U",IF(COUNTIF('Tage Person2 Aus.2'!$AE$3:$AI$100, AM7)&gt;0, "h", "")))</f>
        <v/>
      </c>
      <c r="AP7" s="8" t="str">
        <f>IF(COUNTIF('Tage Person3 Aus.3'!$V$3:$AA$100, AM7)&gt;0, "S",IF(COUNTIF('Tage Person3 Aus.3'!$A$3:$O$100, AM7)&gt;0, "U",IF(COUNTIF('Tage Person3 Aus.3'!$AE$3:$AI$100, AM7)&gt;0, "h", "")))</f>
        <v/>
      </c>
      <c r="AQ7" s="8" t="str">
        <f>IF(COUNTIF('Tage Person4 Aus.4'!$V$3:$AA$100, AM7)&gt;0, "S",IF(COUNTIF('Tage Person4 Aus.4'!$A$3:$O$100, AM7)&gt;0, "U",IF(COUNTIF('Tage Person4 Aus.4'!$AE$3:$AI$100, AM7)&gt;0, "h", "")))</f>
        <v/>
      </c>
      <c r="AR7" s="8" t="str">
        <f>IF(COUNTIF('Tage ferien Aus.'!$A$3:$O$100, AM7)&gt;0, "E", "")</f>
        <v/>
      </c>
      <c r="AS7" s="8" t="str">
        <f>IF(COUNTIF('Tage feiertage Aus.'!$A$3:$O$100, AM7)&gt;0, "f", "")</f>
        <v/>
      </c>
      <c r="AT7" s="7">
        <f t="shared" si="6"/>
        <v>46209</v>
      </c>
      <c r="AU7" s="8" t="str">
        <f>IF(COUNTIF('Tage Person1 Aus.'!$V$3:$AA$100, AT7)&gt;0, "S",IF(COUNTIF('Tage Person1 Aus.'!$A$3:$O$100, AT7)&gt;0, "U",IF(COUNTIF('Tage Person1 Aus.'!$AE$3:$AI$100, AT7)&gt;0, "h", "")))</f>
        <v/>
      </c>
      <c r="AV7" s="8" t="str">
        <f>IF(COUNTIF('Tage Person2 Aus.2'!$V$3:$AA$100, AT7)&gt;0, "S",IF(COUNTIF('Tage Person2 Aus.2'!$A$3:$O$100, AT7)&gt;0, "U",IF(COUNTIF('Tage Person2 Aus.2'!$AE$3:$AI$100, AT7)&gt;0, "h", "")))</f>
        <v/>
      </c>
      <c r="AW7" s="8" t="str">
        <f>IF(COUNTIF('Tage Person3 Aus.3'!$V$3:$AA$100, AT7)&gt;0, "S",IF(COUNTIF('Tage Person3 Aus.3'!$A$3:$O$100, AT7)&gt;0, "U",IF(COUNTIF('Tage Person3 Aus.3'!$AE$3:$AI$100, AT7)&gt;0, "h", "")))</f>
        <v/>
      </c>
      <c r="AX7" s="8" t="str">
        <f>IF(COUNTIF('Tage Person4 Aus.4'!$V$3:$AA$100, AT7)&gt;0, "S",IF(COUNTIF('Tage Person4 Aus.4'!$A$3:$O$100, AT7)&gt;0, "U",IF(COUNTIF('Tage Person4 Aus.4'!$AE$3:$AI$100, AT7)&gt;0, "h", "")))</f>
        <v/>
      </c>
      <c r="AY7" s="8" t="str">
        <f>IF(COUNTIF('Tage ferien Aus.'!$A$3:$O$100, AT7)&gt;0, "E", "")</f>
        <v/>
      </c>
      <c r="AZ7" s="8" t="str">
        <f>IF(COUNTIF('Tage feiertage Aus.'!$A$3:$O$100, AT7)&gt;0, "f", "")</f>
        <v/>
      </c>
      <c r="BA7" s="7">
        <f t="shared" si="7"/>
        <v>46240</v>
      </c>
      <c r="BB7" s="8" t="str">
        <f>IF(COUNTIF('Tage Person1 Aus.'!$V$3:$AA$100, BA7)&gt;0, "S",IF(COUNTIF('Tage Person1 Aus.'!$A$3:$O$100, BA7)&gt;0, "U",IF(COUNTIF('Tage Person1 Aus.'!$AE$3:$AI$100, BA7)&gt;0, "h", "")))</f>
        <v/>
      </c>
      <c r="BC7" s="8" t="str">
        <f>IF(COUNTIF('Tage Person2 Aus.2'!$V$3:$AA$100, BA7)&gt;0, "S",IF(COUNTIF('Tage Person2 Aus.2'!$A$3:$O$100, BA7)&gt;0, "U",IF(COUNTIF('Tage Person2 Aus.2'!$AE$3:$AI$100, BA7)&gt;0, "h", "")))</f>
        <v/>
      </c>
      <c r="BD7" s="8" t="str">
        <f>IF(COUNTIF('Tage Person3 Aus.3'!$V$3:$AA$100, BA7)&gt;0, "S",IF(COUNTIF('Tage Person3 Aus.3'!$A$3:$O$100, BA7)&gt;0, "U",IF(COUNTIF('Tage Person3 Aus.3'!$AE$3:$AI$100, BA7)&gt;0, "h", "")))</f>
        <v/>
      </c>
      <c r="BE7" s="8" t="str">
        <f>IF(COUNTIF('Tage Person4 Aus.4'!$V$3:$AA$100, BA7)&gt;0, "S",IF(COUNTIF('Tage Person4 Aus.4'!$A$3:$O$100, BA7)&gt;0, "U",IF(COUNTIF('Tage Person4 Aus.4'!$AE$3:$AI$100, BA7)&gt;0, "h", "")))</f>
        <v/>
      </c>
      <c r="BF7" s="8" t="str">
        <f>IF(COUNTIF('Tage ferien Aus.'!$A$3:$O$100, BA7)&gt;0, "E", "")</f>
        <v>E</v>
      </c>
      <c r="BG7" s="8" t="str">
        <f>IF(COUNTIF('Tage feiertage Aus.'!$A$3:$O$100, BA7)&gt;0, "f", "")</f>
        <v/>
      </c>
      <c r="BH7" s="7">
        <f t="shared" si="8"/>
        <v>46271</v>
      </c>
      <c r="BI7" s="8" t="str">
        <f>IF(COUNTIF('Tage Person1 Aus.'!$V$3:$AA$100, BH7)&gt;0, "S",IF(COUNTIF('Tage Person1 Aus.'!$A$3:$O$100, BH7)&gt;0, "U",IF(COUNTIF('Tage Person1 Aus.'!$AE$3:$AI$100, BH7)&gt;0, "h", "")))</f>
        <v/>
      </c>
      <c r="BJ7" s="8" t="str">
        <f>IF(COUNTIF('Tage Person2 Aus.2'!$V$3:$AA$100, BH7)&gt;0, "S",IF(COUNTIF('Tage Person2 Aus.2'!$A$3:$O$100, BH7)&gt;0, "U",IF(COUNTIF('Tage Person2 Aus.2'!$AE$3:$AI$100, BH7)&gt;0, "h", "")))</f>
        <v/>
      </c>
      <c r="BK7" s="8" t="str">
        <f>IF(COUNTIF('Tage Person3 Aus.3'!$V$3:$AA$100, BH7)&gt;0, "S",IF(COUNTIF('Tage Person3 Aus.3'!$A$3:$O$100, BH7)&gt;0, "U",IF(COUNTIF('Tage Person3 Aus.3'!$AE$3:$AI$100, BH7)&gt;0, "h", "")))</f>
        <v/>
      </c>
      <c r="BL7" s="8" t="str">
        <f>IF(COUNTIF('Tage Person4 Aus.4'!$V$3:$AA$100, BH7)&gt;0, "S",IF(COUNTIF('Tage Person4 Aus.4'!$A$3:$O$100, BH7)&gt;0, "U",IF(COUNTIF('Tage Person4 Aus.4'!$AE$3:$AI$100, BH7)&gt;0, "h", "")))</f>
        <v/>
      </c>
      <c r="BM7" s="8" t="str">
        <f>IF(COUNTIF('Tage ferien Aus.'!$A$3:$O$100, BH7)&gt;0, "E", "")</f>
        <v/>
      </c>
      <c r="BN7" s="8" t="str">
        <f>IF(COUNTIF('Tage feiertage Aus.'!$A$3:$O$100, BH7)&gt;0, "f", "")</f>
        <v/>
      </c>
      <c r="BO7" s="7">
        <f t="shared" si="9"/>
        <v>46301</v>
      </c>
      <c r="BP7" s="8" t="str">
        <f>IF(COUNTIF('Tage Person1 Aus.'!$V$3:$AA$100, BO7)&gt;0, "S",IF(COUNTIF('Tage Person1 Aus.'!$A$3:$O$100, BO7)&gt;0, "U",IF(COUNTIF('Tage Person1 Aus.'!$AE$3:$AI$100, BO7)&gt;0, "h", "")))</f>
        <v/>
      </c>
      <c r="BQ7" s="8" t="str">
        <f>IF(COUNTIF('Tage Person2 Aus.2'!$V$3:$AA$100, BO7)&gt;0, "S",IF(COUNTIF('Tage Person2 Aus.2'!$A$3:$O$100, BO7)&gt;0, "U",IF(COUNTIF('Tage Person2 Aus.2'!$AE$3:$AI$100, BO7)&gt;0, "h", "")))</f>
        <v/>
      </c>
      <c r="BR7" s="8" t="str">
        <f>IF(COUNTIF('Tage Person3 Aus.3'!$V$3:$AA$100, BO7)&gt;0, "S",IF(COUNTIF('Tage Person3 Aus.3'!$A$3:$O$100, BO7)&gt;0, "U",IF(COUNTIF('Tage Person3 Aus.3'!$AE$3:$AI$100, BO7)&gt;0, "h", "")))</f>
        <v/>
      </c>
      <c r="BS7" s="8" t="str">
        <f>IF(COUNTIF('Tage Person4 Aus.4'!$V$3:$AA$100, BO7)&gt;0, "S",IF(COUNTIF('Tage Person4 Aus.4'!$A$3:$O$100, BO7)&gt;0, "U",IF(COUNTIF('Tage Person4 Aus.4'!$AE$3:$AI$100, BO7)&gt;0, "h", "")))</f>
        <v/>
      </c>
      <c r="BT7" s="8" t="str">
        <f>IF(COUNTIF('Tage ferien Aus.'!$A$3:$O$100, BO7)&gt;0, "E", "")</f>
        <v/>
      </c>
      <c r="BU7" s="8" t="str">
        <f>IF(COUNTIF('Tage feiertage Aus.'!$A$3:$O$100, BO7)&gt;0, "f", "")</f>
        <v/>
      </c>
      <c r="BV7" s="7">
        <f t="shared" si="10"/>
        <v>46332</v>
      </c>
      <c r="BW7" s="8" t="str">
        <f>IF(COUNTIF('Tage Person1 Aus.'!$V$3:$AA$100, BV7)&gt;0, "S",IF(COUNTIF('Tage Person1 Aus.'!$A$3:$O$100, BV7)&gt;0, "U",IF(COUNTIF('Tage Person1 Aus.'!$AE$3:$AI$100, BV7)&gt;0, "h", "")))</f>
        <v/>
      </c>
      <c r="BX7" s="8" t="str">
        <f>IF(COUNTIF('Tage Person2 Aus.2'!$V$3:$AA$100, BV7)&gt;0, "S",IF(COUNTIF('Tage Person2 Aus.2'!$A$3:$O$100, BV7)&gt;0, "U",IF(COUNTIF('Tage Person2 Aus.2'!$AE$3:$AI$100, BV7)&gt;0, "h", "")))</f>
        <v/>
      </c>
      <c r="BY7" s="8" t="str">
        <f>IF(COUNTIF('Tage Person3 Aus.3'!$V$3:$AA$100, BV7)&gt;0, "S",IF(COUNTIF('Tage Person3 Aus.3'!$A$3:$O$100, BV7)&gt;0, "U",IF(COUNTIF('Tage Person3 Aus.3'!$AE$3:$AI$100, BV7)&gt;0, "h", "")))</f>
        <v/>
      </c>
      <c r="BZ7" s="8" t="str">
        <f>IF(COUNTIF('Tage Person4 Aus.4'!$V$3:$AA$100, BV7)&gt;0, "S",IF(COUNTIF('Tage Person4 Aus.4'!$A$3:$O$100, BV7)&gt;0, "U",IF(COUNTIF('Tage Person4 Aus.4'!$AE$3:$AI$100, BV7)&gt;0, "h", "")))</f>
        <v/>
      </c>
      <c r="CA7" s="8" t="str">
        <f>IF(COUNTIF('Tage ferien Aus.'!$A$3:$O$100, BV7)&gt;0, "E", "")</f>
        <v/>
      </c>
      <c r="CB7" s="8" t="str">
        <f>IF(COUNTIF('Tage feiertage Aus.'!$A$3:$O$100, BV7)&gt;0, "f", "")</f>
        <v/>
      </c>
      <c r="CC7" s="7">
        <f t="shared" si="11"/>
        <v>46362</v>
      </c>
      <c r="CD7" s="10" t="str">
        <f>IF(COUNTIF('Tage Person1 Aus.'!$V$3:$AA$100, CC7)&gt;0, "S",IF(COUNTIF('Tage Person1 Aus.'!$A$3:$O$100, CC7)&gt;0, "U",IF(COUNTIF('Tage Person1 Aus.'!$AE$3:$AI$100, CC7)&gt;0, "h", "")))</f>
        <v/>
      </c>
      <c r="CE7" s="11" t="str">
        <f>IF(COUNTIF('Tage Person2 Aus.2'!$V$3:$AA$100, CC7)&gt;0, "S",IF(COUNTIF('Tage Person2 Aus.2'!$A$3:$O$100, CC7)&gt;0, "U",IF(COUNTIF('Tage Person2 Aus.2'!$AE$3:$AI$100, CC7)&gt;0, "h", "")))</f>
        <v/>
      </c>
      <c r="CF7" s="12" t="str">
        <f>IF(COUNTIF('Tage Person3 Aus.3'!$V$3:$AA$100, CC7)&gt;0, "S",IF(COUNTIF('Tage Person3 Aus.3'!$A$3:$O$100, CC7)&gt;0, "U",IF(COUNTIF('Tage Person3 Aus.3'!$AE$3:$AI$100, CC7)&gt;0, "h", "")))</f>
        <v/>
      </c>
      <c r="CG7" s="10" t="str">
        <f>IF(COUNTIF('Tage Person4 Aus.4'!$V$3:$AA$100, CC7)&gt;0, "S",IF(COUNTIF('Tage Person4 Aus.4'!$A$3:$O$100, CC7)&gt;0, "U",IF(COUNTIF('Tage Person4 Aus.4'!$AE$3:$AI$100, CC7)&gt;0, "h", "")))</f>
        <v/>
      </c>
      <c r="CH7" s="11" t="str">
        <f>IF(COUNTIF('Tage ferien Aus.'!$A$3:$O$100, CC7)&gt;0, "E", "")</f>
        <v/>
      </c>
      <c r="CI7" s="12" t="str">
        <f>IF(COUNTIF('Tage feiertage Aus.'!$A$3:$O$100, CC7)&gt;0, "f", "")</f>
        <v/>
      </c>
      <c r="CJ7" s="4"/>
      <c r="CK7" s="4"/>
      <c r="CL7" s="6"/>
      <c r="CM7" s="4"/>
      <c r="CN7" s="2"/>
      <c r="CO7" s="3"/>
      <c r="CP7" s="4"/>
      <c r="CQ7" s="2"/>
      <c r="CR7" s="3"/>
      <c r="CS7" s="4"/>
      <c r="CT7" s="4"/>
      <c r="CU7" s="6"/>
      <c r="CV7" s="4"/>
      <c r="CW7" s="4"/>
      <c r="CX7" s="6"/>
      <c r="CY7" s="4"/>
    </row>
    <row r="8" spans="1:103" x14ac:dyDescent="0.3">
      <c r="A8" s="64"/>
      <c r="B8" s="58"/>
      <c r="C8" s="57"/>
      <c r="D8" s="7">
        <f t="shared" si="0"/>
        <v>46029</v>
      </c>
      <c r="E8" s="8" t="str">
        <f>IF(COUNTIF('Tage Person1 Aus.'!$V$3:$AA$100, D8)&gt;0, "S",IF(COUNTIF('Tage Person1 Aus.'!$A$3:$O$100, D8)&gt;0, "U",IF(COUNTIF('Tage Person1 Aus.'!$AE$3:$AI$100, D8)&gt;0, "h", "")))</f>
        <v/>
      </c>
      <c r="F8" s="8" t="str">
        <f>IF(COUNTIF('Tage Person2 Aus.2'!$V$3:$AA$100, D8)&gt;0, "S",IF(COUNTIF('Tage Person2 Aus.2'!$A$3:$O$100, D8)&gt;0, "U",IF(COUNTIF('Tage Person2 Aus.2'!$AE$3:$AI$100, D8)&gt;0, "h", "")))</f>
        <v/>
      </c>
      <c r="G8" s="8" t="str">
        <f>IF(COUNTIF('Tage Person3 Aus.3'!$V$3:$AA$100, D8)&gt;0, "S",IF(COUNTIF('Tage Person3 Aus.3'!$A$3:$O$100, D8)&gt;0, "U",IF(COUNTIF('Tage Person3 Aus.3'!$AE$3:$AI$100, D8)&gt;0, "h", "")))</f>
        <v/>
      </c>
      <c r="H8" s="8" t="str">
        <f>IF(COUNTIF('Tage Person4 Aus.4'!$V$3:$AA$100, D8)&gt;0, "S",IF(COUNTIF('Tage Person4 Aus.4'!$A$3:$O$100, D8)&gt;0, "U",IF(COUNTIF('Tage Person4 Aus.4'!$AE$3:$AI$100, D8)&gt;0, "h", "")))</f>
        <v/>
      </c>
      <c r="I8" s="8" t="str">
        <f>IF(COUNTIF('Tage ferien Aus.'!$A$3:$O$100, D8)&gt;0, "E", "")</f>
        <v/>
      </c>
      <c r="J8" s="8" t="str">
        <f>IF(COUNTIF('Tage feiertage Aus.'!$A$3:$O$100, D8)&gt;0, "f", "")</f>
        <v/>
      </c>
      <c r="K8" s="7">
        <f t="shared" si="1"/>
        <v>46060</v>
      </c>
      <c r="L8" s="8" t="str">
        <f>IF(COUNTIF('Tage Person1 Aus.'!$V$3:$AA$100, K8)&gt;0, "S",IF(COUNTIF('Tage Person1 Aus.'!$A$3:$O$100, K8)&gt;0, "U",IF(COUNTIF('Tage Person1 Aus.'!$AE$3:$AI$100, K8)&gt;0, "h", "")))</f>
        <v/>
      </c>
      <c r="M8" s="8" t="str">
        <f>IF(COUNTIF('Tage Person2 Aus.2'!$V$3:$AA$100, K8)&gt;0, "S",IF(COUNTIF('Tage Person2 Aus.2'!$A$3:$O$100, K8)&gt;0, "U",IF(COUNTIF('Tage Person2 Aus.2'!$AE$3:$AI$100, K8)&gt;0, "h", "")))</f>
        <v/>
      </c>
      <c r="N8" s="8" t="str">
        <f>IF(COUNTIF('Tage Person3 Aus.3'!$V$3:$AA$100, K8)&gt;0, "S",IF(COUNTIF('Tage Person3 Aus.3'!$A$3:$O$100, K8)&gt;0, "U",IF(COUNTIF('Tage Person3 Aus.3'!$AE$3:$AI$100, K8)&gt;0, "h", "")))</f>
        <v/>
      </c>
      <c r="O8" s="8" t="str">
        <f>IF(COUNTIF('Tage Person4 Aus.4'!$V$3:$AA$100, K8)&gt;0, "S",IF(COUNTIF('Tage Person4 Aus.4'!$A$3:$O$100, K8)&gt;0, "U",IF(COUNTIF('Tage Person4 Aus.4'!$AE$3:$AI$100, K8)&gt;0, "h", "")))</f>
        <v/>
      </c>
      <c r="P8" s="8" t="str">
        <f>IF(COUNTIF('Tage ferien Aus.'!$A$3:$O$100, K8)&gt;0, "E", "")</f>
        <v/>
      </c>
      <c r="Q8" s="8" t="str">
        <f>IF(COUNTIF('Tage feiertage Aus.'!$A$3:$O$100, K8)&gt;0, "f", "")</f>
        <v/>
      </c>
      <c r="R8" s="7">
        <f t="shared" si="2"/>
        <v>46088</v>
      </c>
      <c r="S8" s="8" t="str">
        <f>IF(COUNTIF('Tage Person1 Aus.'!$V$3:$AA$100, R8)&gt;0, "S",IF(COUNTIF('Tage Person1 Aus.'!$A$3:$O$100, R8)&gt;0, "U",IF(COUNTIF('Tage Person1 Aus.'!$AE$3:$AI$100, R8)&gt;0, "h", "")))</f>
        <v/>
      </c>
      <c r="T8" s="8" t="str">
        <f>IF(COUNTIF('Tage Person2 Aus.2'!$V$3:$AA$100, R8)&gt;0, "S",IF(COUNTIF('Tage Person2 Aus.2'!$A$3:$O$100, R8)&gt;0, "U",IF(COUNTIF('Tage Person2 Aus.2'!$AE$3:$AI$100, R8)&gt;0, "h", "")))</f>
        <v/>
      </c>
      <c r="U8" s="8" t="str">
        <f>IF(COUNTIF('Tage Person3 Aus.3'!$V$3:$AA$100, R8)&gt;0, "S",IF(COUNTIF('Tage Person3 Aus.3'!$A$3:$O$100, R8)&gt;0, "U",IF(COUNTIF('Tage Person3 Aus.3'!$AE$3:$AI$100, R8)&gt;0, "h", "")))</f>
        <v/>
      </c>
      <c r="V8" s="8" t="str">
        <f>IF(COUNTIF('Tage Person4 Aus.4'!$V$3:$AA$100, R8)&gt;0, "S",IF(COUNTIF('Tage Person4 Aus.4'!$A$3:$O$100, R8)&gt;0, "U",IF(COUNTIF('Tage Person4 Aus.4'!$AE$3:$AI$100, R8)&gt;0, "h", "")))</f>
        <v/>
      </c>
      <c r="W8" s="8" t="str">
        <f>IF(COUNTIF('Tage ferien Aus.'!$A$3:$O$100, R8)&gt;0, "E", "")</f>
        <v/>
      </c>
      <c r="X8" s="8" t="str">
        <f>IF(COUNTIF('Tage feiertage Aus.'!$A$3:$O$100, R8)&gt;0, "f", "")</f>
        <v/>
      </c>
      <c r="Y8" s="7">
        <f t="shared" si="3"/>
        <v>46119</v>
      </c>
      <c r="Z8" s="8" t="str">
        <f>IF(COUNTIF('Tage Person1 Aus.'!$V$3:$AA$100, Y8)&gt;0, "S",IF(COUNTIF('Tage Person1 Aus.'!$A$3:$O$100, Y8)&gt;0, "U",IF(COUNTIF('Tage Person1 Aus.'!$AE$3:$AI$100, Y8)&gt;0, "h", "")))</f>
        <v/>
      </c>
      <c r="AA8" s="8" t="str">
        <f>IF(COUNTIF('Tage Person2 Aus.2'!$V$3:$AA$100, Y8)&gt;0, "S",IF(COUNTIF('Tage Person2 Aus.2'!$A$3:$O$100, Y8)&gt;0, "U",IF(COUNTIF('Tage Person2 Aus.2'!$AE$3:$AI$100, Y8)&gt;0, "h", "")))</f>
        <v/>
      </c>
      <c r="AB8" s="8" t="str">
        <f>IF(COUNTIF('Tage Person3 Aus.3'!$V$3:$AA$100, Y8)&gt;0, "S",IF(COUNTIF('Tage Person3 Aus.3'!$A$3:$O$100, Y8)&gt;0, "U",IF(COUNTIF('Tage Person3 Aus.3'!$AE$3:$AI$100, Y8)&gt;0, "h", "")))</f>
        <v/>
      </c>
      <c r="AC8" s="8" t="str">
        <f>IF(COUNTIF('Tage Person4 Aus.4'!$V$3:$AA$100, Y8)&gt;0, "S",IF(COUNTIF('Tage Person4 Aus.4'!$A$3:$O$100, Y8)&gt;0, "U",IF(COUNTIF('Tage Person4 Aus.4'!$AE$3:$AI$100, Y8)&gt;0, "h", "")))</f>
        <v/>
      </c>
      <c r="AD8" s="8" t="str">
        <f>IF(COUNTIF('Tage ferien Aus.'!$A$3:$O$100, Y8)&gt;0, "E", "")</f>
        <v>E</v>
      </c>
      <c r="AE8" s="8" t="str">
        <f>IF(COUNTIF('Tage feiertage Aus.'!$A$3:$O$100, Y8)&gt;0, "f", "")</f>
        <v/>
      </c>
      <c r="AF8" s="7">
        <f t="shared" si="4"/>
        <v>46149</v>
      </c>
      <c r="AG8" s="9" t="str">
        <f>IF(COUNTIF('Tage Person1 Aus.'!$V$3:$AA$100, AF8)&gt;0, "S",IF(COUNTIF('Tage Person1 Aus.'!$A$3:$O$100, AF8)&gt;0, "U",IF(COUNTIF('Tage Person1 Aus.'!$AE$3:$AI$100, AF8)&gt;0, "h", "")))</f>
        <v/>
      </c>
      <c r="AH8" s="8" t="str">
        <f>IF(COUNTIF('Tage Person2 Aus.2'!$V$3:$AA$100, AF8)&gt;0, "S",IF(COUNTIF('Tage Person2 Aus.2'!$A$3:$O$100, AF8)&gt;0, "U",IF(COUNTIF('Tage Person2 Aus.2'!$AE$3:$AI$100, AF8)&gt;0, "h", "")))</f>
        <v/>
      </c>
      <c r="AI8" s="8" t="str">
        <f>IF(COUNTIF('Tage Person3 Aus.3'!$V$3:$AA$100, AF8)&gt;0, "S",IF(COUNTIF('Tage Person3 Aus.3'!$A$3:$O$100, AF8)&gt;0, "U",IF(COUNTIF('Tage Person3 Aus.3'!$AE$3:$AI$100, AF8)&gt;0, "h", "")))</f>
        <v/>
      </c>
      <c r="AJ8" s="8" t="str">
        <f>IF(COUNTIF('Tage Person4 Aus.4'!$V$3:$AA$100, AF8)&gt;0, "S",IF(COUNTIF('Tage Person4 Aus.4'!$A$3:$O$100, AF8)&gt;0, "U",IF(COUNTIF('Tage Person4 Aus.4'!$AE$3:$AI$100, AF8)&gt;0, "h", "")))</f>
        <v/>
      </c>
      <c r="AK8" s="8" t="str">
        <f>IF(COUNTIF('Tage ferien Aus.'!$A$3:$O$100, AF8)&gt;0, "E", "")</f>
        <v/>
      </c>
      <c r="AL8" s="8" t="str">
        <f>IF(COUNTIF('Tage feiertage Aus.'!$A$3:$O$100, AF8)&gt;0, "f", "")</f>
        <v/>
      </c>
      <c r="AM8" s="7">
        <f t="shared" si="5"/>
        <v>46180</v>
      </c>
      <c r="AN8" s="8" t="str">
        <f>IF(COUNTIF('Tage Person1 Aus.'!$V$3:$AA$100, AM8)&gt;0, "S",IF(COUNTIF('Tage Person1 Aus.'!$A$3:$O$100, AM8)&gt;0, "U",IF(COUNTIF('Tage Person1 Aus.'!$AE$3:$AI$100, AM8)&gt;0, "h", "")))</f>
        <v/>
      </c>
      <c r="AO8" s="8" t="str">
        <f>IF(COUNTIF('Tage Person2 Aus.2'!$V$3:$AA$100, AM8)&gt;0, "S",IF(COUNTIF('Tage Person2 Aus.2'!$A$3:$O$100, AM8)&gt;0, "U",IF(COUNTIF('Tage Person2 Aus.2'!$AE$3:$AI$100, AM8)&gt;0, "h", "")))</f>
        <v/>
      </c>
      <c r="AP8" s="8" t="str">
        <f>IF(COUNTIF('Tage Person3 Aus.3'!$V$3:$AA$100, AM8)&gt;0, "S",IF(COUNTIF('Tage Person3 Aus.3'!$A$3:$O$100, AM8)&gt;0, "U",IF(COUNTIF('Tage Person3 Aus.3'!$AE$3:$AI$100, AM8)&gt;0, "h", "")))</f>
        <v/>
      </c>
      <c r="AQ8" s="8" t="str">
        <f>IF(COUNTIF('Tage Person4 Aus.4'!$V$3:$AA$100, AM8)&gt;0, "S",IF(COUNTIF('Tage Person4 Aus.4'!$A$3:$O$100, AM8)&gt;0, "U",IF(COUNTIF('Tage Person4 Aus.4'!$AE$3:$AI$100, AM8)&gt;0, "h", "")))</f>
        <v/>
      </c>
      <c r="AR8" s="8" t="str">
        <f>IF(COUNTIF('Tage ferien Aus.'!$A$3:$O$100, AM8)&gt;0, "E", "")</f>
        <v/>
      </c>
      <c r="AS8" s="8" t="str">
        <f>IF(COUNTIF('Tage feiertage Aus.'!$A$3:$O$100, AM8)&gt;0, "f", "")</f>
        <v/>
      </c>
      <c r="AT8" s="7">
        <f t="shared" si="6"/>
        <v>46210</v>
      </c>
      <c r="AU8" s="8" t="str">
        <f>IF(COUNTIF('Tage Person1 Aus.'!$V$3:$AA$100, AT8)&gt;0, "S",IF(COUNTIF('Tage Person1 Aus.'!$A$3:$O$100, AT8)&gt;0, "U",IF(COUNTIF('Tage Person1 Aus.'!$AE$3:$AI$100, AT8)&gt;0, "h", "")))</f>
        <v/>
      </c>
      <c r="AV8" s="8" t="str">
        <f>IF(COUNTIF('Tage Person2 Aus.2'!$V$3:$AA$100, AT8)&gt;0, "S",IF(COUNTIF('Tage Person2 Aus.2'!$A$3:$O$100, AT8)&gt;0, "U",IF(COUNTIF('Tage Person2 Aus.2'!$AE$3:$AI$100, AT8)&gt;0, "h", "")))</f>
        <v/>
      </c>
      <c r="AW8" s="8" t="str">
        <f>IF(COUNTIF('Tage Person3 Aus.3'!$V$3:$AA$100, AT8)&gt;0, "S",IF(COUNTIF('Tage Person3 Aus.3'!$A$3:$O$100, AT8)&gt;0, "U",IF(COUNTIF('Tage Person3 Aus.3'!$AE$3:$AI$100, AT8)&gt;0, "h", "")))</f>
        <v/>
      </c>
      <c r="AX8" s="8" t="str">
        <f>IF(COUNTIF('Tage Person4 Aus.4'!$V$3:$AA$100, AT8)&gt;0, "S",IF(COUNTIF('Tage Person4 Aus.4'!$A$3:$O$100, AT8)&gt;0, "U",IF(COUNTIF('Tage Person4 Aus.4'!$AE$3:$AI$100, AT8)&gt;0, "h", "")))</f>
        <v/>
      </c>
      <c r="AY8" s="8" t="str">
        <f>IF(COUNTIF('Tage ferien Aus.'!$A$3:$O$100, AT8)&gt;0, "E", "")</f>
        <v/>
      </c>
      <c r="AZ8" s="8" t="str">
        <f>IF(COUNTIF('Tage feiertage Aus.'!$A$3:$O$100, AT8)&gt;0, "f", "")</f>
        <v/>
      </c>
      <c r="BA8" s="7">
        <f t="shared" si="7"/>
        <v>46241</v>
      </c>
      <c r="BB8" s="8" t="str">
        <f>IF(COUNTIF('Tage Person1 Aus.'!$V$3:$AA$100, BA8)&gt;0, "S",IF(COUNTIF('Tage Person1 Aus.'!$A$3:$O$100, BA8)&gt;0, "U",IF(COUNTIF('Tage Person1 Aus.'!$AE$3:$AI$100, BA8)&gt;0, "h", "")))</f>
        <v/>
      </c>
      <c r="BC8" s="8" t="str">
        <f>IF(COUNTIF('Tage Person2 Aus.2'!$V$3:$AA$100, BA8)&gt;0, "S",IF(COUNTIF('Tage Person2 Aus.2'!$A$3:$O$100, BA8)&gt;0, "U",IF(COUNTIF('Tage Person2 Aus.2'!$AE$3:$AI$100, BA8)&gt;0, "h", "")))</f>
        <v/>
      </c>
      <c r="BD8" s="8" t="str">
        <f>IF(COUNTIF('Tage Person3 Aus.3'!$V$3:$AA$100, BA8)&gt;0, "S",IF(COUNTIF('Tage Person3 Aus.3'!$A$3:$O$100, BA8)&gt;0, "U",IF(COUNTIF('Tage Person3 Aus.3'!$AE$3:$AI$100, BA8)&gt;0, "h", "")))</f>
        <v/>
      </c>
      <c r="BE8" s="8" t="str">
        <f>IF(COUNTIF('Tage Person4 Aus.4'!$V$3:$AA$100, BA8)&gt;0, "S",IF(COUNTIF('Tage Person4 Aus.4'!$A$3:$O$100, BA8)&gt;0, "U",IF(COUNTIF('Tage Person4 Aus.4'!$AE$3:$AI$100, BA8)&gt;0, "h", "")))</f>
        <v/>
      </c>
      <c r="BF8" s="8" t="str">
        <f>IF(COUNTIF('Tage ferien Aus.'!$A$3:$O$100, BA8)&gt;0, "E", "")</f>
        <v>E</v>
      </c>
      <c r="BG8" s="8" t="str">
        <f>IF(COUNTIF('Tage feiertage Aus.'!$A$3:$O$100, BA8)&gt;0, "f", "")</f>
        <v/>
      </c>
      <c r="BH8" s="7">
        <f t="shared" si="8"/>
        <v>46272</v>
      </c>
      <c r="BI8" s="8" t="str">
        <f>IF(COUNTIF('Tage Person1 Aus.'!$V$3:$AA$100, BH8)&gt;0, "S",IF(COUNTIF('Tage Person1 Aus.'!$A$3:$O$100, BH8)&gt;0, "U",IF(COUNTIF('Tage Person1 Aus.'!$AE$3:$AI$100, BH8)&gt;0, "h", "")))</f>
        <v/>
      </c>
      <c r="BJ8" s="8" t="str">
        <f>IF(COUNTIF('Tage Person2 Aus.2'!$V$3:$AA$100, BH8)&gt;0, "S",IF(COUNTIF('Tage Person2 Aus.2'!$A$3:$O$100, BH8)&gt;0, "U",IF(COUNTIF('Tage Person2 Aus.2'!$AE$3:$AI$100, BH8)&gt;0, "h", "")))</f>
        <v/>
      </c>
      <c r="BK8" s="8" t="str">
        <f>IF(COUNTIF('Tage Person3 Aus.3'!$V$3:$AA$100, BH8)&gt;0, "S",IF(COUNTIF('Tage Person3 Aus.3'!$A$3:$O$100, BH8)&gt;0, "U",IF(COUNTIF('Tage Person3 Aus.3'!$AE$3:$AI$100, BH8)&gt;0, "h", "")))</f>
        <v/>
      </c>
      <c r="BL8" s="8" t="str">
        <f>IF(COUNTIF('Tage Person4 Aus.4'!$V$3:$AA$100, BH8)&gt;0, "S",IF(COUNTIF('Tage Person4 Aus.4'!$A$3:$O$100, BH8)&gt;0, "U",IF(COUNTIF('Tage Person4 Aus.4'!$AE$3:$AI$100, BH8)&gt;0, "h", "")))</f>
        <v/>
      </c>
      <c r="BM8" s="8" t="str">
        <f>IF(COUNTIF('Tage ferien Aus.'!$A$3:$O$100, BH8)&gt;0, "E", "")</f>
        <v/>
      </c>
      <c r="BN8" s="8" t="str">
        <f>IF(COUNTIF('Tage feiertage Aus.'!$A$3:$O$100, BH8)&gt;0, "f", "")</f>
        <v/>
      </c>
      <c r="BO8" s="7">
        <f t="shared" si="9"/>
        <v>46302</v>
      </c>
      <c r="BP8" s="8" t="str">
        <f>IF(COUNTIF('Tage Person1 Aus.'!$V$3:$AA$100, BO8)&gt;0, "S",IF(COUNTIF('Tage Person1 Aus.'!$A$3:$O$100, BO8)&gt;0, "U",IF(COUNTIF('Tage Person1 Aus.'!$AE$3:$AI$100, BO8)&gt;0, "h", "")))</f>
        <v/>
      </c>
      <c r="BQ8" s="8" t="str">
        <f>IF(COUNTIF('Tage Person2 Aus.2'!$V$3:$AA$100, BO8)&gt;0, "S",IF(COUNTIF('Tage Person2 Aus.2'!$A$3:$O$100, BO8)&gt;0, "U",IF(COUNTIF('Tage Person2 Aus.2'!$AE$3:$AI$100, BO8)&gt;0, "h", "")))</f>
        <v/>
      </c>
      <c r="BR8" s="8" t="str">
        <f>IF(COUNTIF('Tage Person3 Aus.3'!$V$3:$AA$100, BO8)&gt;0, "S",IF(COUNTIF('Tage Person3 Aus.3'!$A$3:$O$100, BO8)&gt;0, "U",IF(COUNTIF('Tage Person3 Aus.3'!$AE$3:$AI$100, BO8)&gt;0, "h", "")))</f>
        <v/>
      </c>
      <c r="BS8" s="8" t="str">
        <f>IF(COUNTIF('Tage Person4 Aus.4'!$V$3:$AA$100, BO8)&gt;0, "S",IF(COUNTIF('Tage Person4 Aus.4'!$A$3:$O$100, BO8)&gt;0, "U",IF(COUNTIF('Tage Person4 Aus.4'!$AE$3:$AI$100, BO8)&gt;0, "h", "")))</f>
        <v/>
      </c>
      <c r="BT8" s="8" t="str">
        <f>IF(COUNTIF('Tage ferien Aus.'!$A$3:$O$100, BO8)&gt;0, "E", "")</f>
        <v/>
      </c>
      <c r="BU8" s="8" t="str">
        <f>IF(COUNTIF('Tage feiertage Aus.'!$A$3:$O$100, BO8)&gt;0, "f", "")</f>
        <v/>
      </c>
      <c r="BV8" s="7">
        <f t="shared" si="10"/>
        <v>46333</v>
      </c>
      <c r="BW8" s="8" t="str">
        <f>IF(COUNTIF('Tage Person1 Aus.'!$V$3:$AA$100, BV8)&gt;0, "S",IF(COUNTIF('Tage Person1 Aus.'!$A$3:$O$100, BV8)&gt;0, "U",IF(COUNTIF('Tage Person1 Aus.'!$AE$3:$AI$100, BV8)&gt;0, "h", "")))</f>
        <v/>
      </c>
      <c r="BX8" s="8" t="str">
        <f>IF(COUNTIF('Tage Person2 Aus.2'!$V$3:$AA$100, BV8)&gt;0, "S",IF(COUNTIF('Tage Person2 Aus.2'!$A$3:$O$100, BV8)&gt;0, "U",IF(COUNTIF('Tage Person2 Aus.2'!$AE$3:$AI$100, BV8)&gt;0, "h", "")))</f>
        <v/>
      </c>
      <c r="BY8" s="8" t="str">
        <f>IF(COUNTIF('Tage Person3 Aus.3'!$V$3:$AA$100, BV8)&gt;0, "S",IF(COUNTIF('Tage Person3 Aus.3'!$A$3:$O$100, BV8)&gt;0, "U",IF(COUNTIF('Tage Person3 Aus.3'!$AE$3:$AI$100, BV8)&gt;0, "h", "")))</f>
        <v/>
      </c>
      <c r="BZ8" s="8" t="str">
        <f>IF(COUNTIF('Tage Person4 Aus.4'!$V$3:$AA$100, BV8)&gt;0, "S",IF(COUNTIF('Tage Person4 Aus.4'!$A$3:$O$100, BV8)&gt;0, "U",IF(COUNTIF('Tage Person4 Aus.4'!$AE$3:$AI$100, BV8)&gt;0, "h", "")))</f>
        <v/>
      </c>
      <c r="CA8" s="8" t="str">
        <f>IF(COUNTIF('Tage ferien Aus.'!$A$3:$O$100, BV8)&gt;0, "E", "")</f>
        <v/>
      </c>
      <c r="CB8" s="8" t="str">
        <f>IF(COUNTIF('Tage feiertage Aus.'!$A$3:$O$100, BV8)&gt;0, "f", "")</f>
        <v/>
      </c>
      <c r="CC8" s="7">
        <f t="shared" si="11"/>
        <v>46363</v>
      </c>
      <c r="CD8" s="10" t="str">
        <f>IF(COUNTIF('Tage Person1 Aus.'!$V$3:$AA$100, CC8)&gt;0, "S",IF(COUNTIF('Tage Person1 Aus.'!$A$3:$O$100, CC8)&gt;0, "U",IF(COUNTIF('Tage Person1 Aus.'!$AE$3:$AI$100, CC8)&gt;0, "h", "")))</f>
        <v/>
      </c>
      <c r="CE8" s="11" t="str">
        <f>IF(COUNTIF('Tage Person2 Aus.2'!$V$3:$AA$100, CC8)&gt;0, "S",IF(COUNTIF('Tage Person2 Aus.2'!$A$3:$O$100, CC8)&gt;0, "U",IF(COUNTIF('Tage Person2 Aus.2'!$AE$3:$AI$100, CC8)&gt;0, "h", "")))</f>
        <v/>
      </c>
      <c r="CF8" s="12" t="str">
        <f>IF(COUNTIF('Tage Person3 Aus.3'!$V$3:$AA$100, CC8)&gt;0, "S",IF(COUNTIF('Tage Person3 Aus.3'!$A$3:$O$100, CC8)&gt;0, "U",IF(COUNTIF('Tage Person3 Aus.3'!$AE$3:$AI$100, CC8)&gt;0, "h", "")))</f>
        <v/>
      </c>
      <c r="CG8" s="10" t="str">
        <f>IF(COUNTIF('Tage Person4 Aus.4'!$V$3:$AA$100, CC8)&gt;0, "S",IF(COUNTIF('Tage Person4 Aus.4'!$A$3:$O$100, CC8)&gt;0, "U",IF(COUNTIF('Tage Person4 Aus.4'!$AE$3:$AI$100, CC8)&gt;0, "h", "")))</f>
        <v/>
      </c>
      <c r="CH8" s="11" t="str">
        <f>IF(COUNTIF('Tage ferien Aus.'!$A$3:$O$100, CC8)&gt;0, "E", "")</f>
        <v/>
      </c>
      <c r="CI8" s="12" t="str">
        <f>IF(COUNTIF('Tage feiertage Aus.'!$A$3:$O$100, CC8)&gt;0, "f", "")</f>
        <v/>
      </c>
      <c r="CJ8" s="4"/>
      <c r="CK8" s="4"/>
      <c r="CL8" s="6"/>
      <c r="CM8" s="4"/>
      <c r="CN8" s="2"/>
      <c r="CO8" s="3"/>
      <c r="CP8" s="4"/>
      <c r="CQ8" s="2"/>
      <c r="CR8" s="3"/>
      <c r="CS8" s="4"/>
      <c r="CT8" s="4"/>
      <c r="CU8" s="6"/>
      <c r="CV8" s="4"/>
      <c r="CW8" s="4"/>
      <c r="CX8" s="6"/>
      <c r="CY8" s="4"/>
    </row>
    <row r="9" spans="1:103" x14ac:dyDescent="0.3">
      <c r="A9" s="65" t="s">
        <v>17</v>
      </c>
      <c r="B9" s="58"/>
      <c r="C9" s="57"/>
      <c r="D9" s="7">
        <f t="shared" si="0"/>
        <v>46030</v>
      </c>
      <c r="E9" s="8" t="str">
        <f>IF(COUNTIF('Tage Person1 Aus.'!$V$3:$AA$100, D9)&gt;0, "S",IF(COUNTIF('Tage Person1 Aus.'!$A$3:$O$100, D9)&gt;0, "U",IF(COUNTIF('Tage Person1 Aus.'!$AE$3:$AI$100, D9)&gt;0, "h", "")))</f>
        <v/>
      </c>
      <c r="F9" s="8" t="str">
        <f>IF(COUNTIF('Tage Person2 Aus.2'!$V$3:$AA$100, D9)&gt;0, "S",IF(COUNTIF('Tage Person2 Aus.2'!$A$3:$O$100, D9)&gt;0, "U",IF(COUNTIF('Tage Person2 Aus.2'!$AE$3:$AI$100, D9)&gt;0, "h", "")))</f>
        <v/>
      </c>
      <c r="G9" s="8" t="str">
        <f>IF(COUNTIF('Tage Person3 Aus.3'!$V$3:$AA$100, D9)&gt;0, "S",IF(COUNTIF('Tage Person3 Aus.3'!$A$3:$O$100, D9)&gt;0, "U",IF(COUNTIF('Tage Person3 Aus.3'!$AE$3:$AI$100, D9)&gt;0, "h", "")))</f>
        <v/>
      </c>
      <c r="H9" s="8" t="str">
        <f>IF(COUNTIF('Tage Person4 Aus.4'!$V$3:$AA$100, D9)&gt;0, "S",IF(COUNTIF('Tage Person4 Aus.4'!$A$3:$O$100, D9)&gt;0, "U",IF(COUNTIF('Tage Person4 Aus.4'!$AE$3:$AI$100, D9)&gt;0, "h", "")))</f>
        <v/>
      </c>
      <c r="I9" s="8" t="str">
        <f>IF(COUNTIF('Tage ferien Aus.'!$A$3:$O$100, D9)&gt;0, "E", "")</f>
        <v/>
      </c>
      <c r="J9" s="8" t="str">
        <f>IF(COUNTIF('Tage feiertage Aus.'!$A$3:$O$100, D9)&gt;0, "f", "")</f>
        <v/>
      </c>
      <c r="K9" s="7">
        <f t="shared" si="1"/>
        <v>46061</v>
      </c>
      <c r="L9" s="8" t="str">
        <f>IF(COUNTIF('Tage Person1 Aus.'!$V$3:$AA$100, K9)&gt;0, "S",IF(COUNTIF('Tage Person1 Aus.'!$A$3:$O$100, K9)&gt;0, "U",IF(COUNTIF('Tage Person1 Aus.'!$AE$3:$AI$100, K9)&gt;0, "h", "")))</f>
        <v/>
      </c>
      <c r="M9" s="8" t="str">
        <f>IF(COUNTIF('Tage Person2 Aus.2'!$V$3:$AA$100, K9)&gt;0, "S",IF(COUNTIF('Tage Person2 Aus.2'!$A$3:$O$100, K9)&gt;0, "U",IF(COUNTIF('Tage Person2 Aus.2'!$AE$3:$AI$100, K9)&gt;0, "h", "")))</f>
        <v/>
      </c>
      <c r="N9" s="8" t="str">
        <f>IF(COUNTIF('Tage Person3 Aus.3'!$V$3:$AA$100, K9)&gt;0, "S",IF(COUNTIF('Tage Person3 Aus.3'!$A$3:$O$100, K9)&gt;0, "U",IF(COUNTIF('Tage Person3 Aus.3'!$AE$3:$AI$100, K9)&gt;0, "h", "")))</f>
        <v/>
      </c>
      <c r="O9" s="8" t="str">
        <f>IF(COUNTIF('Tage Person4 Aus.4'!$V$3:$AA$100, K9)&gt;0, "S",IF(COUNTIF('Tage Person4 Aus.4'!$A$3:$O$100, K9)&gt;0, "U",IF(COUNTIF('Tage Person4 Aus.4'!$AE$3:$AI$100, K9)&gt;0, "h", "")))</f>
        <v/>
      </c>
      <c r="P9" s="8" t="str">
        <f>IF(COUNTIF('Tage ferien Aus.'!$A$3:$O$100, K9)&gt;0, "E", "")</f>
        <v/>
      </c>
      <c r="Q9" s="8" t="str">
        <f>IF(COUNTIF('Tage feiertage Aus.'!$A$3:$O$100, K9)&gt;0, "f", "")</f>
        <v/>
      </c>
      <c r="R9" s="7">
        <f t="shared" si="2"/>
        <v>46089</v>
      </c>
      <c r="S9" s="8" t="str">
        <f>IF(COUNTIF('Tage Person1 Aus.'!$V$3:$AA$100, R9)&gt;0, "S",IF(COUNTIF('Tage Person1 Aus.'!$A$3:$O$100, R9)&gt;0, "U",IF(COUNTIF('Tage Person1 Aus.'!$AE$3:$AI$100, R9)&gt;0, "h", "")))</f>
        <v/>
      </c>
      <c r="T9" s="8" t="str">
        <f>IF(COUNTIF('Tage Person2 Aus.2'!$V$3:$AA$100, R9)&gt;0, "S",IF(COUNTIF('Tage Person2 Aus.2'!$A$3:$O$100, R9)&gt;0, "U",IF(COUNTIF('Tage Person2 Aus.2'!$AE$3:$AI$100, R9)&gt;0, "h", "")))</f>
        <v/>
      </c>
      <c r="U9" s="8" t="str">
        <f>IF(COUNTIF('Tage Person3 Aus.3'!$V$3:$AA$100, R9)&gt;0, "S",IF(COUNTIF('Tage Person3 Aus.3'!$A$3:$O$100, R9)&gt;0, "U",IF(COUNTIF('Tage Person3 Aus.3'!$AE$3:$AI$100, R9)&gt;0, "h", "")))</f>
        <v/>
      </c>
      <c r="V9" s="8" t="str">
        <f>IF(COUNTIF('Tage Person4 Aus.4'!$V$3:$AA$100, R9)&gt;0, "S",IF(COUNTIF('Tage Person4 Aus.4'!$A$3:$O$100, R9)&gt;0, "U",IF(COUNTIF('Tage Person4 Aus.4'!$AE$3:$AI$100, R9)&gt;0, "h", "")))</f>
        <v/>
      </c>
      <c r="W9" s="8" t="str">
        <f>IF(COUNTIF('Tage ferien Aus.'!$A$3:$O$100, R9)&gt;0, "E", "")</f>
        <v/>
      </c>
      <c r="X9" s="8" t="str">
        <f>IF(COUNTIF('Tage feiertage Aus.'!$A$3:$O$100, R9)&gt;0, "f", "")</f>
        <v/>
      </c>
      <c r="Y9" s="7">
        <f t="shared" si="3"/>
        <v>46120</v>
      </c>
      <c r="Z9" s="8" t="str">
        <f>IF(COUNTIF('Tage Person1 Aus.'!$V$3:$AA$100, Y9)&gt;0, "S",IF(COUNTIF('Tage Person1 Aus.'!$A$3:$O$100, Y9)&gt;0, "U",IF(COUNTIF('Tage Person1 Aus.'!$AE$3:$AI$100, Y9)&gt;0, "h", "")))</f>
        <v/>
      </c>
      <c r="AA9" s="8" t="str">
        <f>IF(COUNTIF('Tage Person2 Aus.2'!$V$3:$AA$100, Y9)&gt;0, "S",IF(COUNTIF('Tage Person2 Aus.2'!$A$3:$O$100, Y9)&gt;0, "U",IF(COUNTIF('Tage Person2 Aus.2'!$AE$3:$AI$100, Y9)&gt;0, "h", "")))</f>
        <v/>
      </c>
      <c r="AB9" s="8" t="str">
        <f>IF(COUNTIF('Tage Person3 Aus.3'!$V$3:$AA$100, Y9)&gt;0, "S",IF(COUNTIF('Tage Person3 Aus.3'!$A$3:$O$100, Y9)&gt;0, "U",IF(COUNTIF('Tage Person3 Aus.3'!$AE$3:$AI$100, Y9)&gt;0, "h", "")))</f>
        <v/>
      </c>
      <c r="AC9" s="8" t="str">
        <f>IF(COUNTIF('Tage Person4 Aus.4'!$V$3:$AA$100, Y9)&gt;0, "S",IF(COUNTIF('Tage Person4 Aus.4'!$A$3:$O$100, Y9)&gt;0, "U",IF(COUNTIF('Tage Person4 Aus.4'!$AE$3:$AI$100, Y9)&gt;0, "h", "")))</f>
        <v/>
      </c>
      <c r="AD9" s="8" t="str">
        <f>IF(COUNTIF('Tage ferien Aus.'!$A$3:$O$100, Y9)&gt;0, "E", "")</f>
        <v>E</v>
      </c>
      <c r="AE9" s="8" t="str">
        <f>IF(COUNTIF('Tage feiertage Aus.'!$A$3:$O$100, Y9)&gt;0, "f", "")</f>
        <v/>
      </c>
      <c r="AF9" s="7">
        <f t="shared" si="4"/>
        <v>46150</v>
      </c>
      <c r="AG9" s="9" t="str">
        <f>IF(COUNTIF('Tage Person1 Aus.'!$V$3:$AA$100, AF9)&gt;0, "S",IF(COUNTIF('Tage Person1 Aus.'!$A$3:$O$100, AF9)&gt;0, "U",IF(COUNTIF('Tage Person1 Aus.'!$AE$3:$AI$100, AF9)&gt;0, "h", "")))</f>
        <v/>
      </c>
      <c r="AH9" s="8" t="str">
        <f>IF(COUNTIF('Tage Person2 Aus.2'!$V$3:$AA$100, AF9)&gt;0, "S",IF(COUNTIF('Tage Person2 Aus.2'!$A$3:$O$100, AF9)&gt;0, "U",IF(COUNTIF('Tage Person2 Aus.2'!$AE$3:$AI$100, AF9)&gt;0, "h", "")))</f>
        <v/>
      </c>
      <c r="AI9" s="8" t="str">
        <f>IF(COUNTIF('Tage Person3 Aus.3'!$V$3:$AA$100, AF9)&gt;0, "S",IF(COUNTIF('Tage Person3 Aus.3'!$A$3:$O$100, AF9)&gt;0, "U",IF(COUNTIF('Tage Person3 Aus.3'!$AE$3:$AI$100, AF9)&gt;0, "h", "")))</f>
        <v/>
      </c>
      <c r="AJ9" s="8" t="str">
        <f>IF(COUNTIF('Tage Person4 Aus.4'!$V$3:$AA$100, AF9)&gt;0, "S",IF(COUNTIF('Tage Person4 Aus.4'!$A$3:$O$100, AF9)&gt;0, "U",IF(COUNTIF('Tage Person4 Aus.4'!$AE$3:$AI$100, AF9)&gt;0, "h", "")))</f>
        <v/>
      </c>
      <c r="AK9" s="8" t="str">
        <f>IF(COUNTIF('Tage ferien Aus.'!$A$3:$O$100, AF9)&gt;0, "E", "")</f>
        <v/>
      </c>
      <c r="AL9" s="8" t="str">
        <f>IF(COUNTIF('Tage feiertage Aus.'!$A$3:$O$100, AF9)&gt;0, "f", "")</f>
        <v/>
      </c>
      <c r="AM9" s="7">
        <f t="shared" si="5"/>
        <v>46181</v>
      </c>
      <c r="AN9" s="8" t="str">
        <f>IF(COUNTIF('Tage Person1 Aus.'!$V$3:$AA$100, AM9)&gt;0, "S",IF(COUNTIF('Tage Person1 Aus.'!$A$3:$O$100, AM9)&gt;0, "U",IF(COUNTIF('Tage Person1 Aus.'!$AE$3:$AI$100, AM9)&gt;0, "h", "")))</f>
        <v/>
      </c>
      <c r="AO9" s="8" t="str">
        <f>IF(COUNTIF('Tage Person2 Aus.2'!$V$3:$AA$100, AM9)&gt;0, "S",IF(COUNTIF('Tage Person2 Aus.2'!$A$3:$O$100, AM9)&gt;0, "U",IF(COUNTIF('Tage Person2 Aus.2'!$AE$3:$AI$100, AM9)&gt;0, "h", "")))</f>
        <v/>
      </c>
      <c r="AP9" s="8" t="str">
        <f>IF(COUNTIF('Tage Person3 Aus.3'!$V$3:$AA$100, AM9)&gt;0, "S",IF(COUNTIF('Tage Person3 Aus.3'!$A$3:$O$100, AM9)&gt;0, "U",IF(COUNTIF('Tage Person3 Aus.3'!$AE$3:$AI$100, AM9)&gt;0, "h", "")))</f>
        <v/>
      </c>
      <c r="AQ9" s="8" t="str">
        <f>IF(COUNTIF('Tage Person4 Aus.4'!$V$3:$AA$100, AM9)&gt;0, "S",IF(COUNTIF('Tage Person4 Aus.4'!$A$3:$O$100, AM9)&gt;0, "U",IF(COUNTIF('Tage Person4 Aus.4'!$AE$3:$AI$100, AM9)&gt;0, "h", "")))</f>
        <v/>
      </c>
      <c r="AR9" s="8" t="str">
        <f>IF(COUNTIF('Tage ferien Aus.'!$A$3:$O$100, AM9)&gt;0, "E", "")</f>
        <v/>
      </c>
      <c r="AS9" s="8" t="str">
        <f>IF(COUNTIF('Tage feiertage Aus.'!$A$3:$O$100, AM9)&gt;0, "f", "")</f>
        <v/>
      </c>
      <c r="AT9" s="7">
        <f t="shared" si="6"/>
        <v>46211</v>
      </c>
      <c r="AU9" s="8" t="str">
        <f>IF(COUNTIF('Tage Person1 Aus.'!$V$3:$AA$100, AT9)&gt;0, "S",IF(COUNTIF('Tage Person1 Aus.'!$A$3:$O$100, AT9)&gt;0, "U",IF(COUNTIF('Tage Person1 Aus.'!$AE$3:$AI$100, AT9)&gt;0, "h", "")))</f>
        <v/>
      </c>
      <c r="AV9" s="8" t="str">
        <f>IF(COUNTIF('Tage Person2 Aus.2'!$V$3:$AA$100, AT9)&gt;0, "S",IF(COUNTIF('Tage Person2 Aus.2'!$A$3:$O$100, AT9)&gt;0, "U",IF(COUNTIF('Tage Person2 Aus.2'!$AE$3:$AI$100, AT9)&gt;0, "h", "")))</f>
        <v/>
      </c>
      <c r="AW9" s="8" t="str">
        <f>IF(COUNTIF('Tage Person3 Aus.3'!$V$3:$AA$100, AT9)&gt;0, "S",IF(COUNTIF('Tage Person3 Aus.3'!$A$3:$O$100, AT9)&gt;0, "U",IF(COUNTIF('Tage Person3 Aus.3'!$AE$3:$AI$100, AT9)&gt;0, "h", "")))</f>
        <v/>
      </c>
      <c r="AX9" s="8" t="str">
        <f>IF(COUNTIF('Tage Person4 Aus.4'!$V$3:$AA$100, AT9)&gt;0, "S",IF(COUNTIF('Tage Person4 Aus.4'!$A$3:$O$100, AT9)&gt;0, "U",IF(COUNTIF('Tage Person4 Aus.4'!$AE$3:$AI$100, AT9)&gt;0, "h", "")))</f>
        <v/>
      </c>
      <c r="AY9" s="8" t="str">
        <f>IF(COUNTIF('Tage ferien Aus.'!$A$3:$O$100, AT9)&gt;0, "E", "")</f>
        <v/>
      </c>
      <c r="AZ9" s="8" t="str">
        <f>IF(COUNTIF('Tage feiertage Aus.'!$A$3:$O$100, AT9)&gt;0, "f", "")</f>
        <v/>
      </c>
      <c r="BA9" s="7">
        <f t="shared" si="7"/>
        <v>46242</v>
      </c>
      <c r="BB9" s="8" t="str">
        <f>IF(COUNTIF('Tage Person1 Aus.'!$V$3:$AA$100, BA9)&gt;0, "S",IF(COUNTIF('Tage Person1 Aus.'!$A$3:$O$100, BA9)&gt;0, "U",IF(COUNTIF('Tage Person1 Aus.'!$AE$3:$AI$100, BA9)&gt;0, "h", "")))</f>
        <v/>
      </c>
      <c r="BC9" s="8" t="str">
        <f>IF(COUNTIF('Tage Person2 Aus.2'!$V$3:$AA$100, BA9)&gt;0, "S",IF(COUNTIF('Tage Person2 Aus.2'!$A$3:$O$100, BA9)&gt;0, "U",IF(COUNTIF('Tage Person2 Aus.2'!$AE$3:$AI$100, BA9)&gt;0, "h", "")))</f>
        <v/>
      </c>
      <c r="BD9" s="8" t="str">
        <f>IF(COUNTIF('Tage Person3 Aus.3'!$V$3:$AA$100, BA9)&gt;0, "S",IF(COUNTIF('Tage Person3 Aus.3'!$A$3:$O$100, BA9)&gt;0, "U",IF(COUNTIF('Tage Person3 Aus.3'!$AE$3:$AI$100, BA9)&gt;0, "h", "")))</f>
        <v/>
      </c>
      <c r="BE9" s="8" t="str">
        <f>IF(COUNTIF('Tage Person4 Aus.4'!$V$3:$AA$100, BA9)&gt;0, "S",IF(COUNTIF('Tage Person4 Aus.4'!$A$3:$O$100, BA9)&gt;0, "U",IF(COUNTIF('Tage Person4 Aus.4'!$AE$3:$AI$100, BA9)&gt;0, "h", "")))</f>
        <v/>
      </c>
      <c r="BF9" s="8" t="str">
        <f>IF(COUNTIF('Tage ferien Aus.'!$A$3:$O$100, BA9)&gt;0, "E", "")</f>
        <v>E</v>
      </c>
      <c r="BG9" s="8" t="str">
        <f>IF(COUNTIF('Tage feiertage Aus.'!$A$3:$O$100, BA9)&gt;0, "f", "")</f>
        <v/>
      </c>
      <c r="BH9" s="7">
        <f t="shared" si="8"/>
        <v>46273</v>
      </c>
      <c r="BI9" s="8" t="str">
        <f>IF(COUNTIF('Tage Person1 Aus.'!$V$3:$AA$100, BH9)&gt;0, "S",IF(COUNTIF('Tage Person1 Aus.'!$A$3:$O$100, BH9)&gt;0, "U",IF(COUNTIF('Tage Person1 Aus.'!$AE$3:$AI$100, BH9)&gt;0, "h", "")))</f>
        <v/>
      </c>
      <c r="BJ9" s="8" t="str">
        <f>IF(COUNTIF('Tage Person2 Aus.2'!$V$3:$AA$100, BH9)&gt;0, "S",IF(COUNTIF('Tage Person2 Aus.2'!$A$3:$O$100, BH9)&gt;0, "U",IF(COUNTIF('Tage Person2 Aus.2'!$AE$3:$AI$100, BH9)&gt;0, "h", "")))</f>
        <v/>
      </c>
      <c r="BK9" s="8" t="str">
        <f>IF(COUNTIF('Tage Person3 Aus.3'!$V$3:$AA$100, BH9)&gt;0, "S",IF(COUNTIF('Tage Person3 Aus.3'!$A$3:$O$100, BH9)&gt;0, "U",IF(COUNTIF('Tage Person3 Aus.3'!$AE$3:$AI$100, BH9)&gt;0, "h", "")))</f>
        <v/>
      </c>
      <c r="BL9" s="8" t="str">
        <f>IF(COUNTIF('Tage Person4 Aus.4'!$V$3:$AA$100, BH9)&gt;0, "S",IF(COUNTIF('Tage Person4 Aus.4'!$A$3:$O$100, BH9)&gt;0, "U",IF(COUNTIF('Tage Person4 Aus.4'!$AE$3:$AI$100, BH9)&gt;0, "h", "")))</f>
        <v/>
      </c>
      <c r="BM9" s="8" t="str">
        <f>IF(COUNTIF('Tage ferien Aus.'!$A$3:$O$100, BH9)&gt;0, "E", "")</f>
        <v/>
      </c>
      <c r="BN9" s="8" t="str">
        <f>IF(COUNTIF('Tage feiertage Aus.'!$A$3:$O$100, BH9)&gt;0, "f", "")</f>
        <v/>
      </c>
      <c r="BO9" s="7">
        <f t="shared" si="9"/>
        <v>46303</v>
      </c>
      <c r="BP9" s="8" t="str">
        <f>IF(COUNTIF('Tage Person1 Aus.'!$V$3:$AA$100, BO9)&gt;0, "S",IF(COUNTIF('Tage Person1 Aus.'!$A$3:$O$100, BO9)&gt;0, "U",IF(COUNTIF('Tage Person1 Aus.'!$AE$3:$AI$100, BO9)&gt;0, "h", "")))</f>
        <v/>
      </c>
      <c r="BQ9" s="8" t="str">
        <f>IF(COUNTIF('Tage Person2 Aus.2'!$V$3:$AA$100, BO9)&gt;0, "S",IF(COUNTIF('Tage Person2 Aus.2'!$A$3:$O$100, BO9)&gt;0, "U",IF(COUNTIF('Tage Person2 Aus.2'!$AE$3:$AI$100, BO9)&gt;0, "h", "")))</f>
        <v/>
      </c>
      <c r="BR9" s="8" t="str">
        <f>IF(COUNTIF('Tage Person3 Aus.3'!$V$3:$AA$100, BO9)&gt;0, "S",IF(COUNTIF('Tage Person3 Aus.3'!$A$3:$O$100, BO9)&gt;0, "U",IF(COUNTIF('Tage Person3 Aus.3'!$AE$3:$AI$100, BO9)&gt;0, "h", "")))</f>
        <v/>
      </c>
      <c r="BS9" s="8" t="str">
        <f>IF(COUNTIF('Tage Person4 Aus.4'!$V$3:$AA$100, BO9)&gt;0, "S",IF(COUNTIF('Tage Person4 Aus.4'!$A$3:$O$100, BO9)&gt;0, "U",IF(COUNTIF('Tage Person4 Aus.4'!$AE$3:$AI$100, BO9)&gt;0, "h", "")))</f>
        <v/>
      </c>
      <c r="BT9" s="8" t="str">
        <f>IF(COUNTIF('Tage ferien Aus.'!$A$3:$O$100, BO9)&gt;0, "E", "")</f>
        <v/>
      </c>
      <c r="BU9" s="8" t="str">
        <f>IF(COUNTIF('Tage feiertage Aus.'!$A$3:$O$100, BO9)&gt;0, "f", "")</f>
        <v/>
      </c>
      <c r="BV9" s="7">
        <f t="shared" si="10"/>
        <v>46334</v>
      </c>
      <c r="BW9" s="8" t="str">
        <f>IF(COUNTIF('Tage Person1 Aus.'!$V$3:$AA$100, BV9)&gt;0, "S",IF(COUNTIF('Tage Person1 Aus.'!$A$3:$O$100, BV9)&gt;0, "U",IF(COUNTIF('Tage Person1 Aus.'!$AE$3:$AI$100, BV9)&gt;0, "h", "")))</f>
        <v/>
      </c>
      <c r="BX9" s="8" t="str">
        <f>IF(COUNTIF('Tage Person2 Aus.2'!$V$3:$AA$100, BV9)&gt;0, "S",IF(COUNTIF('Tage Person2 Aus.2'!$A$3:$O$100, BV9)&gt;0, "U",IF(COUNTIF('Tage Person2 Aus.2'!$AE$3:$AI$100, BV9)&gt;0, "h", "")))</f>
        <v/>
      </c>
      <c r="BY9" s="8" t="str">
        <f>IF(COUNTIF('Tage Person3 Aus.3'!$V$3:$AA$100, BV9)&gt;0, "S",IF(COUNTIF('Tage Person3 Aus.3'!$A$3:$O$100, BV9)&gt;0, "U",IF(COUNTIF('Tage Person3 Aus.3'!$AE$3:$AI$100, BV9)&gt;0, "h", "")))</f>
        <v/>
      </c>
      <c r="BZ9" s="8" t="str">
        <f>IF(COUNTIF('Tage Person4 Aus.4'!$V$3:$AA$100, BV9)&gt;0, "S",IF(COUNTIF('Tage Person4 Aus.4'!$A$3:$O$100, BV9)&gt;0, "U",IF(COUNTIF('Tage Person4 Aus.4'!$AE$3:$AI$100, BV9)&gt;0, "h", "")))</f>
        <v/>
      </c>
      <c r="CA9" s="8" t="str">
        <f>IF(COUNTIF('Tage ferien Aus.'!$A$3:$O$100, BV9)&gt;0, "E", "")</f>
        <v/>
      </c>
      <c r="CB9" s="8" t="str">
        <f>IF(COUNTIF('Tage feiertage Aus.'!$A$3:$O$100, BV9)&gt;0, "f", "")</f>
        <v/>
      </c>
      <c r="CC9" s="7">
        <f t="shared" si="11"/>
        <v>46364</v>
      </c>
      <c r="CD9" s="10" t="str">
        <f>IF(COUNTIF('Tage Person1 Aus.'!$V$3:$AA$100, CC9)&gt;0, "S",IF(COUNTIF('Tage Person1 Aus.'!$A$3:$O$100, CC9)&gt;0, "U",IF(COUNTIF('Tage Person1 Aus.'!$AE$3:$AI$100, CC9)&gt;0, "h", "")))</f>
        <v/>
      </c>
      <c r="CE9" s="11" t="str">
        <f>IF(COUNTIF('Tage Person2 Aus.2'!$V$3:$AA$100, CC9)&gt;0, "S",IF(COUNTIF('Tage Person2 Aus.2'!$A$3:$O$100, CC9)&gt;0, "U",IF(COUNTIF('Tage Person2 Aus.2'!$AE$3:$AI$100, CC9)&gt;0, "h", "")))</f>
        <v/>
      </c>
      <c r="CF9" s="12" t="str">
        <f>IF(COUNTIF('Tage Person3 Aus.3'!$V$3:$AA$100, CC9)&gt;0, "S",IF(COUNTIF('Tage Person3 Aus.3'!$A$3:$O$100, CC9)&gt;0, "U",IF(COUNTIF('Tage Person3 Aus.3'!$AE$3:$AI$100, CC9)&gt;0, "h", "")))</f>
        <v/>
      </c>
      <c r="CG9" s="10" t="str">
        <f>IF(COUNTIF('Tage Person4 Aus.4'!$V$3:$AA$100, CC9)&gt;0, "S",IF(COUNTIF('Tage Person4 Aus.4'!$A$3:$O$100, CC9)&gt;0, "U",IF(COUNTIF('Tage Person4 Aus.4'!$AE$3:$AI$100, CC9)&gt;0, "h", "")))</f>
        <v/>
      </c>
      <c r="CH9" s="11" t="str">
        <f>IF(COUNTIF('Tage ferien Aus.'!$A$3:$O$100, CC9)&gt;0, "E", "")</f>
        <v/>
      </c>
      <c r="CI9" s="12" t="str">
        <f>IF(COUNTIF('Tage feiertage Aus.'!$A$3:$O$100, CC9)&gt;0, "f", "")</f>
        <v/>
      </c>
      <c r="CJ9" s="4"/>
      <c r="CK9" s="4"/>
      <c r="CL9" s="6"/>
      <c r="CM9" s="4"/>
      <c r="CN9" s="2"/>
      <c r="CO9" s="3"/>
      <c r="CP9" s="4"/>
      <c r="CQ9" s="2"/>
      <c r="CR9" s="3"/>
      <c r="CS9" s="4"/>
      <c r="CT9" s="4"/>
      <c r="CU9" s="6"/>
      <c r="CV9" s="4"/>
      <c r="CW9" s="4"/>
      <c r="CX9" s="6"/>
      <c r="CY9" s="4"/>
    </row>
    <row r="10" spans="1:103" ht="14.4" customHeight="1" x14ac:dyDescent="0.3">
      <c r="A10" s="65"/>
      <c r="B10" s="58"/>
      <c r="C10" s="57"/>
      <c r="D10" s="7">
        <f t="shared" si="0"/>
        <v>46031</v>
      </c>
      <c r="E10" s="8" t="str">
        <f>IF(COUNTIF('Tage Person1 Aus.'!$V$3:$AA$100, D10)&gt;0, "S",IF(COUNTIF('Tage Person1 Aus.'!$A$3:$O$100, D10)&gt;0, "U",IF(COUNTIF('Tage Person1 Aus.'!$AE$3:$AI$100, D10)&gt;0, "h", "")))</f>
        <v/>
      </c>
      <c r="F10" s="8" t="str">
        <f>IF(COUNTIF('Tage Person2 Aus.2'!$V$3:$AA$100, D10)&gt;0, "S",IF(COUNTIF('Tage Person2 Aus.2'!$A$3:$O$100, D10)&gt;0, "U",IF(COUNTIF('Tage Person2 Aus.2'!$AE$3:$AI$100, D10)&gt;0, "h", "")))</f>
        <v/>
      </c>
      <c r="G10" s="8" t="str">
        <f>IF(COUNTIF('Tage Person3 Aus.3'!$V$3:$AA$100, D10)&gt;0, "S",IF(COUNTIF('Tage Person3 Aus.3'!$A$3:$O$100, D10)&gt;0, "U",IF(COUNTIF('Tage Person3 Aus.3'!$AE$3:$AI$100, D10)&gt;0, "h", "")))</f>
        <v/>
      </c>
      <c r="H10" s="8" t="str">
        <f>IF(COUNTIF('Tage Person4 Aus.4'!$V$3:$AA$100, D10)&gt;0, "S",IF(COUNTIF('Tage Person4 Aus.4'!$A$3:$O$100, D10)&gt;0, "U",IF(COUNTIF('Tage Person4 Aus.4'!$AE$3:$AI$100, D10)&gt;0, "h", "")))</f>
        <v/>
      </c>
      <c r="I10" s="8" t="str">
        <f>IF(COUNTIF('Tage ferien Aus.'!$A$3:$O$100, D10)&gt;0, "E", "")</f>
        <v/>
      </c>
      <c r="J10" s="8" t="str">
        <f>IF(COUNTIF('Tage feiertage Aus.'!$A$3:$O$100, D10)&gt;0, "f", "")</f>
        <v/>
      </c>
      <c r="K10" s="7">
        <f t="shared" si="1"/>
        <v>46062</v>
      </c>
      <c r="L10" s="8" t="str">
        <f>IF(COUNTIF('Tage Person1 Aus.'!$V$3:$AA$100, K10)&gt;0, "S",IF(COUNTIF('Tage Person1 Aus.'!$A$3:$O$100, K10)&gt;0, "U",IF(COUNTIF('Tage Person1 Aus.'!$AE$3:$AI$100, K10)&gt;0, "h", "")))</f>
        <v/>
      </c>
      <c r="M10" s="8" t="str">
        <f>IF(COUNTIF('Tage Person2 Aus.2'!$V$3:$AA$100, K10)&gt;0, "S",IF(COUNTIF('Tage Person2 Aus.2'!$A$3:$O$100, K10)&gt;0, "U",IF(COUNTIF('Tage Person2 Aus.2'!$AE$3:$AI$100, K10)&gt;0, "h", "")))</f>
        <v/>
      </c>
      <c r="N10" s="8" t="str">
        <f>IF(COUNTIF('Tage Person3 Aus.3'!$V$3:$AA$100, K10)&gt;0, "S",IF(COUNTIF('Tage Person3 Aus.3'!$A$3:$O$100, K10)&gt;0, "U",IF(COUNTIF('Tage Person3 Aus.3'!$AE$3:$AI$100, K10)&gt;0, "h", "")))</f>
        <v/>
      </c>
      <c r="O10" s="8" t="str">
        <f>IF(COUNTIF('Tage Person4 Aus.4'!$V$3:$AA$100, K10)&gt;0, "S",IF(COUNTIF('Tage Person4 Aus.4'!$A$3:$O$100, K10)&gt;0, "U",IF(COUNTIF('Tage Person4 Aus.4'!$AE$3:$AI$100, K10)&gt;0, "h", "")))</f>
        <v/>
      </c>
      <c r="P10" s="8" t="str">
        <f>IF(COUNTIF('Tage ferien Aus.'!$A$3:$O$100, K10)&gt;0, "E", "")</f>
        <v/>
      </c>
      <c r="Q10" s="8" t="str">
        <f>IF(COUNTIF('Tage feiertage Aus.'!$A$3:$O$100, K10)&gt;0, "f", "")</f>
        <v/>
      </c>
      <c r="R10" s="7">
        <f t="shared" si="2"/>
        <v>46090</v>
      </c>
      <c r="S10" s="8" t="str">
        <f>IF(COUNTIF('Tage Person1 Aus.'!$V$3:$AA$100, R10)&gt;0, "S",IF(COUNTIF('Tage Person1 Aus.'!$A$3:$O$100, R10)&gt;0, "U",IF(COUNTIF('Tage Person1 Aus.'!$AE$3:$AI$100, R10)&gt;0, "h", "")))</f>
        <v/>
      </c>
      <c r="T10" s="8" t="str">
        <f>IF(COUNTIF('Tage Person2 Aus.2'!$V$3:$AA$100, R10)&gt;0, "S",IF(COUNTIF('Tage Person2 Aus.2'!$A$3:$O$100, R10)&gt;0, "U",IF(COUNTIF('Tage Person2 Aus.2'!$AE$3:$AI$100, R10)&gt;0, "h", "")))</f>
        <v/>
      </c>
      <c r="U10" s="8" t="str">
        <f>IF(COUNTIF('Tage Person3 Aus.3'!$V$3:$AA$100, R10)&gt;0, "S",IF(COUNTIF('Tage Person3 Aus.3'!$A$3:$O$100, R10)&gt;0, "U",IF(COUNTIF('Tage Person3 Aus.3'!$AE$3:$AI$100, R10)&gt;0, "h", "")))</f>
        <v/>
      </c>
      <c r="V10" s="8" t="str">
        <f>IF(COUNTIF('Tage Person4 Aus.4'!$V$3:$AA$100, R10)&gt;0, "S",IF(COUNTIF('Tage Person4 Aus.4'!$A$3:$O$100, R10)&gt;0, "U",IF(COUNTIF('Tage Person4 Aus.4'!$AE$3:$AI$100, R10)&gt;0, "h", "")))</f>
        <v/>
      </c>
      <c r="W10" s="8" t="str">
        <f>IF(COUNTIF('Tage ferien Aus.'!$A$3:$O$100, R10)&gt;0, "E", "")</f>
        <v/>
      </c>
      <c r="X10" s="8" t="str">
        <f>IF(COUNTIF('Tage feiertage Aus.'!$A$3:$O$100, R10)&gt;0, "f", "")</f>
        <v/>
      </c>
      <c r="Y10" s="7">
        <f t="shared" si="3"/>
        <v>46121</v>
      </c>
      <c r="Z10" s="8" t="str">
        <f>IF(COUNTIF('Tage Person1 Aus.'!$V$3:$AA$100, Y10)&gt;0, "S",IF(COUNTIF('Tage Person1 Aus.'!$A$3:$O$100, Y10)&gt;0, "U",IF(COUNTIF('Tage Person1 Aus.'!$AE$3:$AI$100, Y10)&gt;0, "h", "")))</f>
        <v/>
      </c>
      <c r="AA10" s="8" t="str">
        <f>IF(COUNTIF('Tage Person2 Aus.2'!$V$3:$AA$100, Y10)&gt;0, "S",IF(COUNTIF('Tage Person2 Aus.2'!$A$3:$O$100, Y10)&gt;0, "U",IF(COUNTIF('Tage Person2 Aus.2'!$AE$3:$AI$100, Y10)&gt;0, "h", "")))</f>
        <v/>
      </c>
      <c r="AB10" s="8" t="str">
        <f>IF(COUNTIF('Tage Person3 Aus.3'!$V$3:$AA$100, Y10)&gt;0, "S",IF(COUNTIF('Tage Person3 Aus.3'!$A$3:$O$100, Y10)&gt;0, "U",IF(COUNTIF('Tage Person3 Aus.3'!$AE$3:$AI$100, Y10)&gt;0, "h", "")))</f>
        <v/>
      </c>
      <c r="AC10" s="8" t="str">
        <f>IF(COUNTIF('Tage Person4 Aus.4'!$V$3:$AA$100, Y10)&gt;0, "S",IF(COUNTIF('Tage Person4 Aus.4'!$A$3:$O$100, Y10)&gt;0, "U",IF(COUNTIF('Tage Person4 Aus.4'!$AE$3:$AI$100, Y10)&gt;0, "h", "")))</f>
        <v/>
      </c>
      <c r="AD10" s="8" t="str">
        <f>IF(COUNTIF('Tage ferien Aus.'!$A$3:$O$100, Y10)&gt;0, "E", "")</f>
        <v>E</v>
      </c>
      <c r="AE10" s="8" t="str">
        <f>IF(COUNTIF('Tage feiertage Aus.'!$A$3:$O$100, Y10)&gt;0, "f", "")</f>
        <v/>
      </c>
      <c r="AF10" s="7">
        <f t="shared" si="4"/>
        <v>46151</v>
      </c>
      <c r="AG10" s="9" t="str">
        <f>IF(COUNTIF('Tage Person1 Aus.'!$V$3:$AA$100, AF10)&gt;0, "S",IF(COUNTIF('Tage Person1 Aus.'!$A$3:$O$100, AF10)&gt;0, "U",IF(COUNTIF('Tage Person1 Aus.'!$AE$3:$AI$100, AF10)&gt;0, "h", "")))</f>
        <v/>
      </c>
      <c r="AH10" s="8" t="str">
        <f>IF(COUNTIF('Tage Person2 Aus.2'!$V$3:$AA$100, AF10)&gt;0, "S",IF(COUNTIF('Tage Person2 Aus.2'!$A$3:$O$100, AF10)&gt;0, "U",IF(COUNTIF('Tage Person2 Aus.2'!$AE$3:$AI$100, AF10)&gt;0, "h", "")))</f>
        <v/>
      </c>
      <c r="AI10" s="8" t="str">
        <f>IF(COUNTIF('Tage Person3 Aus.3'!$V$3:$AA$100, AF10)&gt;0, "S",IF(COUNTIF('Tage Person3 Aus.3'!$A$3:$O$100, AF10)&gt;0, "U",IF(COUNTIF('Tage Person3 Aus.3'!$AE$3:$AI$100, AF10)&gt;0, "h", "")))</f>
        <v/>
      </c>
      <c r="AJ10" s="8" t="str">
        <f>IF(COUNTIF('Tage Person4 Aus.4'!$V$3:$AA$100, AF10)&gt;0, "S",IF(COUNTIF('Tage Person4 Aus.4'!$A$3:$O$100, AF10)&gt;0, "U",IF(COUNTIF('Tage Person4 Aus.4'!$AE$3:$AI$100, AF10)&gt;0, "h", "")))</f>
        <v/>
      </c>
      <c r="AK10" s="8" t="str">
        <f>IF(COUNTIF('Tage ferien Aus.'!$A$3:$O$100, AF10)&gt;0, "E", "")</f>
        <v/>
      </c>
      <c r="AL10" s="8" t="str">
        <f>IF(COUNTIF('Tage feiertage Aus.'!$A$3:$O$100, AF10)&gt;0, "f", "")</f>
        <v/>
      </c>
      <c r="AM10" s="7">
        <f t="shared" si="5"/>
        <v>46182</v>
      </c>
      <c r="AN10" s="8" t="str">
        <f>IF(COUNTIF('Tage Person1 Aus.'!$V$3:$AA$100, AM10)&gt;0, "S",IF(COUNTIF('Tage Person1 Aus.'!$A$3:$O$100, AM10)&gt;0, "U",IF(COUNTIF('Tage Person1 Aus.'!$AE$3:$AI$100, AM10)&gt;0, "h", "")))</f>
        <v/>
      </c>
      <c r="AO10" s="8" t="str">
        <f>IF(COUNTIF('Tage Person2 Aus.2'!$V$3:$AA$100, AM10)&gt;0, "S",IF(COUNTIF('Tage Person2 Aus.2'!$A$3:$O$100, AM10)&gt;0, "U",IF(COUNTIF('Tage Person2 Aus.2'!$AE$3:$AI$100, AM10)&gt;0, "h", "")))</f>
        <v/>
      </c>
      <c r="AP10" s="8" t="str">
        <f>IF(COUNTIF('Tage Person3 Aus.3'!$V$3:$AA$100, AM10)&gt;0, "S",IF(COUNTIF('Tage Person3 Aus.3'!$A$3:$O$100, AM10)&gt;0, "U",IF(COUNTIF('Tage Person3 Aus.3'!$AE$3:$AI$100, AM10)&gt;0, "h", "")))</f>
        <v/>
      </c>
      <c r="AQ10" s="8" t="str">
        <f>IF(COUNTIF('Tage Person4 Aus.4'!$V$3:$AA$100, AM10)&gt;0, "S",IF(COUNTIF('Tage Person4 Aus.4'!$A$3:$O$100, AM10)&gt;0, "U",IF(COUNTIF('Tage Person4 Aus.4'!$AE$3:$AI$100, AM10)&gt;0, "h", "")))</f>
        <v/>
      </c>
      <c r="AR10" s="8" t="str">
        <f>IF(COUNTIF('Tage ferien Aus.'!$A$3:$O$100, AM10)&gt;0, "E", "")</f>
        <v/>
      </c>
      <c r="AS10" s="8" t="str">
        <f>IF(COUNTIF('Tage feiertage Aus.'!$A$3:$O$100, AM10)&gt;0, "f", "")</f>
        <v/>
      </c>
      <c r="AT10" s="7">
        <f t="shared" si="6"/>
        <v>46212</v>
      </c>
      <c r="AU10" s="8" t="str">
        <f>IF(COUNTIF('Tage Person1 Aus.'!$V$3:$AA$100, AT10)&gt;0, "S",IF(COUNTIF('Tage Person1 Aus.'!$A$3:$O$100, AT10)&gt;0, "U",IF(COUNTIF('Tage Person1 Aus.'!$AE$3:$AI$100, AT10)&gt;0, "h", "")))</f>
        <v/>
      </c>
      <c r="AV10" s="8" t="str">
        <f>IF(COUNTIF('Tage Person2 Aus.2'!$V$3:$AA$100, AT10)&gt;0, "S",IF(COUNTIF('Tage Person2 Aus.2'!$A$3:$O$100, AT10)&gt;0, "U",IF(COUNTIF('Tage Person2 Aus.2'!$AE$3:$AI$100, AT10)&gt;0, "h", "")))</f>
        <v/>
      </c>
      <c r="AW10" s="8" t="str">
        <f>IF(COUNTIF('Tage Person3 Aus.3'!$V$3:$AA$100, AT10)&gt;0, "S",IF(COUNTIF('Tage Person3 Aus.3'!$A$3:$O$100, AT10)&gt;0, "U",IF(COUNTIF('Tage Person3 Aus.3'!$AE$3:$AI$100, AT10)&gt;0, "h", "")))</f>
        <v/>
      </c>
      <c r="AX10" s="8" t="str">
        <f>IF(COUNTIF('Tage Person4 Aus.4'!$V$3:$AA$100, AT10)&gt;0, "S",IF(COUNTIF('Tage Person4 Aus.4'!$A$3:$O$100, AT10)&gt;0, "U",IF(COUNTIF('Tage Person4 Aus.4'!$AE$3:$AI$100, AT10)&gt;0, "h", "")))</f>
        <v/>
      </c>
      <c r="AY10" s="8" t="str">
        <f>IF(COUNTIF('Tage ferien Aus.'!$A$3:$O$100, AT10)&gt;0, "E", "")</f>
        <v/>
      </c>
      <c r="AZ10" s="8" t="str">
        <f>IF(COUNTIF('Tage feiertage Aus.'!$A$3:$O$100, AT10)&gt;0, "f", "")</f>
        <v/>
      </c>
      <c r="BA10" s="7">
        <f t="shared" si="7"/>
        <v>46243</v>
      </c>
      <c r="BB10" s="8" t="str">
        <f>IF(COUNTIF('Tage Person1 Aus.'!$V$3:$AA$100, BA10)&gt;0, "S",IF(COUNTIF('Tage Person1 Aus.'!$A$3:$O$100, BA10)&gt;0, "U",IF(COUNTIF('Tage Person1 Aus.'!$AE$3:$AI$100, BA10)&gt;0, "h", "")))</f>
        <v/>
      </c>
      <c r="BC10" s="8" t="str">
        <f>IF(COUNTIF('Tage Person2 Aus.2'!$V$3:$AA$100, BA10)&gt;0, "S",IF(COUNTIF('Tage Person2 Aus.2'!$A$3:$O$100, BA10)&gt;0, "U",IF(COUNTIF('Tage Person2 Aus.2'!$AE$3:$AI$100, BA10)&gt;0, "h", "")))</f>
        <v/>
      </c>
      <c r="BD10" s="8" t="str">
        <f>IF(COUNTIF('Tage Person3 Aus.3'!$V$3:$AA$100, BA10)&gt;0, "S",IF(COUNTIF('Tage Person3 Aus.3'!$A$3:$O$100, BA10)&gt;0, "U",IF(COUNTIF('Tage Person3 Aus.3'!$AE$3:$AI$100, BA10)&gt;0, "h", "")))</f>
        <v/>
      </c>
      <c r="BE10" s="8" t="str">
        <f>IF(COUNTIF('Tage Person4 Aus.4'!$V$3:$AA$100, BA10)&gt;0, "S",IF(COUNTIF('Tage Person4 Aus.4'!$A$3:$O$100, BA10)&gt;0, "U",IF(COUNTIF('Tage Person4 Aus.4'!$AE$3:$AI$100, BA10)&gt;0, "h", "")))</f>
        <v/>
      </c>
      <c r="BF10" s="8" t="str">
        <f>IF(COUNTIF('Tage ferien Aus.'!$A$3:$O$100, BA10)&gt;0, "E", "")</f>
        <v>E</v>
      </c>
      <c r="BG10" s="8" t="str">
        <f>IF(COUNTIF('Tage feiertage Aus.'!$A$3:$O$100, BA10)&gt;0, "f", "")</f>
        <v/>
      </c>
      <c r="BH10" s="7">
        <f t="shared" si="8"/>
        <v>46274</v>
      </c>
      <c r="BI10" s="8" t="str">
        <f>IF(COUNTIF('Tage Person1 Aus.'!$V$3:$AA$100, BH10)&gt;0, "S",IF(COUNTIF('Tage Person1 Aus.'!$A$3:$O$100, BH10)&gt;0, "U",IF(COUNTIF('Tage Person1 Aus.'!$AE$3:$AI$100, BH10)&gt;0, "h", "")))</f>
        <v/>
      </c>
      <c r="BJ10" s="8" t="str">
        <f>IF(COUNTIF('Tage Person2 Aus.2'!$V$3:$AA$100, BH10)&gt;0, "S",IF(COUNTIF('Tage Person2 Aus.2'!$A$3:$O$100, BH10)&gt;0, "U",IF(COUNTIF('Tage Person2 Aus.2'!$AE$3:$AI$100, BH10)&gt;0, "h", "")))</f>
        <v/>
      </c>
      <c r="BK10" s="8" t="str">
        <f>IF(COUNTIF('Tage Person3 Aus.3'!$V$3:$AA$100, BH10)&gt;0, "S",IF(COUNTIF('Tage Person3 Aus.3'!$A$3:$O$100, BH10)&gt;0, "U",IF(COUNTIF('Tage Person3 Aus.3'!$AE$3:$AI$100, BH10)&gt;0, "h", "")))</f>
        <v/>
      </c>
      <c r="BL10" s="8" t="str">
        <f>IF(COUNTIF('Tage Person4 Aus.4'!$V$3:$AA$100, BH10)&gt;0, "S",IF(COUNTIF('Tage Person4 Aus.4'!$A$3:$O$100, BH10)&gt;0, "U",IF(COUNTIF('Tage Person4 Aus.4'!$AE$3:$AI$100, BH10)&gt;0, "h", "")))</f>
        <v/>
      </c>
      <c r="BM10" s="8" t="str">
        <f>IF(COUNTIF('Tage ferien Aus.'!$A$3:$O$100, BH10)&gt;0, "E", "")</f>
        <v/>
      </c>
      <c r="BN10" s="8" t="str">
        <f>IF(COUNTIF('Tage feiertage Aus.'!$A$3:$O$100, BH10)&gt;0, "f", "")</f>
        <v/>
      </c>
      <c r="BO10" s="7">
        <f t="shared" si="9"/>
        <v>46304</v>
      </c>
      <c r="BP10" s="8" t="str">
        <f>IF(COUNTIF('Tage Person1 Aus.'!$V$3:$AA$100, BO10)&gt;0, "S",IF(COUNTIF('Tage Person1 Aus.'!$A$3:$O$100, BO10)&gt;0, "U",IF(COUNTIF('Tage Person1 Aus.'!$AE$3:$AI$100, BO10)&gt;0, "h", "")))</f>
        <v/>
      </c>
      <c r="BQ10" s="8" t="str">
        <f>IF(COUNTIF('Tage Person2 Aus.2'!$V$3:$AA$100, BO10)&gt;0, "S",IF(COUNTIF('Tage Person2 Aus.2'!$A$3:$O$100, BO10)&gt;0, "U",IF(COUNTIF('Tage Person2 Aus.2'!$AE$3:$AI$100, BO10)&gt;0, "h", "")))</f>
        <v/>
      </c>
      <c r="BR10" s="8" t="str">
        <f>IF(COUNTIF('Tage Person3 Aus.3'!$V$3:$AA$100, BO10)&gt;0, "S",IF(COUNTIF('Tage Person3 Aus.3'!$A$3:$O$100, BO10)&gt;0, "U",IF(COUNTIF('Tage Person3 Aus.3'!$AE$3:$AI$100, BO10)&gt;0, "h", "")))</f>
        <v/>
      </c>
      <c r="BS10" s="8" t="str">
        <f>IF(COUNTIF('Tage Person4 Aus.4'!$V$3:$AA$100, BO10)&gt;0, "S",IF(COUNTIF('Tage Person4 Aus.4'!$A$3:$O$100, BO10)&gt;0, "U",IF(COUNTIF('Tage Person4 Aus.4'!$AE$3:$AI$100, BO10)&gt;0, "h", "")))</f>
        <v/>
      </c>
      <c r="BT10" s="8" t="str">
        <f>IF(COUNTIF('Tage ferien Aus.'!$A$3:$O$100, BO10)&gt;0, "E", "")</f>
        <v/>
      </c>
      <c r="BU10" s="8" t="str">
        <f>IF(COUNTIF('Tage feiertage Aus.'!$A$3:$O$100, BO10)&gt;0, "f", "")</f>
        <v/>
      </c>
      <c r="BV10" s="7">
        <f t="shared" si="10"/>
        <v>46335</v>
      </c>
      <c r="BW10" s="8" t="str">
        <f>IF(COUNTIF('Tage Person1 Aus.'!$V$3:$AA$100, BV10)&gt;0, "S",IF(COUNTIF('Tage Person1 Aus.'!$A$3:$O$100, BV10)&gt;0, "U",IF(COUNTIF('Tage Person1 Aus.'!$AE$3:$AI$100, BV10)&gt;0, "h", "")))</f>
        <v/>
      </c>
      <c r="BX10" s="8" t="str">
        <f>IF(COUNTIF('Tage Person2 Aus.2'!$V$3:$AA$100, BV10)&gt;0, "S",IF(COUNTIF('Tage Person2 Aus.2'!$A$3:$O$100, BV10)&gt;0, "U",IF(COUNTIF('Tage Person2 Aus.2'!$AE$3:$AI$100, BV10)&gt;0, "h", "")))</f>
        <v/>
      </c>
      <c r="BY10" s="8" t="str">
        <f>IF(COUNTIF('Tage Person3 Aus.3'!$V$3:$AA$100, BV10)&gt;0, "S",IF(COUNTIF('Tage Person3 Aus.3'!$A$3:$O$100, BV10)&gt;0, "U",IF(COUNTIF('Tage Person3 Aus.3'!$AE$3:$AI$100, BV10)&gt;0, "h", "")))</f>
        <v/>
      </c>
      <c r="BZ10" s="8" t="str">
        <f>IF(COUNTIF('Tage Person4 Aus.4'!$V$3:$AA$100, BV10)&gt;0, "S",IF(COUNTIF('Tage Person4 Aus.4'!$A$3:$O$100, BV10)&gt;0, "U",IF(COUNTIF('Tage Person4 Aus.4'!$AE$3:$AI$100, BV10)&gt;0, "h", "")))</f>
        <v/>
      </c>
      <c r="CA10" s="8" t="str">
        <f>IF(COUNTIF('Tage ferien Aus.'!$A$3:$O$100, BV10)&gt;0, "E", "")</f>
        <v/>
      </c>
      <c r="CB10" s="8" t="str">
        <f>IF(COUNTIF('Tage feiertage Aus.'!$A$3:$O$100, BV10)&gt;0, "f", "")</f>
        <v/>
      </c>
      <c r="CC10" s="7">
        <f t="shared" si="11"/>
        <v>46365</v>
      </c>
      <c r="CD10" s="10" t="str">
        <f>IF(COUNTIF('Tage Person1 Aus.'!$V$3:$AA$100, CC10)&gt;0, "S",IF(COUNTIF('Tage Person1 Aus.'!$A$3:$O$100, CC10)&gt;0, "U",IF(COUNTIF('Tage Person1 Aus.'!$AE$3:$AI$100, CC10)&gt;0, "h", "")))</f>
        <v/>
      </c>
      <c r="CE10" s="11" t="str">
        <f>IF(COUNTIF('Tage Person2 Aus.2'!$V$3:$AA$100, CC10)&gt;0, "S",IF(COUNTIF('Tage Person2 Aus.2'!$A$3:$O$100, CC10)&gt;0, "U",IF(COUNTIF('Tage Person2 Aus.2'!$AE$3:$AI$100, CC10)&gt;0, "h", "")))</f>
        <v/>
      </c>
      <c r="CF10" s="12" t="str">
        <f>IF(COUNTIF('Tage Person3 Aus.3'!$V$3:$AA$100, CC10)&gt;0, "S",IF(COUNTIF('Tage Person3 Aus.3'!$A$3:$O$100, CC10)&gt;0, "U",IF(COUNTIF('Tage Person3 Aus.3'!$AE$3:$AI$100, CC10)&gt;0, "h", "")))</f>
        <v/>
      </c>
      <c r="CG10" s="10" t="str">
        <f>IF(COUNTIF('Tage Person4 Aus.4'!$V$3:$AA$100, CC10)&gt;0, "S",IF(COUNTIF('Tage Person4 Aus.4'!$A$3:$O$100, CC10)&gt;0, "U",IF(COUNTIF('Tage Person4 Aus.4'!$AE$3:$AI$100, CC10)&gt;0, "h", "")))</f>
        <v/>
      </c>
      <c r="CH10" s="11" t="str">
        <f>IF(COUNTIF('Tage ferien Aus.'!$A$3:$O$100, CC10)&gt;0, "E", "")</f>
        <v/>
      </c>
      <c r="CI10" s="12" t="str">
        <f>IF(COUNTIF('Tage feiertage Aus.'!$A$3:$O$100, CC10)&gt;0, "f", "")</f>
        <v/>
      </c>
      <c r="CJ10" s="4"/>
      <c r="CK10" s="4"/>
      <c r="CL10" s="6"/>
      <c r="CM10" s="4"/>
      <c r="CN10" s="2"/>
      <c r="CO10" s="3"/>
      <c r="CP10" s="4"/>
      <c r="CQ10" s="2"/>
      <c r="CR10" s="3"/>
      <c r="CS10" s="4"/>
      <c r="CT10" s="4"/>
      <c r="CU10" s="6"/>
      <c r="CV10" s="4"/>
      <c r="CW10" s="4"/>
      <c r="CX10" s="6"/>
      <c r="CY10" s="4"/>
    </row>
    <row r="11" spans="1:103" x14ac:dyDescent="0.3">
      <c r="A11" s="65"/>
      <c r="B11" s="58" t="str">
        <f>Person1!A1</f>
        <v>Person1</v>
      </c>
      <c r="C11" s="57" t="str">
        <f>Person2!A1</f>
        <v>Person2</v>
      </c>
      <c r="D11" s="7">
        <f t="shared" si="0"/>
        <v>46032</v>
      </c>
      <c r="E11" s="8" t="str">
        <f>IF(COUNTIF('Tage Person1 Aus.'!$V$3:$AA$100, D11)&gt;0, "S",IF(COUNTIF('Tage Person1 Aus.'!$A$3:$O$100, D11)&gt;0, "U",IF(COUNTIF('Tage Person1 Aus.'!$AE$3:$AI$100, D11)&gt;0, "h", "")))</f>
        <v/>
      </c>
      <c r="F11" s="8" t="str">
        <f>IF(COUNTIF('Tage Person2 Aus.2'!$V$3:$AA$100, D11)&gt;0, "S",IF(COUNTIF('Tage Person2 Aus.2'!$A$3:$O$100, D11)&gt;0, "U",IF(COUNTIF('Tage Person2 Aus.2'!$AE$3:$AI$100, D11)&gt;0, "h", "")))</f>
        <v/>
      </c>
      <c r="G11" s="8" t="str">
        <f>IF(COUNTIF('Tage Person3 Aus.3'!$V$3:$AA$100, D11)&gt;0, "S",IF(COUNTIF('Tage Person3 Aus.3'!$A$3:$O$100, D11)&gt;0, "U",IF(COUNTIF('Tage Person3 Aus.3'!$AE$3:$AI$100, D11)&gt;0, "h", "")))</f>
        <v/>
      </c>
      <c r="H11" s="8" t="str">
        <f>IF(COUNTIF('Tage Person4 Aus.4'!$V$3:$AA$100, D11)&gt;0, "S",IF(COUNTIF('Tage Person4 Aus.4'!$A$3:$O$100, D11)&gt;0, "U",IF(COUNTIF('Tage Person4 Aus.4'!$AE$3:$AI$100, D11)&gt;0, "h", "")))</f>
        <v/>
      </c>
      <c r="I11" s="8" t="str">
        <f>IF(COUNTIF('Tage ferien Aus.'!$A$3:$O$100, D11)&gt;0, "E", "")</f>
        <v/>
      </c>
      <c r="J11" s="8" t="str">
        <f>IF(COUNTIF('Tage feiertage Aus.'!$A$3:$O$100, D11)&gt;0, "f", "")</f>
        <v/>
      </c>
      <c r="K11" s="7">
        <f t="shared" si="1"/>
        <v>46063</v>
      </c>
      <c r="L11" s="8" t="str">
        <f>IF(COUNTIF('Tage Person1 Aus.'!$V$3:$AA$100, K11)&gt;0, "S",IF(COUNTIF('Tage Person1 Aus.'!$A$3:$O$100, K11)&gt;0, "U",IF(COUNTIF('Tage Person1 Aus.'!$AE$3:$AI$100, K11)&gt;0, "h", "")))</f>
        <v/>
      </c>
      <c r="M11" s="8" t="str">
        <f>IF(COUNTIF('Tage Person2 Aus.2'!$V$3:$AA$100, K11)&gt;0, "S",IF(COUNTIF('Tage Person2 Aus.2'!$A$3:$O$100, K11)&gt;0, "U",IF(COUNTIF('Tage Person2 Aus.2'!$AE$3:$AI$100, K11)&gt;0, "h", "")))</f>
        <v/>
      </c>
      <c r="N11" s="8" t="str">
        <f>IF(COUNTIF('Tage Person3 Aus.3'!$V$3:$AA$100, K11)&gt;0, "S",IF(COUNTIF('Tage Person3 Aus.3'!$A$3:$O$100, K11)&gt;0, "U",IF(COUNTIF('Tage Person3 Aus.3'!$AE$3:$AI$100, K11)&gt;0, "h", "")))</f>
        <v/>
      </c>
      <c r="O11" s="8" t="str">
        <f>IF(COUNTIF('Tage Person4 Aus.4'!$V$3:$AA$100, K11)&gt;0, "S",IF(COUNTIF('Tage Person4 Aus.4'!$A$3:$O$100, K11)&gt;0, "U",IF(COUNTIF('Tage Person4 Aus.4'!$AE$3:$AI$100, K11)&gt;0, "h", "")))</f>
        <v/>
      </c>
      <c r="P11" s="8" t="str">
        <f>IF(COUNTIF('Tage ferien Aus.'!$A$3:$O$100, K11)&gt;0, "E", "")</f>
        <v/>
      </c>
      <c r="Q11" s="8" t="str">
        <f>IF(COUNTIF('Tage feiertage Aus.'!$A$3:$O$100, K11)&gt;0, "f", "")</f>
        <v/>
      </c>
      <c r="R11" s="7">
        <f t="shared" si="2"/>
        <v>46091</v>
      </c>
      <c r="S11" s="8" t="str">
        <f>IF(COUNTIF('Tage Person1 Aus.'!$V$3:$AA$100, R11)&gt;0, "S",IF(COUNTIF('Tage Person1 Aus.'!$A$3:$O$100, R11)&gt;0, "U",IF(COUNTIF('Tage Person1 Aus.'!$AE$3:$AI$100, R11)&gt;0, "h", "")))</f>
        <v/>
      </c>
      <c r="T11" s="8" t="str">
        <f>IF(COUNTIF('Tage Person2 Aus.2'!$V$3:$AA$100, R11)&gt;0, "S",IF(COUNTIF('Tage Person2 Aus.2'!$A$3:$O$100, R11)&gt;0, "U",IF(COUNTIF('Tage Person2 Aus.2'!$AE$3:$AI$100, R11)&gt;0, "h", "")))</f>
        <v/>
      </c>
      <c r="U11" s="8" t="str">
        <f>IF(COUNTIF('Tage Person3 Aus.3'!$V$3:$AA$100, R11)&gt;0, "S",IF(COUNTIF('Tage Person3 Aus.3'!$A$3:$O$100, R11)&gt;0, "U",IF(COUNTIF('Tage Person3 Aus.3'!$AE$3:$AI$100, R11)&gt;0, "h", "")))</f>
        <v/>
      </c>
      <c r="V11" s="8" t="str">
        <f>IF(COUNTIF('Tage Person4 Aus.4'!$V$3:$AA$100, R11)&gt;0, "S",IF(COUNTIF('Tage Person4 Aus.4'!$A$3:$O$100, R11)&gt;0, "U",IF(COUNTIF('Tage Person4 Aus.4'!$AE$3:$AI$100, R11)&gt;0, "h", "")))</f>
        <v/>
      </c>
      <c r="W11" s="8" t="str">
        <f>IF(COUNTIF('Tage ferien Aus.'!$A$3:$O$100, R11)&gt;0, "E", "")</f>
        <v/>
      </c>
      <c r="X11" s="8" t="str">
        <f>IF(COUNTIF('Tage feiertage Aus.'!$A$3:$O$100, R11)&gt;0, "f", "")</f>
        <v/>
      </c>
      <c r="Y11" s="7">
        <f t="shared" si="3"/>
        <v>46122</v>
      </c>
      <c r="Z11" s="8" t="str">
        <f>IF(COUNTIF('Tage Person1 Aus.'!$V$3:$AA$100, Y11)&gt;0, "S",IF(COUNTIF('Tage Person1 Aus.'!$A$3:$O$100, Y11)&gt;0, "U",IF(COUNTIF('Tage Person1 Aus.'!$AE$3:$AI$100, Y11)&gt;0, "h", "")))</f>
        <v/>
      </c>
      <c r="AA11" s="8" t="str">
        <f>IF(COUNTIF('Tage Person2 Aus.2'!$V$3:$AA$100, Y11)&gt;0, "S",IF(COUNTIF('Tage Person2 Aus.2'!$A$3:$O$100, Y11)&gt;0, "U",IF(COUNTIF('Tage Person2 Aus.2'!$AE$3:$AI$100, Y11)&gt;0, "h", "")))</f>
        <v/>
      </c>
      <c r="AB11" s="8" t="str">
        <f>IF(COUNTIF('Tage Person3 Aus.3'!$V$3:$AA$100, Y11)&gt;0, "S",IF(COUNTIF('Tage Person3 Aus.3'!$A$3:$O$100, Y11)&gt;0, "U",IF(COUNTIF('Tage Person3 Aus.3'!$AE$3:$AI$100, Y11)&gt;0, "h", "")))</f>
        <v/>
      </c>
      <c r="AC11" s="8" t="str">
        <f>IF(COUNTIF('Tage Person4 Aus.4'!$V$3:$AA$100, Y11)&gt;0, "S",IF(COUNTIF('Tage Person4 Aus.4'!$A$3:$O$100, Y11)&gt;0, "U",IF(COUNTIF('Tage Person4 Aus.4'!$AE$3:$AI$100, Y11)&gt;0, "h", "")))</f>
        <v/>
      </c>
      <c r="AD11" s="8" t="str">
        <f>IF(COUNTIF('Tage ferien Aus.'!$A$3:$O$100, Y11)&gt;0, "E", "")</f>
        <v>E</v>
      </c>
      <c r="AE11" s="8" t="str">
        <f>IF(COUNTIF('Tage feiertage Aus.'!$A$3:$O$100, Y11)&gt;0, "f", "")</f>
        <v/>
      </c>
      <c r="AF11" s="7">
        <f t="shared" si="4"/>
        <v>46152</v>
      </c>
      <c r="AG11" s="9" t="str">
        <f>IF(COUNTIF('Tage Person1 Aus.'!$V$3:$AA$100, AF11)&gt;0, "S",IF(COUNTIF('Tage Person1 Aus.'!$A$3:$O$100, AF11)&gt;0, "U",IF(COUNTIF('Tage Person1 Aus.'!$AE$3:$AI$100, AF11)&gt;0, "h", "")))</f>
        <v/>
      </c>
      <c r="AH11" s="8" t="str">
        <f>IF(COUNTIF('Tage Person2 Aus.2'!$V$3:$AA$100, AF11)&gt;0, "S",IF(COUNTIF('Tage Person2 Aus.2'!$A$3:$O$100, AF11)&gt;0, "U",IF(COUNTIF('Tage Person2 Aus.2'!$AE$3:$AI$100, AF11)&gt;0, "h", "")))</f>
        <v/>
      </c>
      <c r="AI11" s="8" t="str">
        <f>IF(COUNTIF('Tage Person3 Aus.3'!$V$3:$AA$100, AF11)&gt;0, "S",IF(COUNTIF('Tage Person3 Aus.3'!$A$3:$O$100, AF11)&gt;0, "U",IF(COUNTIF('Tage Person3 Aus.3'!$AE$3:$AI$100, AF11)&gt;0, "h", "")))</f>
        <v/>
      </c>
      <c r="AJ11" s="8" t="str">
        <f>IF(COUNTIF('Tage Person4 Aus.4'!$V$3:$AA$100, AF11)&gt;0, "S",IF(COUNTIF('Tage Person4 Aus.4'!$A$3:$O$100, AF11)&gt;0, "U",IF(COUNTIF('Tage Person4 Aus.4'!$AE$3:$AI$100, AF11)&gt;0, "h", "")))</f>
        <v/>
      </c>
      <c r="AK11" s="8" t="str">
        <f>IF(COUNTIF('Tage ferien Aus.'!$A$3:$O$100, AF11)&gt;0, "E", "")</f>
        <v/>
      </c>
      <c r="AL11" s="8" t="str">
        <f>IF(COUNTIF('Tage feiertage Aus.'!$A$3:$O$100, AF11)&gt;0, "f", "")</f>
        <v/>
      </c>
      <c r="AM11" s="7">
        <f t="shared" si="5"/>
        <v>46183</v>
      </c>
      <c r="AN11" s="8" t="str">
        <f>IF(COUNTIF('Tage Person1 Aus.'!$V$3:$AA$100, AM11)&gt;0, "S",IF(COUNTIF('Tage Person1 Aus.'!$A$3:$O$100, AM11)&gt;0, "U",IF(COUNTIF('Tage Person1 Aus.'!$AE$3:$AI$100, AM11)&gt;0, "h", "")))</f>
        <v/>
      </c>
      <c r="AO11" s="8" t="str">
        <f>IF(COUNTIF('Tage Person2 Aus.2'!$V$3:$AA$100, AM11)&gt;0, "S",IF(COUNTIF('Tage Person2 Aus.2'!$A$3:$O$100, AM11)&gt;0, "U",IF(COUNTIF('Tage Person2 Aus.2'!$AE$3:$AI$100, AM11)&gt;0, "h", "")))</f>
        <v/>
      </c>
      <c r="AP11" s="8" t="str">
        <f>IF(COUNTIF('Tage Person3 Aus.3'!$V$3:$AA$100, AM11)&gt;0, "S",IF(COUNTIF('Tage Person3 Aus.3'!$A$3:$O$100, AM11)&gt;0, "U",IF(COUNTIF('Tage Person3 Aus.3'!$AE$3:$AI$100, AM11)&gt;0, "h", "")))</f>
        <v/>
      </c>
      <c r="AQ11" s="8" t="str">
        <f>IF(COUNTIF('Tage Person4 Aus.4'!$V$3:$AA$100, AM11)&gt;0, "S",IF(COUNTIF('Tage Person4 Aus.4'!$A$3:$O$100, AM11)&gt;0, "U",IF(COUNTIF('Tage Person4 Aus.4'!$AE$3:$AI$100, AM11)&gt;0, "h", "")))</f>
        <v/>
      </c>
      <c r="AR11" s="8" t="str">
        <f>IF(COUNTIF('Tage ferien Aus.'!$A$3:$O$100, AM11)&gt;0, "E", "")</f>
        <v/>
      </c>
      <c r="AS11" s="8" t="str">
        <f>IF(COUNTIF('Tage feiertage Aus.'!$A$3:$O$100, AM11)&gt;0, "f", "")</f>
        <v/>
      </c>
      <c r="AT11" s="7">
        <f t="shared" si="6"/>
        <v>46213</v>
      </c>
      <c r="AU11" s="8" t="str">
        <f>IF(COUNTIF('Tage Person1 Aus.'!$V$3:$AA$100, AT11)&gt;0, "S",IF(COUNTIF('Tage Person1 Aus.'!$A$3:$O$100, AT11)&gt;0, "U",IF(COUNTIF('Tage Person1 Aus.'!$AE$3:$AI$100, AT11)&gt;0, "h", "")))</f>
        <v/>
      </c>
      <c r="AV11" s="8" t="str">
        <f>IF(COUNTIF('Tage Person2 Aus.2'!$V$3:$AA$100, AT11)&gt;0, "S",IF(COUNTIF('Tage Person2 Aus.2'!$A$3:$O$100, AT11)&gt;0, "U",IF(COUNTIF('Tage Person2 Aus.2'!$AE$3:$AI$100, AT11)&gt;0, "h", "")))</f>
        <v/>
      </c>
      <c r="AW11" s="8" t="str">
        <f>IF(COUNTIF('Tage Person3 Aus.3'!$V$3:$AA$100, AT11)&gt;0, "S",IF(COUNTIF('Tage Person3 Aus.3'!$A$3:$O$100, AT11)&gt;0, "U",IF(COUNTIF('Tage Person3 Aus.3'!$AE$3:$AI$100, AT11)&gt;0, "h", "")))</f>
        <v/>
      </c>
      <c r="AX11" s="8" t="str">
        <f>IF(COUNTIF('Tage Person4 Aus.4'!$V$3:$AA$100, AT11)&gt;0, "S",IF(COUNTIF('Tage Person4 Aus.4'!$A$3:$O$100, AT11)&gt;0, "U",IF(COUNTIF('Tage Person4 Aus.4'!$AE$3:$AI$100, AT11)&gt;0, "h", "")))</f>
        <v/>
      </c>
      <c r="AY11" s="8" t="str">
        <f>IF(COUNTIF('Tage ferien Aus.'!$A$3:$O$100, AT11)&gt;0, "E", "")</f>
        <v/>
      </c>
      <c r="AZ11" s="8" t="str">
        <f>IF(COUNTIF('Tage feiertage Aus.'!$A$3:$O$100, AT11)&gt;0, "f", "")</f>
        <v/>
      </c>
      <c r="BA11" s="7">
        <f t="shared" si="7"/>
        <v>46244</v>
      </c>
      <c r="BB11" s="8" t="str">
        <f>IF(COUNTIF('Tage Person1 Aus.'!$V$3:$AA$100, BA11)&gt;0, "S",IF(COUNTIF('Tage Person1 Aus.'!$A$3:$O$100, BA11)&gt;0, "U",IF(COUNTIF('Tage Person1 Aus.'!$AE$3:$AI$100, BA11)&gt;0, "h", "")))</f>
        <v/>
      </c>
      <c r="BC11" s="8" t="str">
        <f>IF(COUNTIF('Tage Person2 Aus.2'!$V$3:$AA$100, BA11)&gt;0, "S",IF(COUNTIF('Tage Person2 Aus.2'!$A$3:$O$100, BA11)&gt;0, "U",IF(COUNTIF('Tage Person2 Aus.2'!$AE$3:$AI$100, BA11)&gt;0, "h", "")))</f>
        <v/>
      </c>
      <c r="BD11" s="8" t="str">
        <f>IF(COUNTIF('Tage Person3 Aus.3'!$V$3:$AA$100, BA11)&gt;0, "S",IF(COUNTIF('Tage Person3 Aus.3'!$A$3:$O$100, BA11)&gt;0, "U",IF(COUNTIF('Tage Person3 Aus.3'!$AE$3:$AI$100, BA11)&gt;0, "h", "")))</f>
        <v/>
      </c>
      <c r="BE11" s="8" t="str">
        <f>IF(COUNTIF('Tage Person4 Aus.4'!$V$3:$AA$100, BA11)&gt;0, "S",IF(COUNTIF('Tage Person4 Aus.4'!$A$3:$O$100, BA11)&gt;0, "U",IF(COUNTIF('Tage Person4 Aus.4'!$AE$3:$AI$100, BA11)&gt;0, "h", "")))</f>
        <v/>
      </c>
      <c r="BF11" s="8" t="str">
        <f>IF(COUNTIF('Tage ferien Aus.'!$A$3:$O$100, BA11)&gt;0, "E", "")</f>
        <v>E</v>
      </c>
      <c r="BG11" s="8" t="str">
        <f>IF(COUNTIF('Tage feiertage Aus.'!$A$3:$O$100, BA11)&gt;0, "f", "")</f>
        <v/>
      </c>
      <c r="BH11" s="7">
        <f t="shared" si="8"/>
        <v>46275</v>
      </c>
      <c r="BI11" s="8" t="str">
        <f>IF(COUNTIF('Tage Person1 Aus.'!$V$3:$AA$100, BH11)&gt;0, "S",IF(COUNTIF('Tage Person1 Aus.'!$A$3:$O$100, BH11)&gt;0, "U",IF(COUNTIF('Tage Person1 Aus.'!$AE$3:$AI$100, BH11)&gt;0, "h", "")))</f>
        <v/>
      </c>
      <c r="BJ11" s="8" t="str">
        <f>IF(COUNTIF('Tage Person2 Aus.2'!$V$3:$AA$100, BH11)&gt;0, "S",IF(COUNTIF('Tage Person2 Aus.2'!$A$3:$O$100, BH11)&gt;0, "U",IF(COUNTIF('Tage Person2 Aus.2'!$AE$3:$AI$100, BH11)&gt;0, "h", "")))</f>
        <v/>
      </c>
      <c r="BK11" s="8" t="str">
        <f>IF(COUNTIF('Tage Person3 Aus.3'!$V$3:$AA$100, BH11)&gt;0, "S",IF(COUNTIF('Tage Person3 Aus.3'!$A$3:$O$100, BH11)&gt;0, "U",IF(COUNTIF('Tage Person3 Aus.3'!$AE$3:$AI$100, BH11)&gt;0, "h", "")))</f>
        <v/>
      </c>
      <c r="BL11" s="8" t="str">
        <f>IF(COUNTIF('Tage Person4 Aus.4'!$V$3:$AA$100, BH11)&gt;0, "S",IF(COUNTIF('Tage Person4 Aus.4'!$A$3:$O$100, BH11)&gt;0, "U",IF(COUNTIF('Tage Person4 Aus.4'!$AE$3:$AI$100, BH11)&gt;0, "h", "")))</f>
        <v/>
      </c>
      <c r="BM11" s="8" t="str">
        <f>IF(COUNTIF('Tage ferien Aus.'!$A$3:$O$100, BH11)&gt;0, "E", "")</f>
        <v/>
      </c>
      <c r="BN11" s="8" t="str">
        <f>IF(COUNTIF('Tage feiertage Aus.'!$A$3:$O$100, BH11)&gt;0, "f", "")</f>
        <v/>
      </c>
      <c r="BO11" s="7">
        <f t="shared" si="9"/>
        <v>46305</v>
      </c>
      <c r="BP11" s="8" t="str">
        <f>IF(COUNTIF('Tage Person1 Aus.'!$V$3:$AA$100, BO11)&gt;0, "S",IF(COUNTIF('Tage Person1 Aus.'!$A$3:$O$100, BO11)&gt;0, "U",IF(COUNTIF('Tage Person1 Aus.'!$AE$3:$AI$100, BO11)&gt;0, "h", "")))</f>
        <v/>
      </c>
      <c r="BQ11" s="8" t="str">
        <f>IF(COUNTIF('Tage Person2 Aus.2'!$V$3:$AA$100, BO11)&gt;0, "S",IF(COUNTIF('Tage Person2 Aus.2'!$A$3:$O$100, BO11)&gt;0, "U",IF(COUNTIF('Tage Person2 Aus.2'!$AE$3:$AI$100, BO11)&gt;0, "h", "")))</f>
        <v/>
      </c>
      <c r="BR11" s="8" t="str">
        <f>IF(COUNTIF('Tage Person3 Aus.3'!$V$3:$AA$100, BO11)&gt;0, "S",IF(COUNTIF('Tage Person3 Aus.3'!$A$3:$O$100, BO11)&gt;0, "U",IF(COUNTIF('Tage Person3 Aus.3'!$AE$3:$AI$100, BO11)&gt;0, "h", "")))</f>
        <v/>
      </c>
      <c r="BS11" s="8" t="str">
        <f>IF(COUNTIF('Tage Person4 Aus.4'!$V$3:$AA$100, BO11)&gt;0, "S",IF(COUNTIF('Tage Person4 Aus.4'!$A$3:$O$100, BO11)&gt;0, "U",IF(COUNTIF('Tage Person4 Aus.4'!$AE$3:$AI$100, BO11)&gt;0, "h", "")))</f>
        <v/>
      </c>
      <c r="BT11" s="8" t="str">
        <f>IF(COUNTIF('Tage ferien Aus.'!$A$3:$O$100, BO11)&gt;0, "E", "")</f>
        <v/>
      </c>
      <c r="BU11" s="8" t="str">
        <f>IF(COUNTIF('Tage feiertage Aus.'!$A$3:$O$100, BO11)&gt;0, "f", "")</f>
        <v/>
      </c>
      <c r="BV11" s="7">
        <f t="shared" si="10"/>
        <v>46336</v>
      </c>
      <c r="BW11" s="8" t="str">
        <f>IF(COUNTIF('Tage Person1 Aus.'!$V$3:$AA$100, BV11)&gt;0, "S",IF(COUNTIF('Tage Person1 Aus.'!$A$3:$O$100, BV11)&gt;0, "U",IF(COUNTIF('Tage Person1 Aus.'!$AE$3:$AI$100, BV11)&gt;0, "h", "")))</f>
        <v/>
      </c>
      <c r="BX11" s="8" t="str">
        <f>IF(COUNTIF('Tage Person2 Aus.2'!$V$3:$AA$100, BV11)&gt;0, "S",IF(COUNTIF('Tage Person2 Aus.2'!$A$3:$O$100, BV11)&gt;0, "U",IF(COUNTIF('Tage Person2 Aus.2'!$AE$3:$AI$100, BV11)&gt;0, "h", "")))</f>
        <v/>
      </c>
      <c r="BY11" s="8" t="str">
        <f>IF(COUNTIF('Tage Person3 Aus.3'!$V$3:$AA$100, BV11)&gt;0, "S",IF(COUNTIF('Tage Person3 Aus.3'!$A$3:$O$100, BV11)&gt;0, "U",IF(COUNTIF('Tage Person3 Aus.3'!$AE$3:$AI$100, BV11)&gt;0, "h", "")))</f>
        <v/>
      </c>
      <c r="BZ11" s="8" t="str">
        <f>IF(COUNTIF('Tage Person4 Aus.4'!$V$3:$AA$100, BV11)&gt;0, "S",IF(COUNTIF('Tage Person4 Aus.4'!$A$3:$O$100, BV11)&gt;0, "U",IF(COUNTIF('Tage Person4 Aus.4'!$AE$3:$AI$100, BV11)&gt;0, "h", "")))</f>
        <v/>
      </c>
      <c r="CA11" s="8" t="str">
        <f>IF(COUNTIF('Tage ferien Aus.'!$A$3:$O$100, BV11)&gt;0, "E", "")</f>
        <v/>
      </c>
      <c r="CB11" s="8" t="str">
        <f>IF(COUNTIF('Tage feiertage Aus.'!$A$3:$O$100, BV11)&gt;0, "f", "")</f>
        <v/>
      </c>
      <c r="CC11" s="7">
        <f t="shared" si="11"/>
        <v>46366</v>
      </c>
      <c r="CD11" s="10" t="str">
        <f>IF(COUNTIF('Tage Person1 Aus.'!$V$3:$AA$100, CC11)&gt;0, "S",IF(COUNTIF('Tage Person1 Aus.'!$A$3:$O$100, CC11)&gt;0, "U",IF(COUNTIF('Tage Person1 Aus.'!$AE$3:$AI$100, CC11)&gt;0, "h", "")))</f>
        <v/>
      </c>
      <c r="CE11" s="11" t="str">
        <f>IF(COUNTIF('Tage Person2 Aus.2'!$V$3:$AA$100, CC11)&gt;0, "S",IF(COUNTIF('Tage Person2 Aus.2'!$A$3:$O$100, CC11)&gt;0, "U",IF(COUNTIF('Tage Person2 Aus.2'!$AE$3:$AI$100, CC11)&gt;0, "h", "")))</f>
        <v/>
      </c>
      <c r="CF11" s="12" t="str">
        <f>IF(COUNTIF('Tage Person3 Aus.3'!$V$3:$AA$100, CC11)&gt;0, "S",IF(COUNTIF('Tage Person3 Aus.3'!$A$3:$O$100, CC11)&gt;0, "U",IF(COUNTIF('Tage Person3 Aus.3'!$AE$3:$AI$100, CC11)&gt;0, "h", "")))</f>
        <v/>
      </c>
      <c r="CG11" s="10" t="str">
        <f>IF(COUNTIF('Tage Person4 Aus.4'!$V$3:$AA$100, CC11)&gt;0, "S",IF(COUNTIF('Tage Person4 Aus.4'!$A$3:$O$100, CC11)&gt;0, "U",IF(COUNTIF('Tage Person4 Aus.4'!$AE$3:$AI$100, CC11)&gt;0, "h", "")))</f>
        <v/>
      </c>
      <c r="CH11" s="11" t="str">
        <f>IF(COUNTIF('Tage ferien Aus.'!$A$3:$O$100, CC11)&gt;0, "E", "")</f>
        <v/>
      </c>
      <c r="CI11" s="12" t="str">
        <f>IF(COUNTIF('Tage feiertage Aus.'!$A$3:$O$100, CC11)&gt;0, "f", "")</f>
        <v/>
      </c>
      <c r="CJ11" s="4"/>
      <c r="CK11" s="4"/>
      <c r="CL11" s="6"/>
      <c r="CM11" s="4"/>
      <c r="CN11" s="2"/>
      <c r="CO11" s="3"/>
      <c r="CP11" s="4"/>
      <c r="CQ11" s="2"/>
      <c r="CR11" s="3"/>
      <c r="CS11" s="4"/>
      <c r="CT11" s="4"/>
      <c r="CU11" s="6"/>
      <c r="CV11" s="4"/>
      <c r="CW11" s="4"/>
      <c r="CX11" s="6"/>
      <c r="CY11" s="4"/>
    </row>
    <row r="12" spans="1:103" x14ac:dyDescent="0.3">
      <c r="A12" s="65"/>
      <c r="B12" s="58"/>
      <c r="C12" s="57"/>
      <c r="D12" s="7">
        <f t="shared" si="0"/>
        <v>46033</v>
      </c>
      <c r="E12" s="8" t="str">
        <f>IF(COUNTIF('Tage Person1 Aus.'!$V$3:$AA$100, D12)&gt;0, "S",IF(COUNTIF('Tage Person1 Aus.'!$A$3:$O$100, D12)&gt;0, "U",IF(COUNTIF('Tage Person1 Aus.'!$AE$3:$AI$100, D12)&gt;0, "h", "")))</f>
        <v/>
      </c>
      <c r="F12" s="8" t="str">
        <f>IF(COUNTIF('Tage Person2 Aus.2'!$V$3:$AA$100, D12)&gt;0, "S",IF(COUNTIF('Tage Person2 Aus.2'!$A$3:$O$100, D12)&gt;0, "U",IF(COUNTIF('Tage Person2 Aus.2'!$AE$3:$AI$100, D12)&gt;0, "h", "")))</f>
        <v/>
      </c>
      <c r="G12" s="8" t="str">
        <f>IF(COUNTIF('Tage Person3 Aus.3'!$V$3:$AA$100, D12)&gt;0, "S",IF(COUNTIF('Tage Person3 Aus.3'!$A$3:$O$100, D12)&gt;0, "U",IF(COUNTIF('Tage Person3 Aus.3'!$AE$3:$AI$100, D12)&gt;0, "h", "")))</f>
        <v/>
      </c>
      <c r="H12" s="8" t="str">
        <f>IF(COUNTIF('Tage Person4 Aus.4'!$V$3:$AA$100, D12)&gt;0, "S",IF(COUNTIF('Tage Person4 Aus.4'!$A$3:$O$100, D12)&gt;0, "U",IF(COUNTIF('Tage Person4 Aus.4'!$AE$3:$AI$100, D12)&gt;0, "h", "")))</f>
        <v/>
      </c>
      <c r="I12" s="8" t="str">
        <f>IF(COUNTIF('Tage ferien Aus.'!$A$3:$O$100, D12)&gt;0, "E", "")</f>
        <v/>
      </c>
      <c r="J12" s="8" t="str">
        <f>IF(COUNTIF('Tage feiertage Aus.'!$A$3:$O$100, D12)&gt;0, "f", "")</f>
        <v/>
      </c>
      <c r="K12" s="7">
        <f t="shared" si="1"/>
        <v>46064</v>
      </c>
      <c r="L12" s="8" t="str">
        <f>IF(COUNTIF('Tage Person1 Aus.'!$V$3:$AA$100, K12)&gt;0, "S",IF(COUNTIF('Tage Person1 Aus.'!$A$3:$O$100, K12)&gt;0, "U",IF(COUNTIF('Tage Person1 Aus.'!$AE$3:$AI$100, K12)&gt;0, "h", "")))</f>
        <v/>
      </c>
      <c r="M12" s="8" t="str">
        <f>IF(COUNTIF('Tage Person2 Aus.2'!$V$3:$AA$100, K12)&gt;0, "S",IF(COUNTIF('Tage Person2 Aus.2'!$A$3:$O$100, K12)&gt;0, "U",IF(COUNTIF('Tage Person2 Aus.2'!$AE$3:$AI$100, K12)&gt;0, "h", "")))</f>
        <v/>
      </c>
      <c r="N12" s="8" t="str">
        <f>IF(COUNTIF('Tage Person3 Aus.3'!$V$3:$AA$100, K12)&gt;0, "S",IF(COUNTIF('Tage Person3 Aus.3'!$A$3:$O$100, K12)&gt;0, "U",IF(COUNTIF('Tage Person3 Aus.3'!$AE$3:$AI$100, K12)&gt;0, "h", "")))</f>
        <v/>
      </c>
      <c r="O12" s="8" t="str">
        <f>IF(COUNTIF('Tage Person4 Aus.4'!$V$3:$AA$100, K12)&gt;0, "S",IF(COUNTIF('Tage Person4 Aus.4'!$A$3:$O$100, K12)&gt;0, "U",IF(COUNTIF('Tage Person4 Aus.4'!$AE$3:$AI$100, K12)&gt;0, "h", "")))</f>
        <v/>
      </c>
      <c r="P12" s="8" t="str">
        <f>IF(COUNTIF('Tage ferien Aus.'!$A$3:$O$100, K12)&gt;0, "E", "")</f>
        <v/>
      </c>
      <c r="Q12" s="8" t="str">
        <f>IF(COUNTIF('Tage feiertage Aus.'!$A$3:$O$100, K12)&gt;0, "f", "")</f>
        <v/>
      </c>
      <c r="R12" s="7">
        <f t="shared" si="2"/>
        <v>46092</v>
      </c>
      <c r="S12" s="8" t="str">
        <f>IF(COUNTIF('Tage Person1 Aus.'!$V$3:$AA$100, R12)&gt;0, "S",IF(COUNTIF('Tage Person1 Aus.'!$A$3:$O$100, R12)&gt;0, "U",IF(COUNTIF('Tage Person1 Aus.'!$AE$3:$AI$100, R12)&gt;0, "h", "")))</f>
        <v/>
      </c>
      <c r="T12" s="8" t="str">
        <f>IF(COUNTIF('Tage Person2 Aus.2'!$V$3:$AA$100, R12)&gt;0, "S",IF(COUNTIF('Tage Person2 Aus.2'!$A$3:$O$100, R12)&gt;0, "U",IF(COUNTIF('Tage Person2 Aus.2'!$AE$3:$AI$100, R12)&gt;0, "h", "")))</f>
        <v/>
      </c>
      <c r="U12" s="8" t="str">
        <f>IF(COUNTIF('Tage Person3 Aus.3'!$V$3:$AA$100, R12)&gt;0, "S",IF(COUNTIF('Tage Person3 Aus.3'!$A$3:$O$100, R12)&gt;0, "U",IF(COUNTIF('Tage Person3 Aus.3'!$AE$3:$AI$100, R12)&gt;0, "h", "")))</f>
        <v/>
      </c>
      <c r="V12" s="8" t="str">
        <f>IF(COUNTIF('Tage Person4 Aus.4'!$V$3:$AA$100, R12)&gt;0, "S",IF(COUNTIF('Tage Person4 Aus.4'!$A$3:$O$100, R12)&gt;0, "U",IF(COUNTIF('Tage Person4 Aus.4'!$AE$3:$AI$100, R12)&gt;0, "h", "")))</f>
        <v/>
      </c>
      <c r="W12" s="8" t="str">
        <f>IF(COUNTIF('Tage ferien Aus.'!$A$3:$O$100, R12)&gt;0, "E", "")</f>
        <v/>
      </c>
      <c r="X12" s="8" t="str">
        <f>IF(COUNTIF('Tage feiertage Aus.'!$A$3:$O$100, R12)&gt;0, "f", "")</f>
        <v/>
      </c>
      <c r="Y12" s="7">
        <f t="shared" si="3"/>
        <v>46123</v>
      </c>
      <c r="Z12" s="8" t="str">
        <f>IF(COUNTIF('Tage Person1 Aus.'!$V$3:$AA$100, Y12)&gt;0, "S",IF(COUNTIF('Tage Person1 Aus.'!$A$3:$O$100, Y12)&gt;0, "U",IF(COUNTIF('Tage Person1 Aus.'!$AE$3:$AI$100, Y12)&gt;0, "h", "")))</f>
        <v/>
      </c>
      <c r="AA12" s="8" t="str">
        <f>IF(COUNTIF('Tage Person2 Aus.2'!$V$3:$AA$100, Y12)&gt;0, "S",IF(COUNTIF('Tage Person2 Aus.2'!$A$3:$O$100, Y12)&gt;0, "U",IF(COUNTIF('Tage Person2 Aus.2'!$AE$3:$AI$100, Y12)&gt;0, "h", "")))</f>
        <v/>
      </c>
      <c r="AB12" s="8" t="str">
        <f>IF(COUNTIF('Tage Person3 Aus.3'!$V$3:$AA$100, Y12)&gt;0, "S",IF(COUNTIF('Tage Person3 Aus.3'!$A$3:$O$100, Y12)&gt;0, "U",IF(COUNTIF('Tage Person3 Aus.3'!$AE$3:$AI$100, Y12)&gt;0, "h", "")))</f>
        <v/>
      </c>
      <c r="AC12" s="8" t="str">
        <f>IF(COUNTIF('Tage Person4 Aus.4'!$V$3:$AA$100, Y12)&gt;0, "S",IF(COUNTIF('Tage Person4 Aus.4'!$A$3:$O$100, Y12)&gt;0, "U",IF(COUNTIF('Tage Person4 Aus.4'!$AE$3:$AI$100, Y12)&gt;0, "h", "")))</f>
        <v/>
      </c>
      <c r="AD12" s="8" t="str">
        <f>IF(COUNTIF('Tage ferien Aus.'!$A$3:$O$100, Y12)&gt;0, "E", "")</f>
        <v>E</v>
      </c>
      <c r="AE12" s="8" t="str">
        <f>IF(COUNTIF('Tage feiertage Aus.'!$A$3:$O$100, Y12)&gt;0, "f", "")</f>
        <v/>
      </c>
      <c r="AF12" s="7">
        <f t="shared" si="4"/>
        <v>46153</v>
      </c>
      <c r="AG12" s="9" t="str">
        <f>IF(COUNTIF('Tage Person1 Aus.'!$V$3:$AA$100, AF12)&gt;0, "S",IF(COUNTIF('Tage Person1 Aus.'!$A$3:$O$100, AF12)&gt;0, "U",IF(COUNTIF('Tage Person1 Aus.'!$AE$3:$AI$100, AF12)&gt;0, "h", "")))</f>
        <v/>
      </c>
      <c r="AH12" s="8" t="str">
        <f>IF(COUNTIF('Tage Person2 Aus.2'!$V$3:$AA$100, AF12)&gt;0, "S",IF(COUNTIF('Tage Person2 Aus.2'!$A$3:$O$100, AF12)&gt;0, "U",IF(COUNTIF('Tage Person2 Aus.2'!$AE$3:$AI$100, AF12)&gt;0, "h", "")))</f>
        <v/>
      </c>
      <c r="AI12" s="8" t="str">
        <f>IF(COUNTIF('Tage Person3 Aus.3'!$V$3:$AA$100, AF12)&gt;0, "S",IF(COUNTIF('Tage Person3 Aus.3'!$A$3:$O$100, AF12)&gt;0, "U",IF(COUNTIF('Tage Person3 Aus.3'!$AE$3:$AI$100, AF12)&gt;0, "h", "")))</f>
        <v/>
      </c>
      <c r="AJ12" s="8" t="str">
        <f>IF(COUNTIF('Tage Person4 Aus.4'!$V$3:$AA$100, AF12)&gt;0, "S",IF(COUNTIF('Tage Person4 Aus.4'!$A$3:$O$100, AF12)&gt;0, "U",IF(COUNTIF('Tage Person4 Aus.4'!$AE$3:$AI$100, AF12)&gt;0, "h", "")))</f>
        <v/>
      </c>
      <c r="AK12" s="8" t="str">
        <f>IF(COUNTIF('Tage ferien Aus.'!$A$3:$O$100, AF12)&gt;0, "E", "")</f>
        <v/>
      </c>
      <c r="AL12" s="8" t="str">
        <f>IF(COUNTIF('Tage feiertage Aus.'!$A$3:$O$100, AF12)&gt;0, "f", "")</f>
        <v/>
      </c>
      <c r="AM12" s="7">
        <f t="shared" si="5"/>
        <v>46184</v>
      </c>
      <c r="AN12" s="8" t="str">
        <f>IF(COUNTIF('Tage Person1 Aus.'!$V$3:$AA$100, AM12)&gt;0, "S",IF(COUNTIF('Tage Person1 Aus.'!$A$3:$O$100, AM12)&gt;0, "U",IF(COUNTIF('Tage Person1 Aus.'!$AE$3:$AI$100, AM12)&gt;0, "h", "")))</f>
        <v/>
      </c>
      <c r="AO12" s="8" t="str">
        <f>IF(COUNTIF('Tage Person2 Aus.2'!$V$3:$AA$100, AM12)&gt;0, "S",IF(COUNTIF('Tage Person2 Aus.2'!$A$3:$O$100, AM12)&gt;0, "U",IF(COUNTIF('Tage Person2 Aus.2'!$AE$3:$AI$100, AM12)&gt;0, "h", "")))</f>
        <v/>
      </c>
      <c r="AP12" s="8" t="str">
        <f>IF(COUNTIF('Tage Person3 Aus.3'!$V$3:$AA$100, AM12)&gt;0, "S",IF(COUNTIF('Tage Person3 Aus.3'!$A$3:$O$100, AM12)&gt;0, "U",IF(COUNTIF('Tage Person3 Aus.3'!$AE$3:$AI$100, AM12)&gt;0, "h", "")))</f>
        <v/>
      </c>
      <c r="AQ12" s="8" t="str">
        <f>IF(COUNTIF('Tage Person4 Aus.4'!$V$3:$AA$100, AM12)&gt;0, "S",IF(COUNTIF('Tage Person4 Aus.4'!$A$3:$O$100, AM12)&gt;0, "U",IF(COUNTIF('Tage Person4 Aus.4'!$AE$3:$AI$100, AM12)&gt;0, "h", "")))</f>
        <v/>
      </c>
      <c r="AR12" s="8" t="str">
        <f>IF(COUNTIF('Tage ferien Aus.'!$A$3:$O$100, AM12)&gt;0, "E", "")</f>
        <v/>
      </c>
      <c r="AS12" s="8" t="str">
        <f>IF(COUNTIF('Tage feiertage Aus.'!$A$3:$O$100, AM12)&gt;0, "f", "")</f>
        <v/>
      </c>
      <c r="AT12" s="7">
        <f t="shared" si="6"/>
        <v>46214</v>
      </c>
      <c r="AU12" s="8" t="str">
        <f>IF(COUNTIF('Tage Person1 Aus.'!$V$3:$AA$100, AT12)&gt;0, "S",IF(COUNTIF('Tage Person1 Aus.'!$A$3:$O$100, AT12)&gt;0, "U",IF(COUNTIF('Tage Person1 Aus.'!$AE$3:$AI$100, AT12)&gt;0, "h", "")))</f>
        <v/>
      </c>
      <c r="AV12" s="8" t="str">
        <f>IF(COUNTIF('Tage Person2 Aus.2'!$V$3:$AA$100, AT12)&gt;0, "S",IF(COUNTIF('Tage Person2 Aus.2'!$A$3:$O$100, AT12)&gt;0, "U",IF(COUNTIF('Tage Person2 Aus.2'!$AE$3:$AI$100, AT12)&gt;0, "h", "")))</f>
        <v/>
      </c>
      <c r="AW12" s="8" t="str">
        <f>IF(COUNTIF('Tage Person3 Aus.3'!$V$3:$AA$100, AT12)&gt;0, "S",IF(COUNTIF('Tage Person3 Aus.3'!$A$3:$O$100, AT12)&gt;0, "U",IF(COUNTIF('Tage Person3 Aus.3'!$AE$3:$AI$100, AT12)&gt;0, "h", "")))</f>
        <v/>
      </c>
      <c r="AX12" s="8" t="str">
        <f>IF(COUNTIF('Tage Person4 Aus.4'!$V$3:$AA$100, AT12)&gt;0, "S",IF(COUNTIF('Tage Person4 Aus.4'!$A$3:$O$100, AT12)&gt;0, "U",IF(COUNTIF('Tage Person4 Aus.4'!$AE$3:$AI$100, AT12)&gt;0, "h", "")))</f>
        <v/>
      </c>
      <c r="AY12" s="8" t="str">
        <f>IF(COUNTIF('Tage ferien Aus.'!$A$3:$O$100, AT12)&gt;0, "E", "")</f>
        <v/>
      </c>
      <c r="AZ12" s="8" t="str">
        <f>IF(COUNTIF('Tage feiertage Aus.'!$A$3:$O$100, AT12)&gt;0, "f", "")</f>
        <v/>
      </c>
      <c r="BA12" s="7">
        <f t="shared" si="7"/>
        <v>46245</v>
      </c>
      <c r="BB12" s="8" t="str">
        <f>IF(COUNTIF('Tage Person1 Aus.'!$V$3:$AA$100, BA12)&gt;0, "S",IF(COUNTIF('Tage Person1 Aus.'!$A$3:$O$100, BA12)&gt;0, "U",IF(COUNTIF('Tage Person1 Aus.'!$AE$3:$AI$100, BA12)&gt;0, "h", "")))</f>
        <v/>
      </c>
      <c r="BC12" s="8" t="str">
        <f>IF(COUNTIF('Tage Person2 Aus.2'!$V$3:$AA$100, BA12)&gt;0, "S",IF(COUNTIF('Tage Person2 Aus.2'!$A$3:$O$100, BA12)&gt;0, "U",IF(COUNTIF('Tage Person2 Aus.2'!$AE$3:$AI$100, BA12)&gt;0, "h", "")))</f>
        <v/>
      </c>
      <c r="BD12" s="8" t="str">
        <f>IF(COUNTIF('Tage Person3 Aus.3'!$V$3:$AA$100, BA12)&gt;0, "S",IF(COUNTIF('Tage Person3 Aus.3'!$A$3:$O$100, BA12)&gt;0, "U",IF(COUNTIF('Tage Person3 Aus.3'!$AE$3:$AI$100, BA12)&gt;0, "h", "")))</f>
        <v/>
      </c>
      <c r="BE12" s="8" t="str">
        <f>IF(COUNTIF('Tage Person4 Aus.4'!$V$3:$AA$100, BA12)&gt;0, "S",IF(COUNTIF('Tage Person4 Aus.4'!$A$3:$O$100, BA12)&gt;0, "U",IF(COUNTIF('Tage Person4 Aus.4'!$AE$3:$AI$100, BA12)&gt;0, "h", "")))</f>
        <v/>
      </c>
      <c r="BF12" s="8" t="str">
        <f>IF(COUNTIF('Tage ferien Aus.'!$A$3:$O$100, BA12)&gt;0, "E", "")</f>
        <v>E</v>
      </c>
      <c r="BG12" s="8" t="str">
        <f>IF(COUNTIF('Tage feiertage Aus.'!$A$3:$O$100, BA12)&gt;0, "f", "")</f>
        <v/>
      </c>
      <c r="BH12" s="7">
        <f t="shared" si="8"/>
        <v>46276</v>
      </c>
      <c r="BI12" s="8" t="str">
        <f>IF(COUNTIF('Tage Person1 Aus.'!$V$3:$AA$100, BH12)&gt;0, "S",IF(COUNTIF('Tage Person1 Aus.'!$A$3:$O$100, BH12)&gt;0, "U",IF(COUNTIF('Tage Person1 Aus.'!$AE$3:$AI$100, BH12)&gt;0, "h", "")))</f>
        <v/>
      </c>
      <c r="BJ12" s="8" t="str">
        <f>IF(COUNTIF('Tage Person2 Aus.2'!$V$3:$AA$100, BH12)&gt;0, "S",IF(COUNTIF('Tage Person2 Aus.2'!$A$3:$O$100, BH12)&gt;0, "U",IF(COUNTIF('Tage Person2 Aus.2'!$AE$3:$AI$100, BH12)&gt;0, "h", "")))</f>
        <v/>
      </c>
      <c r="BK12" s="8" t="str">
        <f>IF(COUNTIF('Tage Person3 Aus.3'!$V$3:$AA$100, BH12)&gt;0, "S",IF(COUNTIF('Tage Person3 Aus.3'!$A$3:$O$100, BH12)&gt;0, "U",IF(COUNTIF('Tage Person3 Aus.3'!$AE$3:$AI$100, BH12)&gt;0, "h", "")))</f>
        <v/>
      </c>
      <c r="BL12" s="8" t="str">
        <f>IF(COUNTIF('Tage Person4 Aus.4'!$V$3:$AA$100, BH12)&gt;0, "S",IF(COUNTIF('Tage Person4 Aus.4'!$A$3:$O$100, BH12)&gt;0, "U",IF(COUNTIF('Tage Person4 Aus.4'!$AE$3:$AI$100, BH12)&gt;0, "h", "")))</f>
        <v/>
      </c>
      <c r="BM12" s="8" t="str">
        <f>IF(COUNTIF('Tage ferien Aus.'!$A$3:$O$100, BH12)&gt;0, "E", "")</f>
        <v/>
      </c>
      <c r="BN12" s="8" t="str">
        <f>IF(COUNTIF('Tage feiertage Aus.'!$A$3:$O$100, BH12)&gt;0, "f", "")</f>
        <v/>
      </c>
      <c r="BO12" s="7">
        <f t="shared" si="9"/>
        <v>46306</v>
      </c>
      <c r="BP12" s="8" t="str">
        <f>IF(COUNTIF('Tage Person1 Aus.'!$V$3:$AA$100, BO12)&gt;0, "S",IF(COUNTIF('Tage Person1 Aus.'!$A$3:$O$100, BO12)&gt;0, "U",IF(COUNTIF('Tage Person1 Aus.'!$AE$3:$AI$100, BO12)&gt;0, "h", "")))</f>
        <v/>
      </c>
      <c r="BQ12" s="8" t="str">
        <f>IF(COUNTIF('Tage Person2 Aus.2'!$V$3:$AA$100, BO12)&gt;0, "S",IF(COUNTIF('Tage Person2 Aus.2'!$A$3:$O$100, BO12)&gt;0, "U",IF(COUNTIF('Tage Person2 Aus.2'!$AE$3:$AI$100, BO12)&gt;0, "h", "")))</f>
        <v/>
      </c>
      <c r="BR12" s="8" t="str">
        <f>IF(COUNTIF('Tage Person3 Aus.3'!$V$3:$AA$100, BO12)&gt;0, "S",IF(COUNTIF('Tage Person3 Aus.3'!$A$3:$O$100, BO12)&gt;0, "U",IF(COUNTIF('Tage Person3 Aus.3'!$AE$3:$AI$100, BO12)&gt;0, "h", "")))</f>
        <v/>
      </c>
      <c r="BS12" s="8" t="str">
        <f>IF(COUNTIF('Tage Person4 Aus.4'!$V$3:$AA$100, BO12)&gt;0, "S",IF(COUNTIF('Tage Person4 Aus.4'!$A$3:$O$100, BO12)&gt;0, "U",IF(COUNTIF('Tage Person4 Aus.4'!$AE$3:$AI$100, BO12)&gt;0, "h", "")))</f>
        <v/>
      </c>
      <c r="BT12" s="8" t="str">
        <f>IF(COUNTIF('Tage ferien Aus.'!$A$3:$O$100, BO12)&gt;0, "E", "")</f>
        <v/>
      </c>
      <c r="BU12" s="8" t="str">
        <f>IF(COUNTIF('Tage feiertage Aus.'!$A$3:$O$100, BO12)&gt;0, "f", "")</f>
        <v/>
      </c>
      <c r="BV12" s="7">
        <f t="shared" si="10"/>
        <v>46337</v>
      </c>
      <c r="BW12" s="8" t="str">
        <f>IF(COUNTIF('Tage Person1 Aus.'!$V$3:$AA$100, BV12)&gt;0, "S",IF(COUNTIF('Tage Person1 Aus.'!$A$3:$O$100, BV12)&gt;0, "U",IF(COUNTIF('Tage Person1 Aus.'!$AE$3:$AI$100, BV12)&gt;0, "h", "")))</f>
        <v/>
      </c>
      <c r="BX12" s="8" t="str">
        <f>IF(COUNTIF('Tage Person2 Aus.2'!$V$3:$AA$100, BV12)&gt;0, "S",IF(COUNTIF('Tage Person2 Aus.2'!$A$3:$O$100, BV12)&gt;0, "U",IF(COUNTIF('Tage Person2 Aus.2'!$AE$3:$AI$100, BV12)&gt;0, "h", "")))</f>
        <v/>
      </c>
      <c r="BY12" s="8" t="str">
        <f>IF(COUNTIF('Tage Person3 Aus.3'!$V$3:$AA$100, BV12)&gt;0, "S",IF(COUNTIF('Tage Person3 Aus.3'!$A$3:$O$100, BV12)&gt;0, "U",IF(COUNTIF('Tage Person3 Aus.3'!$AE$3:$AI$100, BV12)&gt;0, "h", "")))</f>
        <v/>
      </c>
      <c r="BZ12" s="8" t="str">
        <f>IF(COUNTIF('Tage Person4 Aus.4'!$V$3:$AA$100, BV12)&gt;0, "S",IF(COUNTIF('Tage Person4 Aus.4'!$A$3:$O$100, BV12)&gt;0, "U",IF(COUNTIF('Tage Person4 Aus.4'!$AE$3:$AI$100, BV12)&gt;0, "h", "")))</f>
        <v/>
      </c>
      <c r="CA12" s="8" t="str">
        <f>IF(COUNTIF('Tage ferien Aus.'!$A$3:$O$100, BV12)&gt;0, "E", "")</f>
        <v/>
      </c>
      <c r="CB12" s="8" t="str">
        <f>IF(COUNTIF('Tage feiertage Aus.'!$A$3:$O$100, BV12)&gt;0, "f", "")</f>
        <v/>
      </c>
      <c r="CC12" s="7">
        <f t="shared" si="11"/>
        <v>46367</v>
      </c>
      <c r="CD12" s="10" t="str">
        <f>IF(COUNTIF('Tage Person1 Aus.'!$V$3:$AA$100, CC12)&gt;0, "S",IF(COUNTIF('Tage Person1 Aus.'!$A$3:$O$100, CC12)&gt;0, "U",IF(COUNTIF('Tage Person1 Aus.'!$AE$3:$AI$100, CC12)&gt;0, "h", "")))</f>
        <v/>
      </c>
      <c r="CE12" s="11" t="str">
        <f>IF(COUNTIF('Tage Person2 Aus.2'!$V$3:$AA$100, CC12)&gt;0, "S",IF(COUNTIF('Tage Person2 Aus.2'!$A$3:$O$100, CC12)&gt;0, "U",IF(COUNTIF('Tage Person2 Aus.2'!$AE$3:$AI$100, CC12)&gt;0, "h", "")))</f>
        <v/>
      </c>
      <c r="CF12" s="12" t="str">
        <f>IF(COUNTIF('Tage Person3 Aus.3'!$V$3:$AA$100, CC12)&gt;0, "S",IF(COUNTIF('Tage Person3 Aus.3'!$A$3:$O$100, CC12)&gt;0, "U",IF(COUNTIF('Tage Person3 Aus.3'!$AE$3:$AI$100, CC12)&gt;0, "h", "")))</f>
        <v/>
      </c>
      <c r="CG12" s="10" t="str">
        <f>IF(COUNTIF('Tage Person4 Aus.4'!$V$3:$AA$100, CC12)&gt;0, "S",IF(COUNTIF('Tage Person4 Aus.4'!$A$3:$O$100, CC12)&gt;0, "U",IF(COUNTIF('Tage Person4 Aus.4'!$AE$3:$AI$100, CC12)&gt;0, "h", "")))</f>
        <v/>
      </c>
      <c r="CH12" s="11" t="str">
        <f>IF(COUNTIF('Tage ferien Aus.'!$A$3:$O$100, CC12)&gt;0, "E", "")</f>
        <v/>
      </c>
      <c r="CI12" s="12" t="str">
        <f>IF(COUNTIF('Tage feiertage Aus.'!$A$3:$O$100, CC12)&gt;0, "f", "")</f>
        <v/>
      </c>
      <c r="CJ12" s="4"/>
      <c r="CK12" s="4"/>
      <c r="CL12" s="6"/>
      <c r="CM12" s="4"/>
      <c r="CN12" s="2"/>
      <c r="CO12" s="3"/>
      <c r="CP12" s="4"/>
      <c r="CQ12" s="2"/>
      <c r="CR12" s="3"/>
      <c r="CS12" s="4"/>
      <c r="CT12" s="4"/>
      <c r="CU12" s="6"/>
      <c r="CV12" s="4"/>
      <c r="CW12" s="4"/>
      <c r="CX12" s="6"/>
      <c r="CY12" s="4"/>
    </row>
    <row r="13" spans="1:103" x14ac:dyDescent="0.3">
      <c r="A13" s="65"/>
      <c r="B13" s="58"/>
      <c r="C13" s="57"/>
      <c r="D13" s="7">
        <f t="shared" si="0"/>
        <v>46034</v>
      </c>
      <c r="E13" s="8" t="str">
        <f>IF(COUNTIF('Tage Person1 Aus.'!$V$3:$AA$100, D13)&gt;0, "S",IF(COUNTIF('Tage Person1 Aus.'!$A$3:$O$100, D13)&gt;0, "U",IF(COUNTIF('Tage Person1 Aus.'!$AE$3:$AI$100, D13)&gt;0, "h", "")))</f>
        <v/>
      </c>
      <c r="F13" s="8" t="str">
        <f>IF(COUNTIF('Tage Person2 Aus.2'!$V$3:$AA$100, D13)&gt;0, "S",IF(COUNTIF('Tage Person2 Aus.2'!$A$3:$O$100, D13)&gt;0, "U",IF(COUNTIF('Tage Person2 Aus.2'!$AE$3:$AI$100, D13)&gt;0, "h", "")))</f>
        <v/>
      </c>
      <c r="G13" s="8" t="str">
        <f>IF(COUNTIF('Tage Person3 Aus.3'!$V$3:$AA$100, D13)&gt;0, "S",IF(COUNTIF('Tage Person3 Aus.3'!$A$3:$O$100, D13)&gt;0, "U",IF(COUNTIF('Tage Person3 Aus.3'!$AE$3:$AI$100, D13)&gt;0, "h", "")))</f>
        <v/>
      </c>
      <c r="H13" s="8" t="str">
        <f>IF(COUNTIF('Tage Person4 Aus.4'!$V$3:$AA$100, D13)&gt;0, "S",IF(COUNTIF('Tage Person4 Aus.4'!$A$3:$O$100, D13)&gt;0, "U",IF(COUNTIF('Tage Person4 Aus.4'!$AE$3:$AI$100, D13)&gt;0, "h", "")))</f>
        <v/>
      </c>
      <c r="I13" s="8" t="str">
        <f>IF(COUNTIF('Tage ferien Aus.'!$A$3:$O$100, D13)&gt;0, "E", "")</f>
        <v/>
      </c>
      <c r="J13" s="8" t="str">
        <f>IF(COUNTIF('Tage feiertage Aus.'!$A$3:$O$100, D13)&gt;0, "f", "")</f>
        <v/>
      </c>
      <c r="K13" s="7">
        <f t="shared" si="1"/>
        <v>46065</v>
      </c>
      <c r="L13" s="8" t="str">
        <f>IF(COUNTIF('Tage Person1 Aus.'!$V$3:$AA$100, K13)&gt;0, "S",IF(COUNTIF('Tage Person1 Aus.'!$A$3:$O$100, K13)&gt;0, "U",IF(COUNTIF('Tage Person1 Aus.'!$AE$3:$AI$100, K13)&gt;0, "h", "")))</f>
        <v/>
      </c>
      <c r="M13" s="8" t="str">
        <f>IF(COUNTIF('Tage Person2 Aus.2'!$V$3:$AA$100, K13)&gt;0, "S",IF(COUNTIF('Tage Person2 Aus.2'!$A$3:$O$100, K13)&gt;0, "U",IF(COUNTIF('Tage Person2 Aus.2'!$AE$3:$AI$100, K13)&gt;0, "h", "")))</f>
        <v/>
      </c>
      <c r="N13" s="8" t="str">
        <f>IF(COUNTIF('Tage Person3 Aus.3'!$V$3:$AA$100, K13)&gt;0, "S",IF(COUNTIF('Tage Person3 Aus.3'!$A$3:$O$100, K13)&gt;0, "U",IF(COUNTIF('Tage Person3 Aus.3'!$AE$3:$AI$100, K13)&gt;0, "h", "")))</f>
        <v/>
      </c>
      <c r="O13" s="8" t="str">
        <f>IF(COUNTIF('Tage Person4 Aus.4'!$V$3:$AA$100, K13)&gt;0, "S",IF(COUNTIF('Tage Person4 Aus.4'!$A$3:$O$100, K13)&gt;0, "U",IF(COUNTIF('Tage Person4 Aus.4'!$AE$3:$AI$100, K13)&gt;0, "h", "")))</f>
        <v/>
      </c>
      <c r="P13" s="8" t="str">
        <f>IF(COUNTIF('Tage ferien Aus.'!$A$3:$O$100, K13)&gt;0, "E", "")</f>
        <v/>
      </c>
      <c r="Q13" s="8" t="str">
        <f>IF(COUNTIF('Tage feiertage Aus.'!$A$3:$O$100, K13)&gt;0, "f", "")</f>
        <v/>
      </c>
      <c r="R13" s="7">
        <f t="shared" si="2"/>
        <v>46093</v>
      </c>
      <c r="S13" s="8" t="str">
        <f>IF(COUNTIF('Tage Person1 Aus.'!$V$3:$AA$100, R13)&gt;0, "S",IF(COUNTIF('Tage Person1 Aus.'!$A$3:$O$100, R13)&gt;0, "U",IF(COUNTIF('Tage Person1 Aus.'!$AE$3:$AI$100, R13)&gt;0, "h", "")))</f>
        <v/>
      </c>
      <c r="T13" s="8" t="str">
        <f>IF(COUNTIF('Tage Person2 Aus.2'!$V$3:$AA$100, R13)&gt;0, "S",IF(COUNTIF('Tage Person2 Aus.2'!$A$3:$O$100, R13)&gt;0, "U",IF(COUNTIF('Tage Person2 Aus.2'!$AE$3:$AI$100, R13)&gt;0, "h", "")))</f>
        <v/>
      </c>
      <c r="U13" s="8" t="str">
        <f>IF(COUNTIF('Tage Person3 Aus.3'!$V$3:$AA$100, R13)&gt;0, "S",IF(COUNTIF('Tage Person3 Aus.3'!$A$3:$O$100, R13)&gt;0, "U",IF(COUNTIF('Tage Person3 Aus.3'!$AE$3:$AI$100, R13)&gt;0, "h", "")))</f>
        <v/>
      </c>
      <c r="V13" s="8" t="str">
        <f>IF(COUNTIF('Tage Person4 Aus.4'!$V$3:$AA$100, R13)&gt;0, "S",IF(COUNTIF('Tage Person4 Aus.4'!$A$3:$O$100, R13)&gt;0, "U",IF(COUNTIF('Tage Person4 Aus.4'!$AE$3:$AI$100, R13)&gt;0, "h", "")))</f>
        <v/>
      </c>
      <c r="W13" s="8" t="str">
        <f>IF(COUNTIF('Tage ferien Aus.'!$A$3:$O$100, R13)&gt;0, "E", "")</f>
        <v/>
      </c>
      <c r="X13" s="8" t="str">
        <f>IF(COUNTIF('Tage feiertage Aus.'!$A$3:$O$100, R13)&gt;0, "f", "")</f>
        <v/>
      </c>
      <c r="Y13" s="7">
        <f t="shared" si="3"/>
        <v>46124</v>
      </c>
      <c r="Z13" s="8" t="str">
        <f>IF(COUNTIF('Tage Person1 Aus.'!$V$3:$AA$100, Y13)&gt;0, "S",IF(COUNTIF('Tage Person1 Aus.'!$A$3:$O$100, Y13)&gt;0, "U",IF(COUNTIF('Tage Person1 Aus.'!$AE$3:$AI$100, Y13)&gt;0, "h", "")))</f>
        <v/>
      </c>
      <c r="AA13" s="8" t="str">
        <f>IF(COUNTIF('Tage Person2 Aus.2'!$V$3:$AA$100, Y13)&gt;0, "S",IF(COUNTIF('Tage Person2 Aus.2'!$A$3:$O$100, Y13)&gt;0, "U",IF(COUNTIF('Tage Person2 Aus.2'!$AE$3:$AI$100, Y13)&gt;0, "h", "")))</f>
        <v/>
      </c>
      <c r="AB13" s="8" t="str">
        <f>IF(COUNTIF('Tage Person3 Aus.3'!$V$3:$AA$100, Y13)&gt;0, "S",IF(COUNTIF('Tage Person3 Aus.3'!$A$3:$O$100, Y13)&gt;0, "U",IF(COUNTIF('Tage Person3 Aus.3'!$AE$3:$AI$100, Y13)&gt;0, "h", "")))</f>
        <v/>
      </c>
      <c r="AC13" s="8" t="str">
        <f>IF(COUNTIF('Tage Person4 Aus.4'!$V$3:$AA$100, Y13)&gt;0, "S",IF(COUNTIF('Tage Person4 Aus.4'!$A$3:$O$100, Y13)&gt;0, "U",IF(COUNTIF('Tage Person4 Aus.4'!$AE$3:$AI$100, Y13)&gt;0, "h", "")))</f>
        <v/>
      </c>
      <c r="AD13" s="8" t="str">
        <f>IF(COUNTIF('Tage ferien Aus.'!$A$3:$O$100, Y13)&gt;0, "E", "")</f>
        <v/>
      </c>
      <c r="AE13" s="8" t="str">
        <f>IF(COUNTIF('Tage feiertage Aus.'!$A$3:$O$100, Y13)&gt;0, "f", "")</f>
        <v/>
      </c>
      <c r="AF13" s="7">
        <f t="shared" si="4"/>
        <v>46154</v>
      </c>
      <c r="AG13" s="9" t="str">
        <f>IF(COUNTIF('Tage Person1 Aus.'!$V$3:$AA$100, AF13)&gt;0, "S",IF(COUNTIF('Tage Person1 Aus.'!$A$3:$O$100, AF13)&gt;0, "U",IF(COUNTIF('Tage Person1 Aus.'!$AE$3:$AI$100, AF13)&gt;0, "h", "")))</f>
        <v/>
      </c>
      <c r="AH13" s="8" t="str">
        <f>IF(COUNTIF('Tage Person2 Aus.2'!$V$3:$AA$100, AF13)&gt;0, "S",IF(COUNTIF('Tage Person2 Aus.2'!$A$3:$O$100, AF13)&gt;0, "U",IF(COUNTIF('Tage Person2 Aus.2'!$AE$3:$AI$100, AF13)&gt;0, "h", "")))</f>
        <v/>
      </c>
      <c r="AI13" s="8" t="str">
        <f>IF(COUNTIF('Tage Person3 Aus.3'!$V$3:$AA$100, AF13)&gt;0, "S",IF(COUNTIF('Tage Person3 Aus.3'!$A$3:$O$100, AF13)&gt;0, "U",IF(COUNTIF('Tage Person3 Aus.3'!$AE$3:$AI$100, AF13)&gt;0, "h", "")))</f>
        <v/>
      </c>
      <c r="AJ13" s="8" t="str">
        <f>IF(COUNTIF('Tage Person4 Aus.4'!$V$3:$AA$100, AF13)&gt;0, "S",IF(COUNTIF('Tage Person4 Aus.4'!$A$3:$O$100, AF13)&gt;0, "U",IF(COUNTIF('Tage Person4 Aus.4'!$AE$3:$AI$100, AF13)&gt;0, "h", "")))</f>
        <v/>
      </c>
      <c r="AK13" s="8" t="str">
        <f>IF(COUNTIF('Tage ferien Aus.'!$A$3:$O$100, AF13)&gt;0, "E", "")</f>
        <v/>
      </c>
      <c r="AL13" s="8" t="str">
        <f>IF(COUNTIF('Tage feiertage Aus.'!$A$3:$O$100, AF13)&gt;0, "f", "")</f>
        <v/>
      </c>
      <c r="AM13" s="7">
        <f t="shared" si="5"/>
        <v>46185</v>
      </c>
      <c r="AN13" s="8" t="str">
        <f>IF(COUNTIF('Tage Person1 Aus.'!$V$3:$AA$100, AM13)&gt;0, "S",IF(COUNTIF('Tage Person1 Aus.'!$A$3:$O$100, AM13)&gt;0, "U",IF(COUNTIF('Tage Person1 Aus.'!$AE$3:$AI$100, AM13)&gt;0, "h", "")))</f>
        <v/>
      </c>
      <c r="AO13" s="8" t="str">
        <f>IF(COUNTIF('Tage Person2 Aus.2'!$V$3:$AA$100, AM13)&gt;0, "S",IF(COUNTIF('Tage Person2 Aus.2'!$A$3:$O$100, AM13)&gt;0, "U",IF(COUNTIF('Tage Person2 Aus.2'!$AE$3:$AI$100, AM13)&gt;0, "h", "")))</f>
        <v/>
      </c>
      <c r="AP13" s="8" t="str">
        <f>IF(COUNTIF('Tage Person3 Aus.3'!$V$3:$AA$100, AM13)&gt;0, "S",IF(COUNTIF('Tage Person3 Aus.3'!$A$3:$O$100, AM13)&gt;0, "U",IF(COUNTIF('Tage Person3 Aus.3'!$AE$3:$AI$100, AM13)&gt;0, "h", "")))</f>
        <v/>
      </c>
      <c r="AQ13" s="8" t="str">
        <f>IF(COUNTIF('Tage Person4 Aus.4'!$V$3:$AA$100, AM13)&gt;0, "S",IF(COUNTIF('Tage Person4 Aus.4'!$A$3:$O$100, AM13)&gt;0, "U",IF(COUNTIF('Tage Person4 Aus.4'!$AE$3:$AI$100, AM13)&gt;0, "h", "")))</f>
        <v/>
      </c>
      <c r="AR13" s="8" t="str">
        <f>IF(COUNTIF('Tage ferien Aus.'!$A$3:$O$100, AM13)&gt;0, "E", "")</f>
        <v/>
      </c>
      <c r="AS13" s="8" t="str">
        <f>IF(COUNTIF('Tage feiertage Aus.'!$A$3:$O$100, AM13)&gt;0, "f", "")</f>
        <v/>
      </c>
      <c r="AT13" s="7">
        <f t="shared" si="6"/>
        <v>46215</v>
      </c>
      <c r="AU13" s="8" t="str">
        <f>IF(COUNTIF('Tage Person1 Aus.'!$V$3:$AA$100, AT13)&gt;0, "S",IF(COUNTIF('Tage Person1 Aus.'!$A$3:$O$100, AT13)&gt;0, "U",IF(COUNTIF('Tage Person1 Aus.'!$AE$3:$AI$100, AT13)&gt;0, "h", "")))</f>
        <v/>
      </c>
      <c r="AV13" s="8" t="str">
        <f>IF(COUNTIF('Tage Person2 Aus.2'!$V$3:$AA$100, AT13)&gt;0, "S",IF(COUNTIF('Tage Person2 Aus.2'!$A$3:$O$100, AT13)&gt;0, "U",IF(COUNTIF('Tage Person2 Aus.2'!$AE$3:$AI$100, AT13)&gt;0, "h", "")))</f>
        <v/>
      </c>
      <c r="AW13" s="8" t="str">
        <f>IF(COUNTIF('Tage Person3 Aus.3'!$V$3:$AA$100, AT13)&gt;0, "S",IF(COUNTIF('Tage Person3 Aus.3'!$A$3:$O$100, AT13)&gt;0, "U",IF(COUNTIF('Tage Person3 Aus.3'!$AE$3:$AI$100, AT13)&gt;0, "h", "")))</f>
        <v/>
      </c>
      <c r="AX13" s="8" t="str">
        <f>IF(COUNTIF('Tage Person4 Aus.4'!$V$3:$AA$100, AT13)&gt;0, "S",IF(COUNTIF('Tage Person4 Aus.4'!$A$3:$O$100, AT13)&gt;0, "U",IF(COUNTIF('Tage Person4 Aus.4'!$AE$3:$AI$100, AT13)&gt;0, "h", "")))</f>
        <v/>
      </c>
      <c r="AY13" s="8" t="str">
        <f>IF(COUNTIF('Tage ferien Aus.'!$A$3:$O$100, AT13)&gt;0, "E", "")</f>
        <v/>
      </c>
      <c r="AZ13" s="8" t="str">
        <f>IF(COUNTIF('Tage feiertage Aus.'!$A$3:$O$100, AT13)&gt;0, "f", "")</f>
        <v/>
      </c>
      <c r="BA13" s="7">
        <f t="shared" si="7"/>
        <v>46246</v>
      </c>
      <c r="BB13" s="8" t="str">
        <f>IF(COUNTIF('Tage Person1 Aus.'!$V$3:$AA$100, BA13)&gt;0, "S",IF(COUNTIF('Tage Person1 Aus.'!$A$3:$O$100, BA13)&gt;0, "U",IF(COUNTIF('Tage Person1 Aus.'!$AE$3:$AI$100, BA13)&gt;0, "h", "")))</f>
        <v/>
      </c>
      <c r="BC13" s="8" t="str">
        <f>IF(COUNTIF('Tage Person2 Aus.2'!$V$3:$AA$100, BA13)&gt;0, "S",IF(COUNTIF('Tage Person2 Aus.2'!$A$3:$O$100, BA13)&gt;0, "U",IF(COUNTIF('Tage Person2 Aus.2'!$AE$3:$AI$100, BA13)&gt;0, "h", "")))</f>
        <v/>
      </c>
      <c r="BD13" s="8" t="str">
        <f>IF(COUNTIF('Tage Person3 Aus.3'!$V$3:$AA$100, BA13)&gt;0, "S",IF(COUNTIF('Tage Person3 Aus.3'!$A$3:$O$100, BA13)&gt;0, "U",IF(COUNTIF('Tage Person3 Aus.3'!$AE$3:$AI$100, BA13)&gt;0, "h", "")))</f>
        <v/>
      </c>
      <c r="BE13" s="8" t="str">
        <f>IF(COUNTIF('Tage Person4 Aus.4'!$V$3:$AA$100, BA13)&gt;0, "S",IF(COUNTIF('Tage Person4 Aus.4'!$A$3:$O$100, BA13)&gt;0, "U",IF(COUNTIF('Tage Person4 Aus.4'!$AE$3:$AI$100, BA13)&gt;0, "h", "")))</f>
        <v/>
      </c>
      <c r="BF13" s="8" t="str">
        <f>IF(COUNTIF('Tage ferien Aus.'!$A$3:$O$100, BA13)&gt;0, "E", "")</f>
        <v>E</v>
      </c>
      <c r="BG13" s="8" t="str">
        <f>IF(COUNTIF('Tage feiertage Aus.'!$A$3:$O$100, BA13)&gt;0, "f", "")</f>
        <v/>
      </c>
      <c r="BH13" s="7">
        <f t="shared" si="8"/>
        <v>46277</v>
      </c>
      <c r="BI13" s="8" t="str">
        <f>IF(COUNTIF('Tage Person1 Aus.'!$V$3:$AA$100, BH13)&gt;0, "S",IF(COUNTIF('Tage Person1 Aus.'!$A$3:$O$100, BH13)&gt;0, "U",IF(COUNTIF('Tage Person1 Aus.'!$AE$3:$AI$100, BH13)&gt;0, "h", "")))</f>
        <v/>
      </c>
      <c r="BJ13" s="8" t="str">
        <f>IF(COUNTIF('Tage Person2 Aus.2'!$V$3:$AA$100, BH13)&gt;0, "S",IF(COUNTIF('Tage Person2 Aus.2'!$A$3:$O$100, BH13)&gt;0, "U",IF(COUNTIF('Tage Person2 Aus.2'!$AE$3:$AI$100, BH13)&gt;0, "h", "")))</f>
        <v/>
      </c>
      <c r="BK13" s="8" t="str">
        <f>IF(COUNTIF('Tage Person3 Aus.3'!$V$3:$AA$100, BH13)&gt;0, "S",IF(COUNTIF('Tage Person3 Aus.3'!$A$3:$O$100, BH13)&gt;0, "U",IF(COUNTIF('Tage Person3 Aus.3'!$AE$3:$AI$100, BH13)&gt;0, "h", "")))</f>
        <v/>
      </c>
      <c r="BL13" s="8" t="str">
        <f>IF(COUNTIF('Tage Person4 Aus.4'!$V$3:$AA$100, BH13)&gt;0, "S",IF(COUNTIF('Tage Person4 Aus.4'!$A$3:$O$100, BH13)&gt;0, "U",IF(COUNTIF('Tage Person4 Aus.4'!$AE$3:$AI$100, BH13)&gt;0, "h", "")))</f>
        <v/>
      </c>
      <c r="BM13" s="8" t="str">
        <f>IF(COUNTIF('Tage ferien Aus.'!$A$3:$O$100, BH13)&gt;0, "E", "")</f>
        <v/>
      </c>
      <c r="BN13" s="8" t="str">
        <f>IF(COUNTIF('Tage feiertage Aus.'!$A$3:$O$100, BH13)&gt;0, "f", "")</f>
        <v/>
      </c>
      <c r="BO13" s="7">
        <f t="shared" si="9"/>
        <v>46307</v>
      </c>
      <c r="BP13" s="8" t="str">
        <f>IF(COUNTIF('Tage Person1 Aus.'!$V$3:$AA$100, BO13)&gt;0, "S",IF(COUNTIF('Tage Person1 Aus.'!$A$3:$O$100, BO13)&gt;0, "U",IF(COUNTIF('Tage Person1 Aus.'!$AE$3:$AI$100, BO13)&gt;0, "h", "")))</f>
        <v/>
      </c>
      <c r="BQ13" s="8" t="str">
        <f>IF(COUNTIF('Tage Person2 Aus.2'!$V$3:$AA$100, BO13)&gt;0, "S",IF(COUNTIF('Tage Person2 Aus.2'!$A$3:$O$100, BO13)&gt;0, "U",IF(COUNTIF('Tage Person2 Aus.2'!$AE$3:$AI$100, BO13)&gt;0, "h", "")))</f>
        <v/>
      </c>
      <c r="BR13" s="8" t="str">
        <f>IF(COUNTIF('Tage Person3 Aus.3'!$V$3:$AA$100, BO13)&gt;0, "S",IF(COUNTIF('Tage Person3 Aus.3'!$A$3:$O$100, BO13)&gt;0, "U",IF(COUNTIF('Tage Person3 Aus.3'!$AE$3:$AI$100, BO13)&gt;0, "h", "")))</f>
        <v/>
      </c>
      <c r="BS13" s="8" t="str">
        <f>IF(COUNTIF('Tage Person4 Aus.4'!$V$3:$AA$100, BO13)&gt;0, "S",IF(COUNTIF('Tage Person4 Aus.4'!$A$3:$O$100, BO13)&gt;0, "U",IF(COUNTIF('Tage Person4 Aus.4'!$AE$3:$AI$100, BO13)&gt;0, "h", "")))</f>
        <v/>
      </c>
      <c r="BT13" s="8" t="str">
        <f>IF(COUNTIF('Tage ferien Aus.'!$A$3:$O$100, BO13)&gt;0, "E", "")</f>
        <v/>
      </c>
      <c r="BU13" s="8" t="str">
        <f>IF(COUNTIF('Tage feiertage Aus.'!$A$3:$O$100, BO13)&gt;0, "f", "")</f>
        <v/>
      </c>
      <c r="BV13" s="7">
        <f t="shared" si="10"/>
        <v>46338</v>
      </c>
      <c r="BW13" s="8" t="str">
        <f>IF(COUNTIF('Tage Person1 Aus.'!$V$3:$AA$100, BV13)&gt;0, "S",IF(COUNTIF('Tage Person1 Aus.'!$A$3:$O$100, BV13)&gt;0, "U",IF(COUNTIF('Tage Person1 Aus.'!$AE$3:$AI$100, BV13)&gt;0, "h", "")))</f>
        <v/>
      </c>
      <c r="BX13" s="8" t="str">
        <f>IF(COUNTIF('Tage Person2 Aus.2'!$V$3:$AA$100, BV13)&gt;0, "S",IF(COUNTIF('Tage Person2 Aus.2'!$A$3:$O$100, BV13)&gt;0, "U",IF(COUNTIF('Tage Person2 Aus.2'!$AE$3:$AI$100, BV13)&gt;0, "h", "")))</f>
        <v/>
      </c>
      <c r="BY13" s="8" t="str">
        <f>IF(COUNTIF('Tage Person3 Aus.3'!$V$3:$AA$100, BV13)&gt;0, "S",IF(COUNTIF('Tage Person3 Aus.3'!$A$3:$O$100, BV13)&gt;0, "U",IF(COUNTIF('Tage Person3 Aus.3'!$AE$3:$AI$100, BV13)&gt;0, "h", "")))</f>
        <v/>
      </c>
      <c r="BZ13" s="8" t="str">
        <f>IF(COUNTIF('Tage Person4 Aus.4'!$V$3:$AA$100, BV13)&gt;0, "S",IF(COUNTIF('Tage Person4 Aus.4'!$A$3:$O$100, BV13)&gt;0, "U",IF(COUNTIF('Tage Person4 Aus.4'!$AE$3:$AI$100, BV13)&gt;0, "h", "")))</f>
        <v/>
      </c>
      <c r="CA13" s="8" t="str">
        <f>IF(COUNTIF('Tage ferien Aus.'!$A$3:$O$100, BV13)&gt;0, "E", "")</f>
        <v/>
      </c>
      <c r="CB13" s="8" t="str">
        <f>IF(COUNTIF('Tage feiertage Aus.'!$A$3:$O$100, BV13)&gt;0, "f", "")</f>
        <v/>
      </c>
      <c r="CC13" s="7">
        <f t="shared" si="11"/>
        <v>46368</v>
      </c>
      <c r="CD13" s="10" t="str">
        <f>IF(COUNTIF('Tage Person1 Aus.'!$V$3:$AA$100, CC13)&gt;0, "S",IF(COUNTIF('Tage Person1 Aus.'!$A$3:$O$100, CC13)&gt;0, "U",IF(COUNTIF('Tage Person1 Aus.'!$AE$3:$AI$100, CC13)&gt;0, "h", "")))</f>
        <v/>
      </c>
      <c r="CE13" s="11" t="str">
        <f>IF(COUNTIF('Tage Person2 Aus.2'!$V$3:$AA$100, CC13)&gt;0, "S",IF(COUNTIF('Tage Person2 Aus.2'!$A$3:$O$100, CC13)&gt;0, "U",IF(COUNTIF('Tage Person2 Aus.2'!$AE$3:$AI$100, CC13)&gt;0, "h", "")))</f>
        <v/>
      </c>
      <c r="CF13" s="12" t="str">
        <f>IF(COUNTIF('Tage Person3 Aus.3'!$V$3:$AA$100, CC13)&gt;0, "S",IF(COUNTIF('Tage Person3 Aus.3'!$A$3:$O$100, CC13)&gt;0, "U",IF(COUNTIF('Tage Person3 Aus.3'!$AE$3:$AI$100, CC13)&gt;0, "h", "")))</f>
        <v/>
      </c>
      <c r="CG13" s="10" t="str">
        <f>IF(COUNTIF('Tage Person4 Aus.4'!$V$3:$AA$100, CC13)&gt;0, "S",IF(COUNTIF('Tage Person4 Aus.4'!$A$3:$O$100, CC13)&gt;0, "U",IF(COUNTIF('Tage Person4 Aus.4'!$AE$3:$AI$100, CC13)&gt;0, "h", "")))</f>
        <v/>
      </c>
      <c r="CH13" s="11" t="str">
        <f>IF(COUNTIF('Tage ferien Aus.'!$A$3:$O$100, CC13)&gt;0, "E", "")</f>
        <v/>
      </c>
      <c r="CI13" s="12" t="str">
        <f>IF(COUNTIF('Tage feiertage Aus.'!$A$3:$O$100, CC13)&gt;0, "f", "")</f>
        <v/>
      </c>
      <c r="CJ13" s="4"/>
      <c r="CK13" s="4"/>
      <c r="CL13" s="6"/>
      <c r="CM13" s="4"/>
      <c r="CN13" s="2"/>
      <c r="CO13" s="3"/>
      <c r="CP13" s="4"/>
      <c r="CQ13" s="2"/>
      <c r="CR13" s="3"/>
      <c r="CS13" s="4"/>
      <c r="CT13" s="4"/>
      <c r="CU13" s="6"/>
      <c r="CV13" s="4"/>
      <c r="CW13" s="4"/>
      <c r="CX13" s="6"/>
      <c r="CY13" s="4"/>
    </row>
    <row r="14" spans="1:103" x14ac:dyDescent="0.3">
      <c r="A14" s="65"/>
      <c r="B14" s="58"/>
      <c r="C14" s="57"/>
      <c r="D14" s="7">
        <f t="shared" si="0"/>
        <v>46035</v>
      </c>
      <c r="E14" s="8" t="str">
        <f>IF(COUNTIF('Tage Person1 Aus.'!$V$3:$AA$100, D14)&gt;0, "S",IF(COUNTIF('Tage Person1 Aus.'!$A$3:$O$100, D14)&gt;0, "U",IF(COUNTIF('Tage Person1 Aus.'!$AE$3:$AI$100, D14)&gt;0, "h", "")))</f>
        <v/>
      </c>
      <c r="F14" s="8" t="str">
        <f>IF(COUNTIF('Tage Person2 Aus.2'!$V$3:$AA$100, D14)&gt;0, "S",IF(COUNTIF('Tage Person2 Aus.2'!$A$3:$O$100, D14)&gt;0, "U",IF(COUNTIF('Tage Person2 Aus.2'!$AE$3:$AI$100, D14)&gt;0, "h", "")))</f>
        <v/>
      </c>
      <c r="G14" s="8" t="str">
        <f>IF(COUNTIF('Tage Person3 Aus.3'!$V$3:$AA$100, D14)&gt;0, "S",IF(COUNTIF('Tage Person3 Aus.3'!$A$3:$O$100, D14)&gt;0, "U",IF(COUNTIF('Tage Person3 Aus.3'!$AE$3:$AI$100, D14)&gt;0, "h", "")))</f>
        <v/>
      </c>
      <c r="H14" s="8" t="str">
        <f>IF(COUNTIF('Tage Person4 Aus.4'!$V$3:$AA$100, D14)&gt;0, "S",IF(COUNTIF('Tage Person4 Aus.4'!$A$3:$O$100, D14)&gt;0, "U",IF(COUNTIF('Tage Person4 Aus.4'!$AE$3:$AI$100, D14)&gt;0, "h", "")))</f>
        <v/>
      </c>
      <c r="I14" s="8" t="str">
        <f>IF(COUNTIF('Tage ferien Aus.'!$A$3:$O$100, D14)&gt;0, "E", "")</f>
        <v/>
      </c>
      <c r="J14" s="8" t="str">
        <f>IF(COUNTIF('Tage feiertage Aus.'!$A$3:$O$100, D14)&gt;0, "f", "")</f>
        <v/>
      </c>
      <c r="K14" s="7">
        <f t="shared" si="1"/>
        <v>46066</v>
      </c>
      <c r="L14" s="8" t="str">
        <f>IF(COUNTIF('Tage Person1 Aus.'!$V$3:$AA$100, K14)&gt;0, "S",IF(COUNTIF('Tage Person1 Aus.'!$A$3:$O$100, K14)&gt;0, "U",IF(COUNTIF('Tage Person1 Aus.'!$AE$3:$AI$100, K14)&gt;0, "h", "")))</f>
        <v/>
      </c>
      <c r="M14" s="8" t="str">
        <f>IF(COUNTIF('Tage Person2 Aus.2'!$V$3:$AA$100, K14)&gt;0, "S",IF(COUNTIF('Tage Person2 Aus.2'!$A$3:$O$100, K14)&gt;0, "U",IF(COUNTIF('Tage Person2 Aus.2'!$AE$3:$AI$100, K14)&gt;0, "h", "")))</f>
        <v/>
      </c>
      <c r="N14" s="8" t="str">
        <f>IF(COUNTIF('Tage Person3 Aus.3'!$V$3:$AA$100, K14)&gt;0, "S",IF(COUNTIF('Tage Person3 Aus.3'!$A$3:$O$100, K14)&gt;0, "U",IF(COUNTIF('Tage Person3 Aus.3'!$AE$3:$AI$100, K14)&gt;0, "h", "")))</f>
        <v/>
      </c>
      <c r="O14" s="8" t="str">
        <f>IF(COUNTIF('Tage Person4 Aus.4'!$V$3:$AA$100, K14)&gt;0, "S",IF(COUNTIF('Tage Person4 Aus.4'!$A$3:$O$100, K14)&gt;0, "U",IF(COUNTIF('Tage Person4 Aus.4'!$AE$3:$AI$100, K14)&gt;0, "h", "")))</f>
        <v/>
      </c>
      <c r="P14" s="8" t="str">
        <f>IF(COUNTIF('Tage ferien Aus.'!$A$3:$O$100, K14)&gt;0, "E", "")</f>
        <v/>
      </c>
      <c r="Q14" s="8" t="str">
        <f>IF(COUNTIF('Tage feiertage Aus.'!$A$3:$O$100, K14)&gt;0, "f", "")</f>
        <v/>
      </c>
      <c r="R14" s="7">
        <f t="shared" si="2"/>
        <v>46094</v>
      </c>
      <c r="S14" s="8" t="str">
        <f>IF(COUNTIF('Tage Person1 Aus.'!$V$3:$AA$100, R14)&gt;0, "S",IF(COUNTIF('Tage Person1 Aus.'!$A$3:$O$100, R14)&gt;0, "U",IF(COUNTIF('Tage Person1 Aus.'!$AE$3:$AI$100, R14)&gt;0, "h", "")))</f>
        <v/>
      </c>
      <c r="T14" s="8" t="str">
        <f>IF(COUNTIF('Tage Person2 Aus.2'!$V$3:$AA$100, R14)&gt;0, "S",IF(COUNTIF('Tage Person2 Aus.2'!$A$3:$O$100, R14)&gt;0, "U",IF(COUNTIF('Tage Person2 Aus.2'!$AE$3:$AI$100, R14)&gt;0, "h", "")))</f>
        <v/>
      </c>
      <c r="U14" s="8" t="str">
        <f>IF(COUNTIF('Tage Person3 Aus.3'!$V$3:$AA$100, R14)&gt;0, "S",IF(COUNTIF('Tage Person3 Aus.3'!$A$3:$O$100, R14)&gt;0, "U",IF(COUNTIF('Tage Person3 Aus.3'!$AE$3:$AI$100, R14)&gt;0, "h", "")))</f>
        <v/>
      </c>
      <c r="V14" s="8" t="str">
        <f>IF(COUNTIF('Tage Person4 Aus.4'!$V$3:$AA$100, R14)&gt;0, "S",IF(COUNTIF('Tage Person4 Aus.4'!$A$3:$O$100, R14)&gt;0, "U",IF(COUNTIF('Tage Person4 Aus.4'!$AE$3:$AI$100, R14)&gt;0, "h", "")))</f>
        <v/>
      </c>
      <c r="W14" s="8" t="str">
        <f>IF(COUNTIF('Tage ferien Aus.'!$A$3:$O$100, R14)&gt;0, "E", "")</f>
        <v/>
      </c>
      <c r="X14" s="8" t="str">
        <f>IF(COUNTIF('Tage feiertage Aus.'!$A$3:$O$100, R14)&gt;0, "f", "")</f>
        <v/>
      </c>
      <c r="Y14" s="7">
        <f t="shared" si="3"/>
        <v>46125</v>
      </c>
      <c r="Z14" s="8" t="str">
        <f>IF(COUNTIF('Tage Person1 Aus.'!$V$3:$AA$100, Y14)&gt;0, "S",IF(COUNTIF('Tage Person1 Aus.'!$A$3:$O$100, Y14)&gt;0, "U",IF(COUNTIF('Tage Person1 Aus.'!$AE$3:$AI$100, Y14)&gt;0, "h", "")))</f>
        <v/>
      </c>
      <c r="AA14" s="8" t="str">
        <f>IF(COUNTIF('Tage Person2 Aus.2'!$V$3:$AA$100, Y14)&gt;0, "S",IF(COUNTIF('Tage Person2 Aus.2'!$A$3:$O$100, Y14)&gt;0, "U",IF(COUNTIF('Tage Person2 Aus.2'!$AE$3:$AI$100, Y14)&gt;0, "h", "")))</f>
        <v/>
      </c>
      <c r="AB14" s="8" t="str">
        <f>IF(COUNTIF('Tage Person3 Aus.3'!$V$3:$AA$100, Y14)&gt;0, "S",IF(COUNTIF('Tage Person3 Aus.3'!$A$3:$O$100, Y14)&gt;0, "U",IF(COUNTIF('Tage Person3 Aus.3'!$AE$3:$AI$100, Y14)&gt;0, "h", "")))</f>
        <v/>
      </c>
      <c r="AC14" s="8" t="str">
        <f>IF(COUNTIF('Tage Person4 Aus.4'!$V$3:$AA$100, Y14)&gt;0, "S",IF(COUNTIF('Tage Person4 Aus.4'!$A$3:$O$100, Y14)&gt;0, "U",IF(COUNTIF('Tage Person4 Aus.4'!$AE$3:$AI$100, Y14)&gt;0, "h", "")))</f>
        <v/>
      </c>
      <c r="AD14" s="8" t="str">
        <f>IF(COUNTIF('Tage ferien Aus.'!$A$3:$O$100, Y14)&gt;0, "E", "")</f>
        <v/>
      </c>
      <c r="AE14" s="8" t="str">
        <f>IF(COUNTIF('Tage feiertage Aus.'!$A$3:$O$100, Y14)&gt;0, "f", "")</f>
        <v/>
      </c>
      <c r="AF14" s="7">
        <f t="shared" si="4"/>
        <v>46155</v>
      </c>
      <c r="AG14" s="9" t="str">
        <f>IF(COUNTIF('Tage Person1 Aus.'!$V$3:$AA$100, AF14)&gt;0, "S",IF(COUNTIF('Tage Person1 Aus.'!$A$3:$O$100, AF14)&gt;0, "U",IF(COUNTIF('Tage Person1 Aus.'!$AE$3:$AI$100, AF14)&gt;0, "h", "")))</f>
        <v/>
      </c>
      <c r="AH14" s="8" t="str">
        <f>IF(COUNTIF('Tage Person2 Aus.2'!$V$3:$AA$100, AF14)&gt;0, "S",IF(COUNTIF('Tage Person2 Aus.2'!$A$3:$O$100, AF14)&gt;0, "U",IF(COUNTIF('Tage Person2 Aus.2'!$AE$3:$AI$100, AF14)&gt;0, "h", "")))</f>
        <v/>
      </c>
      <c r="AI14" s="8" t="str">
        <f>IF(COUNTIF('Tage Person3 Aus.3'!$V$3:$AA$100, AF14)&gt;0, "S",IF(COUNTIF('Tage Person3 Aus.3'!$A$3:$O$100, AF14)&gt;0, "U",IF(COUNTIF('Tage Person3 Aus.3'!$AE$3:$AI$100, AF14)&gt;0, "h", "")))</f>
        <v/>
      </c>
      <c r="AJ14" s="8" t="str">
        <f>IF(COUNTIF('Tage Person4 Aus.4'!$V$3:$AA$100, AF14)&gt;0, "S",IF(COUNTIF('Tage Person4 Aus.4'!$A$3:$O$100, AF14)&gt;0, "U",IF(COUNTIF('Tage Person4 Aus.4'!$AE$3:$AI$100, AF14)&gt;0, "h", "")))</f>
        <v/>
      </c>
      <c r="AK14" s="8" t="str">
        <f>IF(COUNTIF('Tage ferien Aus.'!$A$3:$O$100, AF14)&gt;0, "E", "")</f>
        <v/>
      </c>
      <c r="AL14" s="8" t="str">
        <f>IF(COUNTIF('Tage feiertage Aus.'!$A$3:$O$100, AF14)&gt;0, "f", "")</f>
        <v/>
      </c>
      <c r="AM14" s="7">
        <f t="shared" si="5"/>
        <v>46186</v>
      </c>
      <c r="AN14" s="8" t="str">
        <f>IF(COUNTIF('Tage Person1 Aus.'!$V$3:$AA$100, AM14)&gt;0, "S",IF(COUNTIF('Tage Person1 Aus.'!$A$3:$O$100, AM14)&gt;0, "U",IF(COUNTIF('Tage Person1 Aus.'!$AE$3:$AI$100, AM14)&gt;0, "h", "")))</f>
        <v/>
      </c>
      <c r="AO14" s="8" t="str">
        <f>IF(COUNTIF('Tage Person2 Aus.2'!$V$3:$AA$100, AM14)&gt;0, "S",IF(COUNTIF('Tage Person2 Aus.2'!$A$3:$O$100, AM14)&gt;0, "U",IF(COUNTIF('Tage Person2 Aus.2'!$AE$3:$AI$100, AM14)&gt;0, "h", "")))</f>
        <v/>
      </c>
      <c r="AP14" s="8" t="str">
        <f>IF(COUNTIF('Tage Person3 Aus.3'!$V$3:$AA$100, AM14)&gt;0, "S",IF(COUNTIF('Tage Person3 Aus.3'!$A$3:$O$100, AM14)&gt;0, "U",IF(COUNTIF('Tage Person3 Aus.3'!$AE$3:$AI$100, AM14)&gt;0, "h", "")))</f>
        <v/>
      </c>
      <c r="AQ14" s="8" t="str">
        <f>IF(COUNTIF('Tage Person4 Aus.4'!$V$3:$AA$100, AM14)&gt;0, "S",IF(COUNTIF('Tage Person4 Aus.4'!$A$3:$O$100, AM14)&gt;0, "U",IF(COUNTIF('Tage Person4 Aus.4'!$AE$3:$AI$100, AM14)&gt;0, "h", "")))</f>
        <v/>
      </c>
      <c r="AR14" s="8" t="str">
        <f>IF(COUNTIF('Tage ferien Aus.'!$A$3:$O$100, AM14)&gt;0, "E", "")</f>
        <v/>
      </c>
      <c r="AS14" s="8" t="str">
        <f>IF(COUNTIF('Tage feiertage Aus.'!$A$3:$O$100, AM14)&gt;0, "f", "")</f>
        <v/>
      </c>
      <c r="AT14" s="7">
        <f t="shared" si="6"/>
        <v>46216</v>
      </c>
      <c r="AU14" s="8" t="str">
        <f>IF(COUNTIF('Tage Person1 Aus.'!$V$3:$AA$100, AT14)&gt;0, "S",IF(COUNTIF('Tage Person1 Aus.'!$A$3:$O$100, AT14)&gt;0, "U",IF(COUNTIF('Tage Person1 Aus.'!$AE$3:$AI$100, AT14)&gt;0, "h", "")))</f>
        <v/>
      </c>
      <c r="AV14" s="8" t="str">
        <f>IF(COUNTIF('Tage Person2 Aus.2'!$V$3:$AA$100, AT14)&gt;0, "S",IF(COUNTIF('Tage Person2 Aus.2'!$A$3:$O$100, AT14)&gt;0, "U",IF(COUNTIF('Tage Person2 Aus.2'!$AE$3:$AI$100, AT14)&gt;0, "h", "")))</f>
        <v/>
      </c>
      <c r="AW14" s="8" t="str">
        <f>IF(COUNTIF('Tage Person3 Aus.3'!$V$3:$AA$100, AT14)&gt;0, "S",IF(COUNTIF('Tage Person3 Aus.3'!$A$3:$O$100, AT14)&gt;0, "U",IF(COUNTIF('Tage Person3 Aus.3'!$AE$3:$AI$100, AT14)&gt;0, "h", "")))</f>
        <v/>
      </c>
      <c r="AX14" s="8" t="str">
        <f>IF(COUNTIF('Tage Person4 Aus.4'!$V$3:$AA$100, AT14)&gt;0, "S",IF(COUNTIF('Tage Person4 Aus.4'!$A$3:$O$100, AT14)&gt;0, "U",IF(COUNTIF('Tage Person4 Aus.4'!$AE$3:$AI$100, AT14)&gt;0, "h", "")))</f>
        <v/>
      </c>
      <c r="AY14" s="8" t="str">
        <f>IF(COUNTIF('Tage ferien Aus.'!$A$3:$O$100, AT14)&gt;0, "E", "")</f>
        <v/>
      </c>
      <c r="AZ14" s="8" t="str">
        <f>IF(COUNTIF('Tage feiertage Aus.'!$A$3:$O$100, AT14)&gt;0, "f", "")</f>
        <v/>
      </c>
      <c r="BA14" s="7">
        <f t="shared" si="7"/>
        <v>46247</v>
      </c>
      <c r="BB14" s="8" t="str">
        <f>IF(COUNTIF('Tage Person1 Aus.'!$V$3:$AA$100, BA14)&gt;0, "S",IF(COUNTIF('Tage Person1 Aus.'!$A$3:$O$100, BA14)&gt;0, "U",IF(COUNTIF('Tage Person1 Aus.'!$AE$3:$AI$100, BA14)&gt;0, "h", "")))</f>
        <v/>
      </c>
      <c r="BC14" s="8" t="str">
        <f>IF(COUNTIF('Tage Person2 Aus.2'!$V$3:$AA$100, BA14)&gt;0, "S",IF(COUNTIF('Tage Person2 Aus.2'!$A$3:$O$100, BA14)&gt;0, "U",IF(COUNTIF('Tage Person2 Aus.2'!$AE$3:$AI$100, BA14)&gt;0, "h", "")))</f>
        <v/>
      </c>
      <c r="BD14" s="8" t="str">
        <f>IF(COUNTIF('Tage Person3 Aus.3'!$V$3:$AA$100, BA14)&gt;0, "S",IF(COUNTIF('Tage Person3 Aus.3'!$A$3:$O$100, BA14)&gt;0, "U",IF(COUNTIF('Tage Person3 Aus.3'!$AE$3:$AI$100, BA14)&gt;0, "h", "")))</f>
        <v/>
      </c>
      <c r="BE14" s="8" t="str">
        <f>IF(COUNTIF('Tage Person4 Aus.4'!$V$3:$AA$100, BA14)&gt;0, "S",IF(COUNTIF('Tage Person4 Aus.4'!$A$3:$O$100, BA14)&gt;0, "U",IF(COUNTIF('Tage Person4 Aus.4'!$AE$3:$AI$100, BA14)&gt;0, "h", "")))</f>
        <v/>
      </c>
      <c r="BF14" s="8" t="str">
        <f>IF(COUNTIF('Tage ferien Aus.'!$A$3:$O$100, BA14)&gt;0, "E", "")</f>
        <v>E</v>
      </c>
      <c r="BG14" s="8" t="str">
        <f>IF(COUNTIF('Tage feiertage Aus.'!$A$3:$O$100, BA14)&gt;0, "f", "")</f>
        <v/>
      </c>
      <c r="BH14" s="7">
        <f t="shared" si="8"/>
        <v>46278</v>
      </c>
      <c r="BI14" s="8" t="str">
        <f>IF(COUNTIF('Tage Person1 Aus.'!$V$3:$AA$100, BH14)&gt;0, "S",IF(COUNTIF('Tage Person1 Aus.'!$A$3:$O$100, BH14)&gt;0, "U",IF(COUNTIF('Tage Person1 Aus.'!$AE$3:$AI$100, BH14)&gt;0, "h", "")))</f>
        <v/>
      </c>
      <c r="BJ14" s="8" t="str">
        <f>IF(COUNTIF('Tage Person2 Aus.2'!$V$3:$AA$100, BH14)&gt;0, "S",IF(COUNTIF('Tage Person2 Aus.2'!$A$3:$O$100, BH14)&gt;0, "U",IF(COUNTIF('Tage Person2 Aus.2'!$AE$3:$AI$100, BH14)&gt;0, "h", "")))</f>
        <v/>
      </c>
      <c r="BK14" s="8" t="str">
        <f>IF(COUNTIF('Tage Person3 Aus.3'!$V$3:$AA$100, BH14)&gt;0, "S",IF(COUNTIF('Tage Person3 Aus.3'!$A$3:$O$100, BH14)&gt;0, "U",IF(COUNTIF('Tage Person3 Aus.3'!$AE$3:$AI$100, BH14)&gt;0, "h", "")))</f>
        <v/>
      </c>
      <c r="BL14" s="8" t="str">
        <f>IF(COUNTIF('Tage Person4 Aus.4'!$V$3:$AA$100, BH14)&gt;0, "S",IF(COUNTIF('Tage Person4 Aus.4'!$A$3:$O$100, BH14)&gt;0, "U",IF(COUNTIF('Tage Person4 Aus.4'!$AE$3:$AI$100, BH14)&gt;0, "h", "")))</f>
        <v/>
      </c>
      <c r="BM14" s="8" t="str">
        <f>IF(COUNTIF('Tage ferien Aus.'!$A$3:$O$100, BH14)&gt;0, "E", "")</f>
        <v/>
      </c>
      <c r="BN14" s="8" t="str">
        <f>IF(COUNTIF('Tage feiertage Aus.'!$A$3:$O$100, BH14)&gt;0, "f", "")</f>
        <v/>
      </c>
      <c r="BO14" s="7">
        <f t="shared" si="9"/>
        <v>46308</v>
      </c>
      <c r="BP14" s="8" t="str">
        <f>IF(COUNTIF('Tage Person1 Aus.'!$V$3:$AA$100, BO14)&gt;0, "S",IF(COUNTIF('Tage Person1 Aus.'!$A$3:$O$100, BO14)&gt;0, "U",IF(COUNTIF('Tage Person1 Aus.'!$AE$3:$AI$100, BO14)&gt;0, "h", "")))</f>
        <v/>
      </c>
      <c r="BQ14" s="8" t="str">
        <f>IF(COUNTIF('Tage Person2 Aus.2'!$V$3:$AA$100, BO14)&gt;0, "S",IF(COUNTIF('Tage Person2 Aus.2'!$A$3:$O$100, BO14)&gt;0, "U",IF(COUNTIF('Tage Person2 Aus.2'!$AE$3:$AI$100, BO14)&gt;0, "h", "")))</f>
        <v/>
      </c>
      <c r="BR14" s="8" t="str">
        <f>IF(COUNTIF('Tage Person3 Aus.3'!$V$3:$AA$100, BO14)&gt;0, "S",IF(COUNTIF('Tage Person3 Aus.3'!$A$3:$O$100, BO14)&gt;0, "U",IF(COUNTIF('Tage Person3 Aus.3'!$AE$3:$AI$100, BO14)&gt;0, "h", "")))</f>
        <v/>
      </c>
      <c r="BS14" s="8" t="str">
        <f>IF(COUNTIF('Tage Person4 Aus.4'!$V$3:$AA$100, BO14)&gt;0, "S",IF(COUNTIF('Tage Person4 Aus.4'!$A$3:$O$100, BO14)&gt;0, "U",IF(COUNTIF('Tage Person4 Aus.4'!$AE$3:$AI$100, BO14)&gt;0, "h", "")))</f>
        <v/>
      </c>
      <c r="BT14" s="8" t="str">
        <f>IF(COUNTIF('Tage ferien Aus.'!$A$3:$O$100, BO14)&gt;0, "E", "")</f>
        <v/>
      </c>
      <c r="BU14" s="8" t="str">
        <f>IF(COUNTIF('Tage feiertage Aus.'!$A$3:$O$100, BO14)&gt;0, "f", "")</f>
        <v/>
      </c>
      <c r="BV14" s="7">
        <f t="shared" si="10"/>
        <v>46339</v>
      </c>
      <c r="BW14" s="8" t="str">
        <f>IF(COUNTIF('Tage Person1 Aus.'!$V$3:$AA$100, BV14)&gt;0, "S",IF(COUNTIF('Tage Person1 Aus.'!$A$3:$O$100, BV14)&gt;0, "U",IF(COUNTIF('Tage Person1 Aus.'!$AE$3:$AI$100, BV14)&gt;0, "h", "")))</f>
        <v/>
      </c>
      <c r="BX14" s="8" t="str">
        <f>IF(COUNTIF('Tage Person2 Aus.2'!$V$3:$AA$100, BV14)&gt;0, "S",IF(COUNTIF('Tage Person2 Aus.2'!$A$3:$O$100, BV14)&gt;0, "U",IF(COUNTIF('Tage Person2 Aus.2'!$AE$3:$AI$100, BV14)&gt;0, "h", "")))</f>
        <v/>
      </c>
      <c r="BY14" s="8" t="str">
        <f>IF(COUNTIF('Tage Person3 Aus.3'!$V$3:$AA$100, BV14)&gt;0, "S",IF(COUNTIF('Tage Person3 Aus.3'!$A$3:$O$100, BV14)&gt;0, "U",IF(COUNTIF('Tage Person3 Aus.3'!$AE$3:$AI$100, BV14)&gt;0, "h", "")))</f>
        <v/>
      </c>
      <c r="BZ14" s="8" t="str">
        <f>IF(COUNTIF('Tage Person4 Aus.4'!$V$3:$AA$100, BV14)&gt;0, "S",IF(COUNTIF('Tage Person4 Aus.4'!$A$3:$O$100, BV14)&gt;0, "U",IF(COUNTIF('Tage Person4 Aus.4'!$AE$3:$AI$100, BV14)&gt;0, "h", "")))</f>
        <v/>
      </c>
      <c r="CA14" s="8" t="str">
        <f>IF(COUNTIF('Tage ferien Aus.'!$A$3:$O$100, BV14)&gt;0, "E", "")</f>
        <v/>
      </c>
      <c r="CB14" s="8" t="str">
        <f>IF(COUNTIF('Tage feiertage Aus.'!$A$3:$O$100, BV14)&gt;0, "f", "")</f>
        <v/>
      </c>
      <c r="CC14" s="7">
        <f t="shared" si="11"/>
        <v>46369</v>
      </c>
      <c r="CD14" s="10" t="str">
        <f>IF(COUNTIF('Tage Person1 Aus.'!$V$3:$AA$100, CC14)&gt;0, "S",IF(COUNTIF('Tage Person1 Aus.'!$A$3:$O$100, CC14)&gt;0, "U",IF(COUNTIF('Tage Person1 Aus.'!$AE$3:$AI$100, CC14)&gt;0, "h", "")))</f>
        <v/>
      </c>
      <c r="CE14" s="11" t="str">
        <f>IF(COUNTIF('Tage Person2 Aus.2'!$V$3:$AA$100, CC14)&gt;0, "S",IF(COUNTIF('Tage Person2 Aus.2'!$A$3:$O$100, CC14)&gt;0, "U",IF(COUNTIF('Tage Person2 Aus.2'!$AE$3:$AI$100, CC14)&gt;0, "h", "")))</f>
        <v/>
      </c>
      <c r="CF14" s="12" t="str">
        <f>IF(COUNTIF('Tage Person3 Aus.3'!$V$3:$AA$100, CC14)&gt;0, "S",IF(COUNTIF('Tage Person3 Aus.3'!$A$3:$O$100, CC14)&gt;0, "U",IF(COUNTIF('Tage Person3 Aus.3'!$AE$3:$AI$100, CC14)&gt;0, "h", "")))</f>
        <v/>
      </c>
      <c r="CG14" s="10" t="str">
        <f>IF(COUNTIF('Tage Person4 Aus.4'!$V$3:$AA$100, CC14)&gt;0, "S",IF(COUNTIF('Tage Person4 Aus.4'!$A$3:$O$100, CC14)&gt;0, "U",IF(COUNTIF('Tage Person4 Aus.4'!$AE$3:$AI$100, CC14)&gt;0, "h", "")))</f>
        <v/>
      </c>
      <c r="CH14" s="11" t="str">
        <f>IF(COUNTIF('Tage ferien Aus.'!$A$3:$O$100, CC14)&gt;0, "E", "")</f>
        <v/>
      </c>
      <c r="CI14" s="12" t="str">
        <f>IF(COUNTIF('Tage feiertage Aus.'!$A$3:$O$100, CC14)&gt;0, "f", "")</f>
        <v/>
      </c>
      <c r="CJ14" s="4"/>
      <c r="CK14" s="4"/>
      <c r="CL14" s="6"/>
      <c r="CM14" s="4"/>
      <c r="CN14" s="2"/>
      <c r="CO14" s="3"/>
      <c r="CP14" s="4"/>
      <c r="CQ14" s="2"/>
      <c r="CR14" s="3"/>
      <c r="CS14" s="4"/>
      <c r="CT14" s="4"/>
      <c r="CU14" s="6"/>
      <c r="CV14" s="4"/>
      <c r="CW14" s="4"/>
      <c r="CX14" s="6"/>
      <c r="CY14" s="4"/>
    </row>
    <row r="15" spans="1:103" x14ac:dyDescent="0.3">
      <c r="A15" s="65"/>
      <c r="B15" s="58"/>
      <c r="C15" s="57"/>
      <c r="D15" s="7">
        <f t="shared" si="0"/>
        <v>46036</v>
      </c>
      <c r="E15" s="8" t="str">
        <f>IF(COUNTIF('Tage Person1 Aus.'!$V$3:$AA$100, D15)&gt;0, "S",IF(COUNTIF('Tage Person1 Aus.'!$A$3:$O$100, D15)&gt;0, "U",IF(COUNTIF('Tage Person1 Aus.'!$AE$3:$AI$100, D15)&gt;0, "h", "")))</f>
        <v/>
      </c>
      <c r="F15" s="8" t="str">
        <f>IF(COUNTIF('Tage Person2 Aus.2'!$V$3:$AA$100, D15)&gt;0, "S",IF(COUNTIF('Tage Person2 Aus.2'!$A$3:$O$100, D15)&gt;0, "U",IF(COUNTIF('Tage Person2 Aus.2'!$AE$3:$AI$100, D15)&gt;0, "h", "")))</f>
        <v/>
      </c>
      <c r="G15" s="8" t="str">
        <f>IF(COUNTIF('Tage Person3 Aus.3'!$V$3:$AA$100, D15)&gt;0, "S",IF(COUNTIF('Tage Person3 Aus.3'!$A$3:$O$100, D15)&gt;0, "U",IF(COUNTIF('Tage Person3 Aus.3'!$AE$3:$AI$100, D15)&gt;0, "h", "")))</f>
        <v/>
      </c>
      <c r="H15" s="8" t="str">
        <f>IF(COUNTIF('Tage Person4 Aus.4'!$V$3:$AA$100, D15)&gt;0, "S",IF(COUNTIF('Tage Person4 Aus.4'!$A$3:$O$100, D15)&gt;0, "U",IF(COUNTIF('Tage Person4 Aus.4'!$AE$3:$AI$100, D15)&gt;0, "h", "")))</f>
        <v/>
      </c>
      <c r="I15" s="8" t="str">
        <f>IF(COUNTIF('Tage ferien Aus.'!$A$3:$O$100, D15)&gt;0, "E", "")</f>
        <v/>
      </c>
      <c r="J15" s="8" t="str">
        <f>IF(COUNTIF('Tage feiertage Aus.'!$A$3:$O$100, D15)&gt;0, "f", "")</f>
        <v/>
      </c>
      <c r="K15" s="7">
        <f t="shared" si="1"/>
        <v>46067</v>
      </c>
      <c r="L15" s="8" t="str">
        <f>IF(COUNTIF('Tage Person1 Aus.'!$V$3:$AA$100, K15)&gt;0, "S",IF(COUNTIF('Tage Person1 Aus.'!$A$3:$O$100, K15)&gt;0, "U",IF(COUNTIF('Tage Person1 Aus.'!$AE$3:$AI$100, K15)&gt;0, "h", "")))</f>
        <v/>
      </c>
      <c r="M15" s="8" t="str">
        <f>IF(COUNTIF('Tage Person2 Aus.2'!$V$3:$AA$100, K15)&gt;0, "S",IF(COUNTIF('Tage Person2 Aus.2'!$A$3:$O$100, K15)&gt;0, "U",IF(COUNTIF('Tage Person2 Aus.2'!$AE$3:$AI$100, K15)&gt;0, "h", "")))</f>
        <v/>
      </c>
      <c r="N15" s="8" t="str">
        <f>IF(COUNTIF('Tage Person3 Aus.3'!$V$3:$AA$100, K15)&gt;0, "S",IF(COUNTIF('Tage Person3 Aus.3'!$A$3:$O$100, K15)&gt;0, "U",IF(COUNTIF('Tage Person3 Aus.3'!$AE$3:$AI$100, K15)&gt;0, "h", "")))</f>
        <v/>
      </c>
      <c r="O15" s="8" t="str">
        <f>IF(COUNTIF('Tage Person4 Aus.4'!$V$3:$AA$100, K15)&gt;0, "S",IF(COUNTIF('Tage Person4 Aus.4'!$A$3:$O$100, K15)&gt;0, "U",IF(COUNTIF('Tage Person4 Aus.4'!$AE$3:$AI$100, K15)&gt;0, "h", "")))</f>
        <v/>
      </c>
      <c r="P15" s="8" t="str">
        <f>IF(COUNTIF('Tage ferien Aus.'!$A$3:$O$100, K15)&gt;0, "E", "")</f>
        <v/>
      </c>
      <c r="Q15" s="8" t="str">
        <f>IF(COUNTIF('Tage feiertage Aus.'!$A$3:$O$100, K15)&gt;0, "f", "")</f>
        <v/>
      </c>
      <c r="R15" s="7">
        <f t="shared" si="2"/>
        <v>46095</v>
      </c>
      <c r="S15" s="8" t="str">
        <f>IF(COUNTIF('Tage Person1 Aus.'!$V$3:$AA$100, R15)&gt;0, "S",IF(COUNTIF('Tage Person1 Aus.'!$A$3:$O$100, R15)&gt;0, "U",IF(COUNTIF('Tage Person1 Aus.'!$AE$3:$AI$100, R15)&gt;0, "h", "")))</f>
        <v/>
      </c>
      <c r="T15" s="8" t="str">
        <f>IF(COUNTIF('Tage Person2 Aus.2'!$V$3:$AA$100, R15)&gt;0, "S",IF(COUNTIF('Tage Person2 Aus.2'!$A$3:$O$100, R15)&gt;0, "U",IF(COUNTIF('Tage Person2 Aus.2'!$AE$3:$AI$100, R15)&gt;0, "h", "")))</f>
        <v/>
      </c>
      <c r="U15" s="8" t="str">
        <f>IF(COUNTIF('Tage Person3 Aus.3'!$V$3:$AA$100, R15)&gt;0, "S",IF(COUNTIF('Tage Person3 Aus.3'!$A$3:$O$100, R15)&gt;0, "U",IF(COUNTIF('Tage Person3 Aus.3'!$AE$3:$AI$100, R15)&gt;0, "h", "")))</f>
        <v/>
      </c>
      <c r="V15" s="8" t="str">
        <f>IF(COUNTIF('Tage Person4 Aus.4'!$V$3:$AA$100, R15)&gt;0, "S",IF(COUNTIF('Tage Person4 Aus.4'!$A$3:$O$100, R15)&gt;0, "U",IF(COUNTIF('Tage Person4 Aus.4'!$AE$3:$AI$100, R15)&gt;0, "h", "")))</f>
        <v/>
      </c>
      <c r="W15" s="8" t="str">
        <f>IF(COUNTIF('Tage ferien Aus.'!$A$3:$O$100, R15)&gt;0, "E", "")</f>
        <v/>
      </c>
      <c r="X15" s="8" t="str">
        <f>IF(COUNTIF('Tage feiertage Aus.'!$A$3:$O$100, R15)&gt;0, "f", "")</f>
        <v/>
      </c>
      <c r="Y15" s="7">
        <f t="shared" si="3"/>
        <v>46126</v>
      </c>
      <c r="Z15" s="8" t="str">
        <f>IF(COUNTIF('Tage Person1 Aus.'!$V$3:$AA$100, Y15)&gt;0, "S",IF(COUNTIF('Tage Person1 Aus.'!$A$3:$O$100, Y15)&gt;0, "U",IF(COUNTIF('Tage Person1 Aus.'!$AE$3:$AI$100, Y15)&gt;0, "h", "")))</f>
        <v/>
      </c>
      <c r="AA15" s="8" t="str">
        <f>IF(COUNTIF('Tage Person2 Aus.2'!$V$3:$AA$100, Y15)&gt;0, "S",IF(COUNTIF('Tage Person2 Aus.2'!$A$3:$O$100, Y15)&gt;0, "U",IF(COUNTIF('Tage Person2 Aus.2'!$AE$3:$AI$100, Y15)&gt;0, "h", "")))</f>
        <v/>
      </c>
      <c r="AB15" s="8" t="str">
        <f>IF(COUNTIF('Tage Person3 Aus.3'!$V$3:$AA$100, Y15)&gt;0, "S",IF(COUNTIF('Tage Person3 Aus.3'!$A$3:$O$100, Y15)&gt;0, "U",IF(COUNTIF('Tage Person3 Aus.3'!$AE$3:$AI$100, Y15)&gt;0, "h", "")))</f>
        <v/>
      </c>
      <c r="AC15" s="8" t="str">
        <f>IF(COUNTIF('Tage Person4 Aus.4'!$V$3:$AA$100, Y15)&gt;0, "S",IF(COUNTIF('Tage Person4 Aus.4'!$A$3:$O$100, Y15)&gt;0, "U",IF(COUNTIF('Tage Person4 Aus.4'!$AE$3:$AI$100, Y15)&gt;0, "h", "")))</f>
        <v/>
      </c>
      <c r="AD15" s="8" t="str">
        <f>IF(COUNTIF('Tage ferien Aus.'!$A$3:$O$100, Y15)&gt;0, "E", "")</f>
        <v/>
      </c>
      <c r="AE15" s="8" t="str">
        <f>IF(COUNTIF('Tage feiertage Aus.'!$A$3:$O$100, Y15)&gt;0, "f", "")</f>
        <v/>
      </c>
      <c r="AF15" s="7">
        <f t="shared" si="4"/>
        <v>46156</v>
      </c>
      <c r="AG15" s="9" t="str">
        <f>IF(COUNTIF('Tage Person1 Aus.'!$V$3:$AA$100, AF15)&gt;0, "S",IF(COUNTIF('Tage Person1 Aus.'!$A$3:$O$100, AF15)&gt;0, "U",IF(COUNTIF('Tage Person1 Aus.'!$AE$3:$AI$100, AF15)&gt;0, "h", "")))</f>
        <v/>
      </c>
      <c r="AH15" s="8" t="str">
        <f>IF(COUNTIF('Tage Person2 Aus.2'!$V$3:$AA$100, AF15)&gt;0, "S",IF(COUNTIF('Tage Person2 Aus.2'!$A$3:$O$100, AF15)&gt;0, "U",IF(COUNTIF('Tage Person2 Aus.2'!$AE$3:$AI$100, AF15)&gt;0, "h", "")))</f>
        <v/>
      </c>
      <c r="AI15" s="8" t="str">
        <f>IF(COUNTIF('Tage Person3 Aus.3'!$V$3:$AA$100, AF15)&gt;0, "S",IF(COUNTIF('Tage Person3 Aus.3'!$A$3:$O$100, AF15)&gt;0, "U",IF(COUNTIF('Tage Person3 Aus.3'!$AE$3:$AI$100, AF15)&gt;0, "h", "")))</f>
        <v/>
      </c>
      <c r="AJ15" s="8" t="str">
        <f>IF(COUNTIF('Tage Person4 Aus.4'!$V$3:$AA$100, AF15)&gt;0, "S",IF(COUNTIF('Tage Person4 Aus.4'!$A$3:$O$100, AF15)&gt;0, "U",IF(COUNTIF('Tage Person4 Aus.4'!$AE$3:$AI$100, AF15)&gt;0, "h", "")))</f>
        <v/>
      </c>
      <c r="AK15" s="8" t="str">
        <f>IF(COUNTIF('Tage ferien Aus.'!$A$3:$O$100, AF15)&gt;0, "E", "")</f>
        <v/>
      </c>
      <c r="AL15" s="8" t="str">
        <f>IF(COUNTIF('Tage feiertage Aus.'!$A$3:$O$100, AF15)&gt;0, "f", "")</f>
        <v>f</v>
      </c>
      <c r="AM15" s="7">
        <f t="shared" si="5"/>
        <v>46187</v>
      </c>
      <c r="AN15" s="8" t="str">
        <f>IF(COUNTIF('Tage Person1 Aus.'!$V$3:$AA$100, AM15)&gt;0, "S",IF(COUNTIF('Tage Person1 Aus.'!$A$3:$O$100, AM15)&gt;0, "U",IF(COUNTIF('Tage Person1 Aus.'!$AE$3:$AI$100, AM15)&gt;0, "h", "")))</f>
        <v/>
      </c>
      <c r="AO15" s="8" t="str">
        <f>IF(COUNTIF('Tage Person2 Aus.2'!$V$3:$AA$100, AM15)&gt;0, "S",IF(COUNTIF('Tage Person2 Aus.2'!$A$3:$O$100, AM15)&gt;0, "U",IF(COUNTIF('Tage Person2 Aus.2'!$AE$3:$AI$100, AM15)&gt;0, "h", "")))</f>
        <v/>
      </c>
      <c r="AP15" s="8" t="str">
        <f>IF(COUNTIF('Tage Person3 Aus.3'!$V$3:$AA$100, AM15)&gt;0, "S",IF(COUNTIF('Tage Person3 Aus.3'!$A$3:$O$100, AM15)&gt;0, "U",IF(COUNTIF('Tage Person3 Aus.3'!$AE$3:$AI$100, AM15)&gt;0, "h", "")))</f>
        <v/>
      </c>
      <c r="AQ15" s="8" t="str">
        <f>IF(COUNTIF('Tage Person4 Aus.4'!$V$3:$AA$100, AM15)&gt;0, "S",IF(COUNTIF('Tage Person4 Aus.4'!$A$3:$O$100, AM15)&gt;0, "U",IF(COUNTIF('Tage Person4 Aus.4'!$AE$3:$AI$100, AM15)&gt;0, "h", "")))</f>
        <v/>
      </c>
      <c r="AR15" s="8" t="str">
        <f>IF(COUNTIF('Tage ferien Aus.'!$A$3:$O$100, AM15)&gt;0, "E", "")</f>
        <v/>
      </c>
      <c r="AS15" s="8" t="str">
        <f>IF(COUNTIF('Tage feiertage Aus.'!$A$3:$O$100, AM15)&gt;0, "f", "")</f>
        <v/>
      </c>
      <c r="AT15" s="7">
        <f t="shared" si="6"/>
        <v>46217</v>
      </c>
      <c r="AU15" s="8" t="str">
        <f>IF(COUNTIF('Tage Person1 Aus.'!$V$3:$AA$100, AT15)&gt;0, "S",IF(COUNTIF('Tage Person1 Aus.'!$A$3:$O$100, AT15)&gt;0, "U",IF(COUNTIF('Tage Person1 Aus.'!$AE$3:$AI$100, AT15)&gt;0, "h", "")))</f>
        <v/>
      </c>
      <c r="AV15" s="8" t="str">
        <f>IF(COUNTIF('Tage Person2 Aus.2'!$V$3:$AA$100, AT15)&gt;0, "S",IF(COUNTIF('Tage Person2 Aus.2'!$A$3:$O$100, AT15)&gt;0, "U",IF(COUNTIF('Tage Person2 Aus.2'!$AE$3:$AI$100, AT15)&gt;0, "h", "")))</f>
        <v/>
      </c>
      <c r="AW15" s="8" t="str">
        <f>IF(COUNTIF('Tage Person3 Aus.3'!$V$3:$AA$100, AT15)&gt;0, "S",IF(COUNTIF('Tage Person3 Aus.3'!$A$3:$O$100, AT15)&gt;0, "U",IF(COUNTIF('Tage Person3 Aus.3'!$AE$3:$AI$100, AT15)&gt;0, "h", "")))</f>
        <v/>
      </c>
      <c r="AX15" s="8" t="str">
        <f>IF(COUNTIF('Tage Person4 Aus.4'!$V$3:$AA$100, AT15)&gt;0, "S",IF(COUNTIF('Tage Person4 Aus.4'!$A$3:$O$100, AT15)&gt;0, "U",IF(COUNTIF('Tage Person4 Aus.4'!$AE$3:$AI$100, AT15)&gt;0, "h", "")))</f>
        <v/>
      </c>
      <c r="AY15" s="8" t="str">
        <f>IF(COUNTIF('Tage ferien Aus.'!$A$3:$O$100, AT15)&gt;0, "E", "")</f>
        <v/>
      </c>
      <c r="AZ15" s="8" t="str">
        <f>IF(COUNTIF('Tage feiertage Aus.'!$A$3:$O$100, AT15)&gt;0, "f", "")</f>
        <v/>
      </c>
      <c r="BA15" s="7">
        <f t="shared" si="7"/>
        <v>46248</v>
      </c>
      <c r="BB15" s="8" t="str">
        <f>IF(COUNTIF('Tage Person1 Aus.'!$V$3:$AA$100, BA15)&gt;0, "S",IF(COUNTIF('Tage Person1 Aus.'!$A$3:$O$100, BA15)&gt;0, "U",IF(COUNTIF('Tage Person1 Aus.'!$AE$3:$AI$100, BA15)&gt;0, "h", "")))</f>
        <v/>
      </c>
      <c r="BC15" s="8" t="str">
        <f>IF(COUNTIF('Tage Person2 Aus.2'!$V$3:$AA$100, BA15)&gt;0, "S",IF(COUNTIF('Tage Person2 Aus.2'!$A$3:$O$100, BA15)&gt;0, "U",IF(COUNTIF('Tage Person2 Aus.2'!$AE$3:$AI$100, BA15)&gt;0, "h", "")))</f>
        <v/>
      </c>
      <c r="BD15" s="8" t="str">
        <f>IF(COUNTIF('Tage Person3 Aus.3'!$V$3:$AA$100, BA15)&gt;0, "S",IF(COUNTIF('Tage Person3 Aus.3'!$A$3:$O$100, BA15)&gt;0, "U",IF(COUNTIF('Tage Person3 Aus.3'!$AE$3:$AI$100, BA15)&gt;0, "h", "")))</f>
        <v/>
      </c>
      <c r="BE15" s="8" t="str">
        <f>IF(COUNTIF('Tage Person4 Aus.4'!$V$3:$AA$100, BA15)&gt;0, "S",IF(COUNTIF('Tage Person4 Aus.4'!$A$3:$O$100, BA15)&gt;0, "U",IF(COUNTIF('Tage Person4 Aus.4'!$AE$3:$AI$100, BA15)&gt;0, "h", "")))</f>
        <v/>
      </c>
      <c r="BF15" s="8" t="str">
        <f>IF(COUNTIF('Tage ferien Aus.'!$A$3:$O$100, BA15)&gt;0, "E", "")</f>
        <v>E</v>
      </c>
      <c r="BG15" s="8" t="str">
        <f>IF(COUNTIF('Tage feiertage Aus.'!$A$3:$O$100, BA15)&gt;0, "f", "")</f>
        <v/>
      </c>
      <c r="BH15" s="7">
        <f t="shared" si="8"/>
        <v>46279</v>
      </c>
      <c r="BI15" s="8" t="str">
        <f>IF(COUNTIF('Tage Person1 Aus.'!$V$3:$AA$100, BH15)&gt;0, "S",IF(COUNTIF('Tage Person1 Aus.'!$A$3:$O$100, BH15)&gt;0, "U",IF(COUNTIF('Tage Person1 Aus.'!$AE$3:$AI$100, BH15)&gt;0, "h", "")))</f>
        <v/>
      </c>
      <c r="BJ15" s="8" t="str">
        <f>IF(COUNTIF('Tage Person2 Aus.2'!$V$3:$AA$100, BH15)&gt;0, "S",IF(COUNTIF('Tage Person2 Aus.2'!$A$3:$O$100, BH15)&gt;0, "U",IF(COUNTIF('Tage Person2 Aus.2'!$AE$3:$AI$100, BH15)&gt;0, "h", "")))</f>
        <v/>
      </c>
      <c r="BK15" s="8" t="str">
        <f>IF(COUNTIF('Tage Person3 Aus.3'!$V$3:$AA$100, BH15)&gt;0, "S",IF(COUNTIF('Tage Person3 Aus.3'!$A$3:$O$100, BH15)&gt;0, "U",IF(COUNTIF('Tage Person3 Aus.3'!$AE$3:$AI$100, BH15)&gt;0, "h", "")))</f>
        <v/>
      </c>
      <c r="BL15" s="8" t="str">
        <f>IF(COUNTIF('Tage Person4 Aus.4'!$V$3:$AA$100, BH15)&gt;0, "S",IF(COUNTIF('Tage Person4 Aus.4'!$A$3:$O$100, BH15)&gt;0, "U",IF(COUNTIF('Tage Person4 Aus.4'!$AE$3:$AI$100, BH15)&gt;0, "h", "")))</f>
        <v/>
      </c>
      <c r="BM15" s="8" t="str">
        <f>IF(COUNTIF('Tage ferien Aus.'!$A$3:$O$100, BH15)&gt;0, "E", "")</f>
        <v/>
      </c>
      <c r="BN15" s="8" t="str">
        <f>IF(COUNTIF('Tage feiertage Aus.'!$A$3:$O$100, BH15)&gt;0, "f", "")</f>
        <v/>
      </c>
      <c r="BO15" s="7">
        <f t="shared" si="9"/>
        <v>46309</v>
      </c>
      <c r="BP15" s="8" t="str">
        <f>IF(COUNTIF('Tage Person1 Aus.'!$V$3:$AA$100, BO15)&gt;0, "S",IF(COUNTIF('Tage Person1 Aus.'!$A$3:$O$100, BO15)&gt;0, "U",IF(COUNTIF('Tage Person1 Aus.'!$AE$3:$AI$100, BO15)&gt;0, "h", "")))</f>
        <v/>
      </c>
      <c r="BQ15" s="8" t="str">
        <f>IF(COUNTIF('Tage Person2 Aus.2'!$V$3:$AA$100, BO15)&gt;0, "S",IF(COUNTIF('Tage Person2 Aus.2'!$A$3:$O$100, BO15)&gt;0, "U",IF(COUNTIF('Tage Person2 Aus.2'!$AE$3:$AI$100, BO15)&gt;0, "h", "")))</f>
        <v/>
      </c>
      <c r="BR15" s="8" t="str">
        <f>IF(COUNTIF('Tage Person3 Aus.3'!$V$3:$AA$100, BO15)&gt;0, "S",IF(COUNTIF('Tage Person3 Aus.3'!$A$3:$O$100, BO15)&gt;0, "U",IF(COUNTIF('Tage Person3 Aus.3'!$AE$3:$AI$100, BO15)&gt;0, "h", "")))</f>
        <v/>
      </c>
      <c r="BS15" s="8" t="str">
        <f>IF(COUNTIF('Tage Person4 Aus.4'!$V$3:$AA$100, BO15)&gt;0, "S",IF(COUNTIF('Tage Person4 Aus.4'!$A$3:$O$100, BO15)&gt;0, "U",IF(COUNTIF('Tage Person4 Aus.4'!$AE$3:$AI$100, BO15)&gt;0, "h", "")))</f>
        <v/>
      </c>
      <c r="BT15" s="8" t="str">
        <f>IF(COUNTIF('Tage ferien Aus.'!$A$3:$O$100, BO15)&gt;0, "E", "")</f>
        <v/>
      </c>
      <c r="BU15" s="8" t="str">
        <f>IF(COUNTIF('Tage feiertage Aus.'!$A$3:$O$100, BO15)&gt;0, "f", "")</f>
        <v/>
      </c>
      <c r="BV15" s="7">
        <f t="shared" si="10"/>
        <v>46340</v>
      </c>
      <c r="BW15" s="8" t="str">
        <f>IF(COUNTIF('Tage Person1 Aus.'!$V$3:$AA$100, BV15)&gt;0, "S",IF(COUNTIF('Tage Person1 Aus.'!$A$3:$O$100, BV15)&gt;0, "U",IF(COUNTIF('Tage Person1 Aus.'!$AE$3:$AI$100, BV15)&gt;0, "h", "")))</f>
        <v/>
      </c>
      <c r="BX15" s="8" t="str">
        <f>IF(COUNTIF('Tage Person2 Aus.2'!$V$3:$AA$100, BV15)&gt;0, "S",IF(COUNTIF('Tage Person2 Aus.2'!$A$3:$O$100, BV15)&gt;0, "U",IF(COUNTIF('Tage Person2 Aus.2'!$AE$3:$AI$100, BV15)&gt;0, "h", "")))</f>
        <v/>
      </c>
      <c r="BY15" s="8" t="str">
        <f>IF(COUNTIF('Tage Person3 Aus.3'!$V$3:$AA$100, BV15)&gt;0, "S",IF(COUNTIF('Tage Person3 Aus.3'!$A$3:$O$100, BV15)&gt;0, "U",IF(COUNTIF('Tage Person3 Aus.3'!$AE$3:$AI$100, BV15)&gt;0, "h", "")))</f>
        <v/>
      </c>
      <c r="BZ15" s="8" t="str">
        <f>IF(COUNTIF('Tage Person4 Aus.4'!$V$3:$AA$100, BV15)&gt;0, "S",IF(COUNTIF('Tage Person4 Aus.4'!$A$3:$O$100, BV15)&gt;0, "U",IF(COUNTIF('Tage Person4 Aus.4'!$AE$3:$AI$100, BV15)&gt;0, "h", "")))</f>
        <v/>
      </c>
      <c r="CA15" s="8" t="str">
        <f>IF(COUNTIF('Tage ferien Aus.'!$A$3:$O$100, BV15)&gt;0, "E", "")</f>
        <v/>
      </c>
      <c r="CB15" s="8" t="str">
        <f>IF(COUNTIF('Tage feiertage Aus.'!$A$3:$O$100, BV15)&gt;0, "f", "")</f>
        <v/>
      </c>
      <c r="CC15" s="7">
        <f t="shared" si="11"/>
        <v>46370</v>
      </c>
      <c r="CD15" s="10" t="str">
        <f>IF(COUNTIF('Tage Person1 Aus.'!$V$3:$AA$100, CC15)&gt;0, "S",IF(COUNTIF('Tage Person1 Aus.'!$A$3:$O$100, CC15)&gt;0, "U",IF(COUNTIF('Tage Person1 Aus.'!$AE$3:$AI$100, CC15)&gt;0, "h", "")))</f>
        <v/>
      </c>
      <c r="CE15" s="11" t="str">
        <f>IF(COUNTIF('Tage Person2 Aus.2'!$V$3:$AA$100, CC15)&gt;0, "S",IF(COUNTIF('Tage Person2 Aus.2'!$A$3:$O$100, CC15)&gt;0, "U",IF(COUNTIF('Tage Person2 Aus.2'!$AE$3:$AI$100, CC15)&gt;0, "h", "")))</f>
        <v/>
      </c>
      <c r="CF15" s="12" t="str">
        <f>IF(COUNTIF('Tage Person3 Aus.3'!$V$3:$AA$100, CC15)&gt;0, "S",IF(COUNTIF('Tage Person3 Aus.3'!$A$3:$O$100, CC15)&gt;0, "U",IF(COUNTIF('Tage Person3 Aus.3'!$AE$3:$AI$100, CC15)&gt;0, "h", "")))</f>
        <v/>
      </c>
      <c r="CG15" s="10" t="str">
        <f>IF(COUNTIF('Tage Person4 Aus.4'!$V$3:$AA$100, CC15)&gt;0, "S",IF(COUNTIF('Tage Person4 Aus.4'!$A$3:$O$100, CC15)&gt;0, "U",IF(COUNTIF('Tage Person4 Aus.4'!$AE$3:$AI$100, CC15)&gt;0, "h", "")))</f>
        <v/>
      </c>
      <c r="CH15" s="11" t="str">
        <f>IF(COUNTIF('Tage ferien Aus.'!$A$3:$O$100, CC15)&gt;0, "E", "")</f>
        <v/>
      </c>
      <c r="CI15" s="12" t="str">
        <f>IF(COUNTIF('Tage feiertage Aus.'!$A$3:$O$100, CC15)&gt;0, "f", "")</f>
        <v/>
      </c>
      <c r="CJ15" s="4"/>
      <c r="CK15" s="4"/>
      <c r="CL15" s="6"/>
      <c r="CM15" s="4"/>
      <c r="CN15" s="2"/>
      <c r="CO15" s="3"/>
      <c r="CP15" s="4"/>
      <c r="CQ15" s="2"/>
      <c r="CR15" s="3"/>
      <c r="CS15" s="4"/>
      <c r="CT15" s="4"/>
      <c r="CU15" s="6"/>
      <c r="CV15" s="4"/>
      <c r="CW15" s="4"/>
      <c r="CX15" s="6"/>
      <c r="CY15" s="4"/>
    </row>
    <row r="16" spans="1:103" x14ac:dyDescent="0.3">
      <c r="A16" s="66" t="s">
        <v>16</v>
      </c>
      <c r="B16" s="58"/>
      <c r="C16" s="57"/>
      <c r="D16" s="7">
        <f t="shared" si="0"/>
        <v>46037</v>
      </c>
      <c r="E16" s="8" t="str">
        <f>IF(COUNTIF('Tage Person1 Aus.'!$V$3:$AA$100, D16)&gt;0, "S",IF(COUNTIF('Tage Person1 Aus.'!$A$3:$O$100, D16)&gt;0, "U",IF(COUNTIF('Tage Person1 Aus.'!$AE$3:$AI$100, D16)&gt;0, "h", "")))</f>
        <v/>
      </c>
      <c r="F16" s="8" t="str">
        <f>IF(COUNTIF('Tage Person2 Aus.2'!$V$3:$AA$100, D16)&gt;0, "S",IF(COUNTIF('Tage Person2 Aus.2'!$A$3:$O$100, D16)&gt;0, "U",IF(COUNTIF('Tage Person2 Aus.2'!$AE$3:$AI$100, D16)&gt;0, "h", "")))</f>
        <v/>
      </c>
      <c r="G16" s="8" t="str">
        <f>IF(COUNTIF('Tage Person3 Aus.3'!$V$3:$AA$100, D16)&gt;0, "S",IF(COUNTIF('Tage Person3 Aus.3'!$A$3:$O$100, D16)&gt;0, "U",IF(COUNTIF('Tage Person3 Aus.3'!$AE$3:$AI$100, D16)&gt;0, "h", "")))</f>
        <v/>
      </c>
      <c r="H16" s="8" t="str">
        <f>IF(COUNTIF('Tage Person4 Aus.4'!$V$3:$AA$100, D16)&gt;0, "S",IF(COUNTIF('Tage Person4 Aus.4'!$A$3:$O$100, D16)&gt;0, "U",IF(COUNTIF('Tage Person4 Aus.4'!$AE$3:$AI$100, D16)&gt;0, "h", "")))</f>
        <v/>
      </c>
      <c r="I16" s="8" t="str">
        <f>IF(COUNTIF('Tage ferien Aus.'!$A$3:$O$100, D16)&gt;0, "E", "")</f>
        <v/>
      </c>
      <c r="J16" s="8" t="str">
        <f>IF(COUNTIF('Tage feiertage Aus.'!$A$3:$O$100, D16)&gt;0, "f", "")</f>
        <v/>
      </c>
      <c r="K16" s="7">
        <f t="shared" si="1"/>
        <v>46068</v>
      </c>
      <c r="L16" s="8" t="str">
        <f>IF(COUNTIF('Tage Person1 Aus.'!$V$3:$AA$100, K16)&gt;0, "S",IF(COUNTIF('Tage Person1 Aus.'!$A$3:$O$100, K16)&gt;0, "U",IF(COUNTIF('Tage Person1 Aus.'!$AE$3:$AI$100, K16)&gt;0, "h", "")))</f>
        <v/>
      </c>
      <c r="M16" s="8" t="str">
        <f>IF(COUNTIF('Tage Person2 Aus.2'!$V$3:$AA$100, K16)&gt;0, "S",IF(COUNTIF('Tage Person2 Aus.2'!$A$3:$O$100, K16)&gt;0, "U",IF(COUNTIF('Tage Person2 Aus.2'!$AE$3:$AI$100, K16)&gt;0, "h", "")))</f>
        <v/>
      </c>
      <c r="N16" s="8" t="str">
        <f>IF(COUNTIF('Tage Person3 Aus.3'!$V$3:$AA$100, K16)&gt;0, "S",IF(COUNTIF('Tage Person3 Aus.3'!$A$3:$O$100, K16)&gt;0, "U",IF(COUNTIF('Tage Person3 Aus.3'!$AE$3:$AI$100, K16)&gt;0, "h", "")))</f>
        <v/>
      </c>
      <c r="O16" s="8" t="str">
        <f>IF(COUNTIF('Tage Person4 Aus.4'!$V$3:$AA$100, K16)&gt;0, "S",IF(COUNTIF('Tage Person4 Aus.4'!$A$3:$O$100, K16)&gt;0, "U",IF(COUNTIF('Tage Person4 Aus.4'!$AE$3:$AI$100, K16)&gt;0, "h", "")))</f>
        <v/>
      </c>
      <c r="P16" s="8" t="str">
        <f>IF(COUNTIF('Tage ferien Aus.'!$A$3:$O$100, K16)&gt;0, "E", "")</f>
        <v/>
      </c>
      <c r="Q16" s="8" t="str">
        <f>IF(COUNTIF('Tage feiertage Aus.'!$A$3:$O$100, K16)&gt;0, "f", "")</f>
        <v/>
      </c>
      <c r="R16" s="7">
        <f t="shared" si="2"/>
        <v>46096</v>
      </c>
      <c r="S16" s="8" t="str">
        <f>IF(COUNTIF('Tage Person1 Aus.'!$V$3:$AA$100, R16)&gt;0, "S",IF(COUNTIF('Tage Person1 Aus.'!$A$3:$O$100, R16)&gt;0, "U",IF(COUNTIF('Tage Person1 Aus.'!$AE$3:$AI$100, R16)&gt;0, "h", "")))</f>
        <v/>
      </c>
      <c r="T16" s="8" t="str">
        <f>IF(COUNTIF('Tage Person2 Aus.2'!$V$3:$AA$100, R16)&gt;0, "S",IF(COUNTIF('Tage Person2 Aus.2'!$A$3:$O$100, R16)&gt;0, "U",IF(COUNTIF('Tage Person2 Aus.2'!$AE$3:$AI$100, R16)&gt;0, "h", "")))</f>
        <v/>
      </c>
      <c r="U16" s="8" t="str">
        <f>IF(COUNTIF('Tage Person3 Aus.3'!$V$3:$AA$100, R16)&gt;0, "S",IF(COUNTIF('Tage Person3 Aus.3'!$A$3:$O$100, R16)&gt;0, "U",IF(COUNTIF('Tage Person3 Aus.3'!$AE$3:$AI$100, R16)&gt;0, "h", "")))</f>
        <v/>
      </c>
      <c r="V16" s="8" t="str">
        <f>IF(COUNTIF('Tage Person4 Aus.4'!$V$3:$AA$100, R16)&gt;0, "S",IF(COUNTIF('Tage Person4 Aus.4'!$A$3:$O$100, R16)&gt;0, "U",IF(COUNTIF('Tage Person4 Aus.4'!$AE$3:$AI$100, R16)&gt;0, "h", "")))</f>
        <v/>
      </c>
      <c r="W16" s="8" t="str">
        <f>IF(COUNTIF('Tage ferien Aus.'!$A$3:$O$100, R16)&gt;0, "E", "")</f>
        <v/>
      </c>
      <c r="X16" s="8" t="str">
        <f>IF(COUNTIF('Tage feiertage Aus.'!$A$3:$O$100, R16)&gt;0, "f", "")</f>
        <v/>
      </c>
      <c r="Y16" s="7">
        <f t="shared" si="3"/>
        <v>46127</v>
      </c>
      <c r="Z16" s="8" t="str">
        <f>IF(COUNTIF('Tage Person1 Aus.'!$V$3:$AA$100, Y16)&gt;0, "S",IF(COUNTIF('Tage Person1 Aus.'!$A$3:$O$100, Y16)&gt;0, "U",IF(COUNTIF('Tage Person1 Aus.'!$AE$3:$AI$100, Y16)&gt;0, "h", "")))</f>
        <v/>
      </c>
      <c r="AA16" s="8" t="str">
        <f>IF(COUNTIF('Tage Person2 Aus.2'!$V$3:$AA$100, Y16)&gt;0, "S",IF(COUNTIF('Tage Person2 Aus.2'!$A$3:$O$100, Y16)&gt;0, "U",IF(COUNTIF('Tage Person2 Aus.2'!$AE$3:$AI$100, Y16)&gt;0, "h", "")))</f>
        <v/>
      </c>
      <c r="AB16" s="8" t="str">
        <f>IF(COUNTIF('Tage Person3 Aus.3'!$V$3:$AA$100, Y16)&gt;0, "S",IF(COUNTIF('Tage Person3 Aus.3'!$A$3:$O$100, Y16)&gt;0, "U",IF(COUNTIF('Tage Person3 Aus.3'!$AE$3:$AI$100, Y16)&gt;0, "h", "")))</f>
        <v/>
      </c>
      <c r="AC16" s="8" t="str">
        <f>IF(COUNTIF('Tage Person4 Aus.4'!$V$3:$AA$100, Y16)&gt;0, "S",IF(COUNTIF('Tage Person4 Aus.4'!$A$3:$O$100, Y16)&gt;0, "U",IF(COUNTIF('Tage Person4 Aus.4'!$AE$3:$AI$100, Y16)&gt;0, "h", "")))</f>
        <v/>
      </c>
      <c r="AD16" s="8" t="str">
        <f>IF(COUNTIF('Tage ferien Aus.'!$A$3:$O$100, Y16)&gt;0, "E", "")</f>
        <v/>
      </c>
      <c r="AE16" s="8" t="str">
        <f>IF(COUNTIF('Tage feiertage Aus.'!$A$3:$O$100, Y16)&gt;0, "f", "")</f>
        <v/>
      </c>
      <c r="AF16" s="7">
        <f t="shared" si="4"/>
        <v>46157</v>
      </c>
      <c r="AG16" s="9" t="str">
        <f>IF(COUNTIF('Tage Person1 Aus.'!$V$3:$AA$100, AF16)&gt;0, "S",IF(COUNTIF('Tage Person1 Aus.'!$A$3:$O$100, AF16)&gt;0, "U",IF(COUNTIF('Tage Person1 Aus.'!$AE$3:$AI$100, AF16)&gt;0, "h", "")))</f>
        <v/>
      </c>
      <c r="AH16" s="8" t="str">
        <f>IF(COUNTIF('Tage Person2 Aus.2'!$V$3:$AA$100, AF16)&gt;0, "S",IF(COUNTIF('Tage Person2 Aus.2'!$A$3:$O$100, AF16)&gt;0, "U",IF(COUNTIF('Tage Person2 Aus.2'!$AE$3:$AI$100, AF16)&gt;0, "h", "")))</f>
        <v/>
      </c>
      <c r="AI16" s="8" t="str">
        <f>IF(COUNTIF('Tage Person3 Aus.3'!$V$3:$AA$100, AF16)&gt;0, "S",IF(COUNTIF('Tage Person3 Aus.3'!$A$3:$O$100, AF16)&gt;0, "U",IF(COUNTIF('Tage Person3 Aus.3'!$AE$3:$AI$100, AF16)&gt;0, "h", "")))</f>
        <v/>
      </c>
      <c r="AJ16" s="8" t="str">
        <f>IF(COUNTIF('Tage Person4 Aus.4'!$V$3:$AA$100, AF16)&gt;0, "S",IF(COUNTIF('Tage Person4 Aus.4'!$A$3:$O$100, AF16)&gt;0, "U",IF(COUNTIF('Tage Person4 Aus.4'!$AE$3:$AI$100, AF16)&gt;0, "h", "")))</f>
        <v/>
      </c>
      <c r="AK16" s="8" t="str">
        <f>IF(COUNTIF('Tage ferien Aus.'!$A$3:$O$100, AF16)&gt;0, "E", "")</f>
        <v/>
      </c>
      <c r="AL16" s="8" t="str">
        <f>IF(COUNTIF('Tage feiertage Aus.'!$A$3:$O$100, AF16)&gt;0, "f", "")</f>
        <v/>
      </c>
      <c r="AM16" s="7">
        <f t="shared" si="5"/>
        <v>46188</v>
      </c>
      <c r="AN16" s="8" t="str">
        <f>IF(COUNTIF('Tage Person1 Aus.'!$V$3:$AA$100, AM16)&gt;0, "S",IF(COUNTIF('Tage Person1 Aus.'!$A$3:$O$100, AM16)&gt;0, "U",IF(COUNTIF('Tage Person1 Aus.'!$AE$3:$AI$100, AM16)&gt;0, "h", "")))</f>
        <v/>
      </c>
      <c r="AO16" s="8" t="str">
        <f>IF(COUNTIF('Tage Person2 Aus.2'!$V$3:$AA$100, AM16)&gt;0, "S",IF(COUNTIF('Tage Person2 Aus.2'!$A$3:$O$100, AM16)&gt;0, "U",IF(COUNTIF('Tage Person2 Aus.2'!$AE$3:$AI$100, AM16)&gt;0, "h", "")))</f>
        <v/>
      </c>
      <c r="AP16" s="8" t="str">
        <f>IF(COUNTIF('Tage Person3 Aus.3'!$V$3:$AA$100, AM16)&gt;0, "S",IF(COUNTIF('Tage Person3 Aus.3'!$A$3:$O$100, AM16)&gt;0, "U",IF(COUNTIF('Tage Person3 Aus.3'!$AE$3:$AI$100, AM16)&gt;0, "h", "")))</f>
        <v/>
      </c>
      <c r="AQ16" s="8" t="str">
        <f>IF(COUNTIF('Tage Person4 Aus.4'!$V$3:$AA$100, AM16)&gt;0, "S",IF(COUNTIF('Tage Person4 Aus.4'!$A$3:$O$100, AM16)&gt;0, "U",IF(COUNTIF('Tage Person4 Aus.4'!$AE$3:$AI$100, AM16)&gt;0, "h", "")))</f>
        <v/>
      </c>
      <c r="AR16" s="8" t="str">
        <f>IF(COUNTIF('Tage ferien Aus.'!$A$3:$O$100, AM16)&gt;0, "E", "")</f>
        <v/>
      </c>
      <c r="AS16" s="8" t="str">
        <f>IF(COUNTIF('Tage feiertage Aus.'!$A$3:$O$100, AM16)&gt;0, "f", "")</f>
        <v/>
      </c>
      <c r="AT16" s="7">
        <f t="shared" si="6"/>
        <v>46218</v>
      </c>
      <c r="AU16" s="8" t="str">
        <f>IF(COUNTIF('Tage Person1 Aus.'!$V$3:$AA$100, AT16)&gt;0, "S",IF(COUNTIF('Tage Person1 Aus.'!$A$3:$O$100, AT16)&gt;0, "U",IF(COUNTIF('Tage Person1 Aus.'!$AE$3:$AI$100, AT16)&gt;0, "h", "")))</f>
        <v/>
      </c>
      <c r="AV16" s="8" t="str">
        <f>IF(COUNTIF('Tage Person2 Aus.2'!$V$3:$AA$100, AT16)&gt;0, "S",IF(COUNTIF('Tage Person2 Aus.2'!$A$3:$O$100, AT16)&gt;0, "U",IF(COUNTIF('Tage Person2 Aus.2'!$AE$3:$AI$100, AT16)&gt;0, "h", "")))</f>
        <v/>
      </c>
      <c r="AW16" s="8" t="str">
        <f>IF(COUNTIF('Tage Person3 Aus.3'!$V$3:$AA$100, AT16)&gt;0, "S",IF(COUNTIF('Tage Person3 Aus.3'!$A$3:$O$100, AT16)&gt;0, "U",IF(COUNTIF('Tage Person3 Aus.3'!$AE$3:$AI$100, AT16)&gt;0, "h", "")))</f>
        <v/>
      </c>
      <c r="AX16" s="8" t="str">
        <f>IF(COUNTIF('Tage Person4 Aus.4'!$V$3:$AA$100, AT16)&gt;0, "S",IF(COUNTIF('Tage Person4 Aus.4'!$A$3:$O$100, AT16)&gt;0, "U",IF(COUNTIF('Tage Person4 Aus.4'!$AE$3:$AI$100, AT16)&gt;0, "h", "")))</f>
        <v/>
      </c>
      <c r="AY16" s="8" t="str">
        <f>IF(COUNTIF('Tage ferien Aus.'!$A$3:$O$100, AT16)&gt;0, "E", "")</f>
        <v/>
      </c>
      <c r="AZ16" s="8" t="str">
        <f>IF(COUNTIF('Tage feiertage Aus.'!$A$3:$O$100, AT16)&gt;0, "f", "")</f>
        <v/>
      </c>
      <c r="BA16" s="7">
        <f t="shared" si="7"/>
        <v>46249</v>
      </c>
      <c r="BB16" s="8" t="str">
        <f>IF(COUNTIF('Tage Person1 Aus.'!$V$3:$AA$100, BA16)&gt;0, "S",IF(COUNTIF('Tage Person1 Aus.'!$A$3:$O$100, BA16)&gt;0, "U",IF(COUNTIF('Tage Person1 Aus.'!$AE$3:$AI$100, BA16)&gt;0, "h", "")))</f>
        <v/>
      </c>
      <c r="BC16" s="8" t="str">
        <f>IF(COUNTIF('Tage Person2 Aus.2'!$V$3:$AA$100, BA16)&gt;0, "S",IF(COUNTIF('Tage Person2 Aus.2'!$A$3:$O$100, BA16)&gt;0, "U",IF(COUNTIF('Tage Person2 Aus.2'!$AE$3:$AI$100, BA16)&gt;0, "h", "")))</f>
        <v/>
      </c>
      <c r="BD16" s="8" t="str">
        <f>IF(COUNTIF('Tage Person3 Aus.3'!$V$3:$AA$100, BA16)&gt;0, "S",IF(COUNTIF('Tage Person3 Aus.3'!$A$3:$O$100, BA16)&gt;0, "U",IF(COUNTIF('Tage Person3 Aus.3'!$AE$3:$AI$100, BA16)&gt;0, "h", "")))</f>
        <v/>
      </c>
      <c r="BE16" s="8" t="str">
        <f>IF(COUNTIF('Tage Person4 Aus.4'!$V$3:$AA$100, BA16)&gt;0, "S",IF(COUNTIF('Tage Person4 Aus.4'!$A$3:$O$100, BA16)&gt;0, "U",IF(COUNTIF('Tage Person4 Aus.4'!$AE$3:$AI$100, BA16)&gt;0, "h", "")))</f>
        <v/>
      </c>
      <c r="BF16" s="8" t="str">
        <f>IF(COUNTIF('Tage ferien Aus.'!$A$3:$O$100, BA16)&gt;0, "E", "")</f>
        <v>E</v>
      </c>
      <c r="BG16" s="8" t="str">
        <f>IF(COUNTIF('Tage feiertage Aus.'!$A$3:$O$100, BA16)&gt;0, "f", "")</f>
        <v/>
      </c>
      <c r="BH16" s="7">
        <f t="shared" si="8"/>
        <v>46280</v>
      </c>
      <c r="BI16" s="8" t="str">
        <f>IF(COUNTIF('Tage Person1 Aus.'!$V$3:$AA$100, BH16)&gt;0, "S",IF(COUNTIF('Tage Person1 Aus.'!$A$3:$O$100, BH16)&gt;0, "U",IF(COUNTIF('Tage Person1 Aus.'!$AE$3:$AI$100, BH16)&gt;0, "h", "")))</f>
        <v/>
      </c>
      <c r="BJ16" s="8" t="str">
        <f>IF(COUNTIF('Tage Person2 Aus.2'!$V$3:$AA$100, BH16)&gt;0, "S",IF(COUNTIF('Tage Person2 Aus.2'!$A$3:$O$100, BH16)&gt;0, "U",IF(COUNTIF('Tage Person2 Aus.2'!$AE$3:$AI$100, BH16)&gt;0, "h", "")))</f>
        <v/>
      </c>
      <c r="BK16" s="8" t="str">
        <f>IF(COUNTIF('Tage Person3 Aus.3'!$V$3:$AA$100, BH16)&gt;0, "S",IF(COUNTIF('Tage Person3 Aus.3'!$A$3:$O$100, BH16)&gt;0, "U",IF(COUNTIF('Tage Person3 Aus.3'!$AE$3:$AI$100, BH16)&gt;0, "h", "")))</f>
        <v/>
      </c>
      <c r="BL16" s="8" t="str">
        <f>IF(COUNTIF('Tage Person4 Aus.4'!$V$3:$AA$100, BH16)&gt;0, "S",IF(COUNTIF('Tage Person4 Aus.4'!$A$3:$O$100, BH16)&gt;0, "U",IF(COUNTIF('Tage Person4 Aus.4'!$AE$3:$AI$100, BH16)&gt;0, "h", "")))</f>
        <v/>
      </c>
      <c r="BM16" s="8" t="str">
        <f>IF(COUNTIF('Tage ferien Aus.'!$A$3:$O$100, BH16)&gt;0, "E", "")</f>
        <v/>
      </c>
      <c r="BN16" s="8" t="str">
        <f>IF(COUNTIF('Tage feiertage Aus.'!$A$3:$O$100, BH16)&gt;0, "f", "")</f>
        <v/>
      </c>
      <c r="BO16" s="7">
        <f t="shared" si="9"/>
        <v>46310</v>
      </c>
      <c r="BP16" s="8" t="str">
        <f>IF(COUNTIF('Tage Person1 Aus.'!$V$3:$AA$100, BO16)&gt;0, "S",IF(COUNTIF('Tage Person1 Aus.'!$A$3:$O$100, BO16)&gt;0, "U",IF(COUNTIF('Tage Person1 Aus.'!$AE$3:$AI$100, BO16)&gt;0, "h", "")))</f>
        <v/>
      </c>
      <c r="BQ16" s="8" t="str">
        <f>IF(COUNTIF('Tage Person2 Aus.2'!$V$3:$AA$100, BO16)&gt;0, "S",IF(COUNTIF('Tage Person2 Aus.2'!$A$3:$O$100, BO16)&gt;0, "U",IF(COUNTIF('Tage Person2 Aus.2'!$AE$3:$AI$100, BO16)&gt;0, "h", "")))</f>
        <v/>
      </c>
      <c r="BR16" s="8" t="str">
        <f>IF(COUNTIF('Tage Person3 Aus.3'!$V$3:$AA$100, BO16)&gt;0, "S",IF(COUNTIF('Tage Person3 Aus.3'!$A$3:$O$100, BO16)&gt;0, "U",IF(COUNTIF('Tage Person3 Aus.3'!$AE$3:$AI$100, BO16)&gt;0, "h", "")))</f>
        <v/>
      </c>
      <c r="BS16" s="8" t="str">
        <f>IF(COUNTIF('Tage Person4 Aus.4'!$V$3:$AA$100, BO16)&gt;0, "S",IF(COUNTIF('Tage Person4 Aus.4'!$A$3:$O$100, BO16)&gt;0, "U",IF(COUNTIF('Tage Person4 Aus.4'!$AE$3:$AI$100, BO16)&gt;0, "h", "")))</f>
        <v/>
      </c>
      <c r="BT16" s="8" t="str">
        <f>IF(COUNTIF('Tage ferien Aus.'!$A$3:$O$100, BO16)&gt;0, "E", "")</f>
        <v/>
      </c>
      <c r="BU16" s="8" t="str">
        <f>IF(COUNTIF('Tage feiertage Aus.'!$A$3:$O$100, BO16)&gt;0, "f", "")</f>
        <v/>
      </c>
      <c r="BV16" s="7">
        <f t="shared" si="10"/>
        <v>46341</v>
      </c>
      <c r="BW16" s="8" t="str">
        <f>IF(COUNTIF('Tage Person1 Aus.'!$V$3:$AA$100, BV16)&gt;0, "S",IF(COUNTIF('Tage Person1 Aus.'!$A$3:$O$100, BV16)&gt;0, "U",IF(COUNTIF('Tage Person1 Aus.'!$AE$3:$AI$100, BV16)&gt;0, "h", "")))</f>
        <v/>
      </c>
      <c r="BX16" s="8" t="str">
        <f>IF(COUNTIF('Tage Person2 Aus.2'!$V$3:$AA$100, BV16)&gt;0, "S",IF(COUNTIF('Tage Person2 Aus.2'!$A$3:$O$100, BV16)&gt;0, "U",IF(COUNTIF('Tage Person2 Aus.2'!$AE$3:$AI$100, BV16)&gt;0, "h", "")))</f>
        <v/>
      </c>
      <c r="BY16" s="8" t="str">
        <f>IF(COUNTIF('Tage Person3 Aus.3'!$V$3:$AA$100, BV16)&gt;0, "S",IF(COUNTIF('Tage Person3 Aus.3'!$A$3:$O$100, BV16)&gt;0, "U",IF(COUNTIF('Tage Person3 Aus.3'!$AE$3:$AI$100, BV16)&gt;0, "h", "")))</f>
        <v/>
      </c>
      <c r="BZ16" s="8" t="str">
        <f>IF(COUNTIF('Tage Person4 Aus.4'!$V$3:$AA$100, BV16)&gt;0, "S",IF(COUNTIF('Tage Person4 Aus.4'!$A$3:$O$100, BV16)&gt;0, "U",IF(COUNTIF('Tage Person4 Aus.4'!$AE$3:$AI$100, BV16)&gt;0, "h", "")))</f>
        <v/>
      </c>
      <c r="CA16" s="8" t="str">
        <f>IF(COUNTIF('Tage ferien Aus.'!$A$3:$O$100, BV16)&gt;0, "E", "")</f>
        <v/>
      </c>
      <c r="CB16" s="8" t="str">
        <f>IF(COUNTIF('Tage feiertage Aus.'!$A$3:$O$100, BV16)&gt;0, "f", "")</f>
        <v/>
      </c>
      <c r="CC16" s="7">
        <f t="shared" si="11"/>
        <v>46371</v>
      </c>
      <c r="CD16" s="10" t="str">
        <f>IF(COUNTIF('Tage Person1 Aus.'!$V$3:$AA$100, CC16)&gt;0, "S",IF(COUNTIF('Tage Person1 Aus.'!$A$3:$O$100, CC16)&gt;0, "U",IF(COUNTIF('Tage Person1 Aus.'!$AE$3:$AI$100, CC16)&gt;0, "h", "")))</f>
        <v/>
      </c>
      <c r="CE16" s="11" t="str">
        <f>IF(COUNTIF('Tage Person2 Aus.2'!$V$3:$AA$100, CC16)&gt;0, "S",IF(COUNTIF('Tage Person2 Aus.2'!$A$3:$O$100, CC16)&gt;0, "U",IF(COUNTIF('Tage Person2 Aus.2'!$AE$3:$AI$100, CC16)&gt;0, "h", "")))</f>
        <v/>
      </c>
      <c r="CF16" s="12" t="str">
        <f>IF(COUNTIF('Tage Person3 Aus.3'!$V$3:$AA$100, CC16)&gt;0, "S",IF(COUNTIF('Tage Person3 Aus.3'!$A$3:$O$100, CC16)&gt;0, "U",IF(COUNTIF('Tage Person3 Aus.3'!$AE$3:$AI$100, CC16)&gt;0, "h", "")))</f>
        <v/>
      </c>
      <c r="CG16" s="10" t="str">
        <f>IF(COUNTIF('Tage Person4 Aus.4'!$V$3:$AA$100, CC16)&gt;0, "S",IF(COUNTIF('Tage Person4 Aus.4'!$A$3:$O$100, CC16)&gt;0, "U",IF(COUNTIF('Tage Person4 Aus.4'!$AE$3:$AI$100, CC16)&gt;0, "h", "")))</f>
        <v/>
      </c>
      <c r="CH16" s="11" t="str">
        <f>IF(COUNTIF('Tage ferien Aus.'!$A$3:$O$100, CC16)&gt;0, "E", "")</f>
        <v/>
      </c>
      <c r="CI16" s="12" t="str">
        <f>IF(COUNTIF('Tage feiertage Aus.'!$A$3:$O$100, CC16)&gt;0, "f", "")</f>
        <v/>
      </c>
      <c r="CJ16" s="4"/>
      <c r="CK16" s="4"/>
      <c r="CL16" s="6"/>
      <c r="CM16" s="4"/>
      <c r="CN16" s="2"/>
      <c r="CO16" s="3"/>
      <c r="CP16" s="4"/>
      <c r="CQ16" s="2"/>
      <c r="CR16" s="3"/>
      <c r="CS16" s="4"/>
      <c r="CT16" s="4"/>
      <c r="CU16" s="6"/>
      <c r="CV16" s="4"/>
      <c r="CW16" s="4"/>
      <c r="CX16" s="6"/>
      <c r="CY16" s="4"/>
    </row>
    <row r="17" spans="1:103" x14ac:dyDescent="0.3">
      <c r="A17" s="66"/>
      <c r="B17" s="58"/>
      <c r="C17" s="57"/>
      <c r="D17" s="7">
        <f t="shared" si="0"/>
        <v>46038</v>
      </c>
      <c r="E17" s="8" t="str">
        <f>IF(COUNTIF('Tage Person1 Aus.'!$V$3:$AA$100, D17)&gt;0, "S",IF(COUNTIF('Tage Person1 Aus.'!$A$3:$O$100, D17)&gt;0, "U",IF(COUNTIF('Tage Person1 Aus.'!$AE$3:$AI$100, D17)&gt;0, "h", "")))</f>
        <v/>
      </c>
      <c r="F17" s="8" t="str">
        <f>IF(COUNTIF('Tage Person2 Aus.2'!$V$3:$AA$100, D17)&gt;0, "S",IF(COUNTIF('Tage Person2 Aus.2'!$A$3:$O$100, D17)&gt;0, "U",IF(COUNTIF('Tage Person2 Aus.2'!$AE$3:$AI$100, D17)&gt;0, "h", "")))</f>
        <v/>
      </c>
      <c r="G17" s="8" t="str">
        <f>IF(COUNTIF('Tage Person3 Aus.3'!$V$3:$AA$100, D17)&gt;0, "S",IF(COUNTIF('Tage Person3 Aus.3'!$A$3:$O$100, D17)&gt;0, "U",IF(COUNTIF('Tage Person3 Aus.3'!$AE$3:$AI$100, D17)&gt;0, "h", "")))</f>
        <v/>
      </c>
      <c r="H17" s="8" t="str">
        <f>IF(COUNTIF('Tage Person4 Aus.4'!$V$3:$AA$100, D17)&gt;0, "S",IF(COUNTIF('Tage Person4 Aus.4'!$A$3:$O$100, D17)&gt;0, "U",IF(COUNTIF('Tage Person4 Aus.4'!$AE$3:$AI$100, D17)&gt;0, "h", "")))</f>
        <v/>
      </c>
      <c r="I17" s="8" t="str">
        <f>IF(COUNTIF('Tage ferien Aus.'!$A$3:$O$100, D17)&gt;0, "E", "")</f>
        <v/>
      </c>
      <c r="J17" s="8" t="str">
        <f>IF(COUNTIF('Tage feiertage Aus.'!$A$3:$O$100, D17)&gt;0, "f", "")</f>
        <v/>
      </c>
      <c r="K17" s="7">
        <f t="shared" si="1"/>
        <v>46069</v>
      </c>
      <c r="L17" s="8" t="str">
        <f>IF(COUNTIF('Tage Person1 Aus.'!$V$3:$AA$100, K17)&gt;0, "S",IF(COUNTIF('Tage Person1 Aus.'!$A$3:$O$100, K17)&gt;0, "U",IF(COUNTIF('Tage Person1 Aus.'!$AE$3:$AI$100, K17)&gt;0, "h", "")))</f>
        <v/>
      </c>
      <c r="M17" s="8" t="str">
        <f>IF(COUNTIF('Tage Person2 Aus.2'!$V$3:$AA$100, K17)&gt;0, "S",IF(COUNTIF('Tage Person2 Aus.2'!$A$3:$O$100, K17)&gt;0, "U",IF(COUNTIF('Tage Person2 Aus.2'!$AE$3:$AI$100, K17)&gt;0, "h", "")))</f>
        <v/>
      </c>
      <c r="N17" s="8" t="str">
        <f>IF(COUNTIF('Tage Person3 Aus.3'!$V$3:$AA$100, K17)&gt;0, "S",IF(COUNTIF('Tage Person3 Aus.3'!$A$3:$O$100, K17)&gt;0, "U",IF(COUNTIF('Tage Person3 Aus.3'!$AE$3:$AI$100, K17)&gt;0, "h", "")))</f>
        <v/>
      </c>
      <c r="O17" s="8" t="str">
        <f>IF(COUNTIF('Tage Person4 Aus.4'!$V$3:$AA$100, K17)&gt;0, "S",IF(COUNTIF('Tage Person4 Aus.4'!$A$3:$O$100, K17)&gt;0, "U",IF(COUNTIF('Tage Person4 Aus.4'!$AE$3:$AI$100, K17)&gt;0, "h", "")))</f>
        <v/>
      </c>
      <c r="P17" s="8" t="str">
        <f>IF(COUNTIF('Tage ferien Aus.'!$A$3:$O$100, K17)&gt;0, "E", "")</f>
        <v/>
      </c>
      <c r="Q17" s="8" t="str">
        <f>IF(COUNTIF('Tage feiertage Aus.'!$A$3:$O$100, K17)&gt;0, "f", "")</f>
        <v/>
      </c>
      <c r="R17" s="7">
        <f t="shared" si="2"/>
        <v>46097</v>
      </c>
      <c r="S17" s="8" t="str">
        <f>IF(COUNTIF('Tage Person1 Aus.'!$V$3:$AA$100, R17)&gt;0, "S",IF(COUNTIF('Tage Person1 Aus.'!$A$3:$O$100, R17)&gt;0, "U",IF(COUNTIF('Tage Person1 Aus.'!$AE$3:$AI$100, R17)&gt;0, "h", "")))</f>
        <v/>
      </c>
      <c r="T17" s="8" t="str">
        <f>IF(COUNTIF('Tage Person2 Aus.2'!$V$3:$AA$100, R17)&gt;0, "S",IF(COUNTIF('Tage Person2 Aus.2'!$A$3:$O$100, R17)&gt;0, "U",IF(COUNTIF('Tage Person2 Aus.2'!$AE$3:$AI$100, R17)&gt;0, "h", "")))</f>
        <v/>
      </c>
      <c r="U17" s="8" t="str">
        <f>IF(COUNTIF('Tage Person3 Aus.3'!$V$3:$AA$100, R17)&gt;0, "S",IF(COUNTIF('Tage Person3 Aus.3'!$A$3:$O$100, R17)&gt;0, "U",IF(COUNTIF('Tage Person3 Aus.3'!$AE$3:$AI$100, R17)&gt;0, "h", "")))</f>
        <v/>
      </c>
      <c r="V17" s="8" t="str">
        <f>IF(COUNTIF('Tage Person4 Aus.4'!$V$3:$AA$100, R17)&gt;0, "S",IF(COUNTIF('Tage Person4 Aus.4'!$A$3:$O$100, R17)&gt;0, "U",IF(COUNTIF('Tage Person4 Aus.4'!$AE$3:$AI$100, R17)&gt;0, "h", "")))</f>
        <v/>
      </c>
      <c r="W17" s="8" t="str">
        <f>IF(COUNTIF('Tage ferien Aus.'!$A$3:$O$100, R17)&gt;0, "E", "")</f>
        <v/>
      </c>
      <c r="X17" s="8" t="str">
        <f>IF(COUNTIF('Tage feiertage Aus.'!$A$3:$O$100, R17)&gt;0, "f", "")</f>
        <v/>
      </c>
      <c r="Y17" s="7">
        <f t="shared" si="3"/>
        <v>46128</v>
      </c>
      <c r="Z17" s="8" t="str">
        <f>IF(COUNTIF('Tage Person1 Aus.'!$V$3:$AA$100, Y17)&gt;0, "S",IF(COUNTIF('Tage Person1 Aus.'!$A$3:$O$100, Y17)&gt;0, "U",IF(COUNTIF('Tage Person1 Aus.'!$AE$3:$AI$100, Y17)&gt;0, "h", "")))</f>
        <v/>
      </c>
      <c r="AA17" s="8" t="str">
        <f>IF(COUNTIF('Tage Person2 Aus.2'!$V$3:$AA$100, Y17)&gt;0, "S",IF(COUNTIF('Tage Person2 Aus.2'!$A$3:$O$100, Y17)&gt;0, "U",IF(COUNTIF('Tage Person2 Aus.2'!$AE$3:$AI$100, Y17)&gt;0, "h", "")))</f>
        <v/>
      </c>
      <c r="AB17" s="8" t="str">
        <f>IF(COUNTIF('Tage Person3 Aus.3'!$V$3:$AA$100, Y17)&gt;0, "S",IF(COUNTIF('Tage Person3 Aus.3'!$A$3:$O$100, Y17)&gt;0, "U",IF(COUNTIF('Tage Person3 Aus.3'!$AE$3:$AI$100, Y17)&gt;0, "h", "")))</f>
        <v/>
      </c>
      <c r="AC17" s="8" t="str">
        <f>IF(COUNTIF('Tage Person4 Aus.4'!$V$3:$AA$100, Y17)&gt;0, "S",IF(COUNTIF('Tage Person4 Aus.4'!$A$3:$O$100, Y17)&gt;0, "U",IF(COUNTIF('Tage Person4 Aus.4'!$AE$3:$AI$100, Y17)&gt;0, "h", "")))</f>
        <v/>
      </c>
      <c r="AD17" s="8" t="str">
        <f>IF(COUNTIF('Tage ferien Aus.'!$A$3:$O$100, Y17)&gt;0, "E", "")</f>
        <v/>
      </c>
      <c r="AE17" s="8" t="str">
        <f>IF(COUNTIF('Tage feiertage Aus.'!$A$3:$O$100, Y17)&gt;0, "f", "")</f>
        <v/>
      </c>
      <c r="AF17" s="7">
        <f t="shared" si="4"/>
        <v>46158</v>
      </c>
      <c r="AG17" s="9" t="str">
        <f>IF(COUNTIF('Tage Person1 Aus.'!$V$3:$AA$100, AF17)&gt;0, "S",IF(COUNTIF('Tage Person1 Aus.'!$A$3:$O$100, AF17)&gt;0, "U",IF(COUNTIF('Tage Person1 Aus.'!$AE$3:$AI$100, AF17)&gt;0, "h", "")))</f>
        <v/>
      </c>
      <c r="AH17" s="8" t="str">
        <f>IF(COUNTIF('Tage Person2 Aus.2'!$V$3:$AA$100, AF17)&gt;0, "S",IF(COUNTIF('Tage Person2 Aus.2'!$A$3:$O$100, AF17)&gt;0, "U",IF(COUNTIF('Tage Person2 Aus.2'!$AE$3:$AI$100, AF17)&gt;0, "h", "")))</f>
        <v/>
      </c>
      <c r="AI17" s="8" t="str">
        <f>IF(COUNTIF('Tage Person3 Aus.3'!$V$3:$AA$100, AF17)&gt;0, "S",IF(COUNTIF('Tage Person3 Aus.3'!$A$3:$O$100, AF17)&gt;0, "U",IF(COUNTIF('Tage Person3 Aus.3'!$AE$3:$AI$100, AF17)&gt;0, "h", "")))</f>
        <v/>
      </c>
      <c r="AJ17" s="8" t="str">
        <f>IF(COUNTIF('Tage Person4 Aus.4'!$V$3:$AA$100, AF17)&gt;0, "S",IF(COUNTIF('Tage Person4 Aus.4'!$A$3:$O$100, AF17)&gt;0, "U",IF(COUNTIF('Tage Person4 Aus.4'!$AE$3:$AI$100, AF17)&gt;0, "h", "")))</f>
        <v/>
      </c>
      <c r="AK17" s="8" t="str">
        <f>IF(COUNTIF('Tage ferien Aus.'!$A$3:$O$100, AF17)&gt;0, "E", "")</f>
        <v/>
      </c>
      <c r="AL17" s="8" t="str">
        <f>IF(COUNTIF('Tage feiertage Aus.'!$A$3:$O$100, AF17)&gt;0, "f", "")</f>
        <v/>
      </c>
      <c r="AM17" s="7">
        <f t="shared" si="5"/>
        <v>46189</v>
      </c>
      <c r="AN17" s="8" t="str">
        <f>IF(COUNTIF('Tage Person1 Aus.'!$V$3:$AA$100, AM17)&gt;0, "S",IF(COUNTIF('Tage Person1 Aus.'!$A$3:$O$100, AM17)&gt;0, "U",IF(COUNTIF('Tage Person1 Aus.'!$AE$3:$AI$100, AM17)&gt;0, "h", "")))</f>
        <v/>
      </c>
      <c r="AO17" s="8" t="str">
        <f>IF(COUNTIF('Tage Person2 Aus.2'!$V$3:$AA$100, AM17)&gt;0, "S",IF(COUNTIF('Tage Person2 Aus.2'!$A$3:$O$100, AM17)&gt;0, "U",IF(COUNTIF('Tage Person2 Aus.2'!$AE$3:$AI$100, AM17)&gt;0, "h", "")))</f>
        <v/>
      </c>
      <c r="AP17" s="8" t="str">
        <f>IF(COUNTIF('Tage Person3 Aus.3'!$V$3:$AA$100, AM17)&gt;0, "S",IF(COUNTIF('Tage Person3 Aus.3'!$A$3:$O$100, AM17)&gt;0, "U",IF(COUNTIF('Tage Person3 Aus.3'!$AE$3:$AI$100, AM17)&gt;0, "h", "")))</f>
        <v/>
      </c>
      <c r="AQ17" s="8" t="str">
        <f>IF(COUNTIF('Tage Person4 Aus.4'!$V$3:$AA$100, AM17)&gt;0, "S",IF(COUNTIF('Tage Person4 Aus.4'!$A$3:$O$100, AM17)&gt;0, "U",IF(COUNTIF('Tage Person4 Aus.4'!$AE$3:$AI$100, AM17)&gt;0, "h", "")))</f>
        <v/>
      </c>
      <c r="AR17" s="8" t="str">
        <f>IF(COUNTIF('Tage ferien Aus.'!$A$3:$O$100, AM17)&gt;0, "E", "")</f>
        <v/>
      </c>
      <c r="AS17" s="8" t="str">
        <f>IF(COUNTIF('Tage feiertage Aus.'!$A$3:$O$100, AM17)&gt;0, "f", "")</f>
        <v/>
      </c>
      <c r="AT17" s="7">
        <f t="shared" si="6"/>
        <v>46219</v>
      </c>
      <c r="AU17" s="8" t="str">
        <f>IF(COUNTIF('Tage Person1 Aus.'!$V$3:$AA$100, AT17)&gt;0, "S",IF(COUNTIF('Tage Person1 Aus.'!$A$3:$O$100, AT17)&gt;0, "U",IF(COUNTIF('Tage Person1 Aus.'!$AE$3:$AI$100, AT17)&gt;0, "h", "")))</f>
        <v/>
      </c>
      <c r="AV17" s="8" t="str">
        <f>IF(COUNTIF('Tage Person2 Aus.2'!$V$3:$AA$100, AT17)&gt;0, "S",IF(COUNTIF('Tage Person2 Aus.2'!$A$3:$O$100, AT17)&gt;0, "U",IF(COUNTIF('Tage Person2 Aus.2'!$AE$3:$AI$100, AT17)&gt;0, "h", "")))</f>
        <v/>
      </c>
      <c r="AW17" s="8" t="str">
        <f>IF(COUNTIF('Tage Person3 Aus.3'!$V$3:$AA$100, AT17)&gt;0, "S",IF(COUNTIF('Tage Person3 Aus.3'!$A$3:$O$100, AT17)&gt;0, "U",IF(COUNTIF('Tage Person3 Aus.3'!$AE$3:$AI$100, AT17)&gt;0, "h", "")))</f>
        <v/>
      </c>
      <c r="AX17" s="8" t="str">
        <f>IF(COUNTIF('Tage Person4 Aus.4'!$V$3:$AA$100, AT17)&gt;0, "S",IF(COUNTIF('Tage Person4 Aus.4'!$A$3:$O$100, AT17)&gt;0, "U",IF(COUNTIF('Tage Person4 Aus.4'!$AE$3:$AI$100, AT17)&gt;0, "h", "")))</f>
        <v/>
      </c>
      <c r="AY17" s="8" t="str">
        <f>IF(COUNTIF('Tage ferien Aus.'!$A$3:$O$100, AT17)&gt;0, "E", "")</f>
        <v/>
      </c>
      <c r="AZ17" s="8" t="str">
        <f>IF(COUNTIF('Tage feiertage Aus.'!$A$3:$O$100, AT17)&gt;0, "f", "")</f>
        <v/>
      </c>
      <c r="BA17" s="7">
        <f t="shared" si="7"/>
        <v>46250</v>
      </c>
      <c r="BB17" s="8" t="str">
        <f>IF(COUNTIF('Tage Person1 Aus.'!$V$3:$AA$100, BA17)&gt;0, "S",IF(COUNTIF('Tage Person1 Aus.'!$A$3:$O$100, BA17)&gt;0, "U",IF(COUNTIF('Tage Person1 Aus.'!$AE$3:$AI$100, BA17)&gt;0, "h", "")))</f>
        <v/>
      </c>
      <c r="BC17" s="8" t="str">
        <f>IF(COUNTIF('Tage Person2 Aus.2'!$V$3:$AA$100, BA17)&gt;0, "S",IF(COUNTIF('Tage Person2 Aus.2'!$A$3:$O$100, BA17)&gt;0, "U",IF(COUNTIF('Tage Person2 Aus.2'!$AE$3:$AI$100, BA17)&gt;0, "h", "")))</f>
        <v/>
      </c>
      <c r="BD17" s="8" t="str">
        <f>IF(COUNTIF('Tage Person3 Aus.3'!$V$3:$AA$100, BA17)&gt;0, "S",IF(COUNTIF('Tage Person3 Aus.3'!$A$3:$O$100, BA17)&gt;0, "U",IF(COUNTIF('Tage Person3 Aus.3'!$AE$3:$AI$100, BA17)&gt;0, "h", "")))</f>
        <v/>
      </c>
      <c r="BE17" s="8" t="str">
        <f>IF(COUNTIF('Tage Person4 Aus.4'!$V$3:$AA$100, BA17)&gt;0, "S",IF(COUNTIF('Tage Person4 Aus.4'!$A$3:$O$100, BA17)&gt;0, "U",IF(COUNTIF('Tage Person4 Aus.4'!$AE$3:$AI$100, BA17)&gt;0, "h", "")))</f>
        <v/>
      </c>
      <c r="BF17" s="8" t="str">
        <f>IF(COUNTIF('Tage ferien Aus.'!$A$3:$O$100, BA17)&gt;0, "E", "")</f>
        <v>E</v>
      </c>
      <c r="BG17" s="8" t="str">
        <f>IF(COUNTIF('Tage feiertage Aus.'!$A$3:$O$100, BA17)&gt;0, "f", "")</f>
        <v/>
      </c>
      <c r="BH17" s="7">
        <f t="shared" si="8"/>
        <v>46281</v>
      </c>
      <c r="BI17" s="8" t="str">
        <f>IF(COUNTIF('Tage Person1 Aus.'!$V$3:$AA$100, BH17)&gt;0, "S",IF(COUNTIF('Tage Person1 Aus.'!$A$3:$O$100, BH17)&gt;0, "U",IF(COUNTIF('Tage Person1 Aus.'!$AE$3:$AI$100, BH17)&gt;0, "h", "")))</f>
        <v/>
      </c>
      <c r="BJ17" s="8" t="str">
        <f>IF(COUNTIF('Tage Person2 Aus.2'!$V$3:$AA$100, BH17)&gt;0, "S",IF(COUNTIF('Tage Person2 Aus.2'!$A$3:$O$100, BH17)&gt;0, "U",IF(COUNTIF('Tage Person2 Aus.2'!$AE$3:$AI$100, BH17)&gt;0, "h", "")))</f>
        <v/>
      </c>
      <c r="BK17" s="8" t="str">
        <f>IF(COUNTIF('Tage Person3 Aus.3'!$V$3:$AA$100, BH17)&gt;0, "S",IF(COUNTIF('Tage Person3 Aus.3'!$A$3:$O$100, BH17)&gt;0, "U",IF(COUNTIF('Tage Person3 Aus.3'!$AE$3:$AI$100, BH17)&gt;0, "h", "")))</f>
        <v/>
      </c>
      <c r="BL17" s="8" t="str">
        <f>IF(COUNTIF('Tage Person4 Aus.4'!$V$3:$AA$100, BH17)&gt;0, "S",IF(COUNTIF('Tage Person4 Aus.4'!$A$3:$O$100, BH17)&gt;0, "U",IF(COUNTIF('Tage Person4 Aus.4'!$AE$3:$AI$100, BH17)&gt;0, "h", "")))</f>
        <v/>
      </c>
      <c r="BM17" s="8" t="str">
        <f>IF(COUNTIF('Tage ferien Aus.'!$A$3:$O$100, BH17)&gt;0, "E", "")</f>
        <v/>
      </c>
      <c r="BN17" s="8" t="str">
        <f>IF(COUNTIF('Tage feiertage Aus.'!$A$3:$O$100, BH17)&gt;0, "f", "")</f>
        <v/>
      </c>
      <c r="BO17" s="7">
        <f t="shared" si="9"/>
        <v>46311</v>
      </c>
      <c r="BP17" s="8" t="str">
        <f>IF(COUNTIF('Tage Person1 Aus.'!$V$3:$AA$100, BO17)&gt;0, "S",IF(COUNTIF('Tage Person1 Aus.'!$A$3:$O$100, BO17)&gt;0, "U",IF(COUNTIF('Tage Person1 Aus.'!$AE$3:$AI$100, BO17)&gt;0, "h", "")))</f>
        <v/>
      </c>
      <c r="BQ17" s="8" t="str">
        <f>IF(COUNTIF('Tage Person2 Aus.2'!$V$3:$AA$100, BO17)&gt;0, "S",IF(COUNTIF('Tage Person2 Aus.2'!$A$3:$O$100, BO17)&gt;0, "U",IF(COUNTIF('Tage Person2 Aus.2'!$AE$3:$AI$100, BO17)&gt;0, "h", "")))</f>
        <v/>
      </c>
      <c r="BR17" s="8" t="str">
        <f>IF(COUNTIF('Tage Person3 Aus.3'!$V$3:$AA$100, BO17)&gt;0, "S",IF(COUNTIF('Tage Person3 Aus.3'!$A$3:$O$100, BO17)&gt;0, "U",IF(COUNTIF('Tage Person3 Aus.3'!$AE$3:$AI$100, BO17)&gt;0, "h", "")))</f>
        <v/>
      </c>
      <c r="BS17" s="8" t="str">
        <f>IF(COUNTIF('Tage Person4 Aus.4'!$V$3:$AA$100, BO17)&gt;0, "S",IF(COUNTIF('Tage Person4 Aus.4'!$A$3:$O$100, BO17)&gt;0, "U",IF(COUNTIF('Tage Person4 Aus.4'!$AE$3:$AI$100, BO17)&gt;0, "h", "")))</f>
        <v/>
      </c>
      <c r="BT17" s="8" t="str">
        <f>IF(COUNTIF('Tage ferien Aus.'!$A$3:$O$100, BO17)&gt;0, "E", "")</f>
        <v/>
      </c>
      <c r="BU17" s="8" t="str">
        <f>IF(COUNTIF('Tage feiertage Aus.'!$A$3:$O$100, BO17)&gt;0, "f", "")</f>
        <v/>
      </c>
      <c r="BV17" s="7">
        <f t="shared" si="10"/>
        <v>46342</v>
      </c>
      <c r="BW17" s="8" t="str">
        <f>IF(COUNTIF('Tage Person1 Aus.'!$V$3:$AA$100, BV17)&gt;0, "S",IF(COUNTIF('Tage Person1 Aus.'!$A$3:$O$100, BV17)&gt;0, "U",IF(COUNTIF('Tage Person1 Aus.'!$AE$3:$AI$100, BV17)&gt;0, "h", "")))</f>
        <v/>
      </c>
      <c r="BX17" s="8" t="str">
        <f>IF(COUNTIF('Tage Person2 Aus.2'!$V$3:$AA$100, BV17)&gt;0, "S",IF(COUNTIF('Tage Person2 Aus.2'!$A$3:$O$100, BV17)&gt;0, "U",IF(COUNTIF('Tage Person2 Aus.2'!$AE$3:$AI$100, BV17)&gt;0, "h", "")))</f>
        <v/>
      </c>
      <c r="BY17" s="8" t="str">
        <f>IF(COUNTIF('Tage Person3 Aus.3'!$V$3:$AA$100, BV17)&gt;0, "S",IF(COUNTIF('Tage Person3 Aus.3'!$A$3:$O$100, BV17)&gt;0, "U",IF(COUNTIF('Tage Person3 Aus.3'!$AE$3:$AI$100, BV17)&gt;0, "h", "")))</f>
        <v/>
      </c>
      <c r="BZ17" s="8" t="str">
        <f>IF(COUNTIF('Tage Person4 Aus.4'!$V$3:$AA$100, BV17)&gt;0, "S",IF(COUNTIF('Tage Person4 Aus.4'!$A$3:$O$100, BV17)&gt;0, "U",IF(COUNTIF('Tage Person4 Aus.4'!$AE$3:$AI$100, BV17)&gt;0, "h", "")))</f>
        <v/>
      </c>
      <c r="CA17" s="8" t="str">
        <f>IF(COUNTIF('Tage ferien Aus.'!$A$3:$O$100, BV17)&gt;0, "E", "")</f>
        <v/>
      </c>
      <c r="CB17" s="8" t="str">
        <f>IF(COUNTIF('Tage feiertage Aus.'!$A$3:$O$100, BV17)&gt;0, "f", "")</f>
        <v/>
      </c>
      <c r="CC17" s="7">
        <f t="shared" si="11"/>
        <v>46372</v>
      </c>
      <c r="CD17" s="10" t="str">
        <f>IF(COUNTIF('Tage Person1 Aus.'!$V$3:$AA$100, CC17)&gt;0, "S",IF(COUNTIF('Tage Person1 Aus.'!$A$3:$O$100, CC17)&gt;0, "U",IF(COUNTIF('Tage Person1 Aus.'!$AE$3:$AI$100, CC17)&gt;0, "h", "")))</f>
        <v/>
      </c>
      <c r="CE17" s="11" t="str">
        <f>IF(COUNTIF('Tage Person2 Aus.2'!$V$3:$AA$100, CC17)&gt;0, "S",IF(COUNTIF('Tage Person2 Aus.2'!$A$3:$O$100, CC17)&gt;0, "U",IF(COUNTIF('Tage Person2 Aus.2'!$AE$3:$AI$100, CC17)&gt;0, "h", "")))</f>
        <v/>
      </c>
      <c r="CF17" s="12" t="str">
        <f>IF(COUNTIF('Tage Person3 Aus.3'!$V$3:$AA$100, CC17)&gt;0, "S",IF(COUNTIF('Tage Person3 Aus.3'!$A$3:$O$100, CC17)&gt;0, "U",IF(COUNTIF('Tage Person3 Aus.3'!$AE$3:$AI$100, CC17)&gt;0, "h", "")))</f>
        <v/>
      </c>
      <c r="CG17" s="10" t="str">
        <f>IF(COUNTIF('Tage Person4 Aus.4'!$V$3:$AA$100, CC17)&gt;0, "S",IF(COUNTIF('Tage Person4 Aus.4'!$A$3:$O$100, CC17)&gt;0, "U",IF(COUNTIF('Tage Person4 Aus.4'!$AE$3:$AI$100, CC17)&gt;0, "h", "")))</f>
        <v/>
      </c>
      <c r="CH17" s="11" t="str">
        <f>IF(COUNTIF('Tage ferien Aus.'!$A$3:$O$100, CC17)&gt;0, "E", "")</f>
        <v/>
      </c>
      <c r="CI17" s="12" t="str">
        <f>IF(COUNTIF('Tage feiertage Aus.'!$A$3:$O$100, CC17)&gt;0, "f", "")</f>
        <v/>
      </c>
      <c r="CJ17" s="4"/>
      <c r="CK17" s="4"/>
      <c r="CL17" s="6"/>
      <c r="CM17" s="4"/>
      <c r="CN17" s="2"/>
      <c r="CO17" s="3"/>
      <c r="CP17" s="4"/>
      <c r="CQ17" s="2"/>
      <c r="CR17" s="3"/>
      <c r="CS17" s="4"/>
      <c r="CT17" s="4"/>
      <c r="CU17" s="6"/>
      <c r="CV17" s="4"/>
      <c r="CW17" s="4"/>
      <c r="CX17" s="6"/>
      <c r="CY17" s="4"/>
    </row>
    <row r="18" spans="1:103" x14ac:dyDescent="0.3">
      <c r="A18" s="66"/>
      <c r="B18" s="58">
        <f>Person3!H1 - SUMPRODUCT(((G2:CF1000="u") + (G2:CF1000="h")*0.5) * (MOD(COLUMN(G2:CF2),7)=0))</f>
        <v>30</v>
      </c>
      <c r="C18" s="61">
        <f>Person4!H1 - SUMPRODUCT(((H2:CG1000="u") + (H2:CG1000="h")*0.5) * (MOD(COLUMN(H2:CG2),7)=1))</f>
        <v>30</v>
      </c>
      <c r="D18" s="7">
        <f t="shared" si="0"/>
        <v>46039</v>
      </c>
      <c r="E18" s="8" t="str">
        <f>IF(COUNTIF('Tage Person1 Aus.'!$V$3:$AA$100, D18)&gt;0, "S",IF(COUNTIF('Tage Person1 Aus.'!$A$3:$O$100, D18)&gt;0, "U",IF(COUNTIF('Tage Person1 Aus.'!$AE$3:$AI$100, D18)&gt;0, "h", "")))</f>
        <v/>
      </c>
      <c r="F18" s="8" t="str">
        <f>IF(COUNTIF('Tage Person2 Aus.2'!$V$3:$AA$100, D18)&gt;0, "S",IF(COUNTIF('Tage Person2 Aus.2'!$A$3:$O$100, D18)&gt;0, "U",IF(COUNTIF('Tage Person2 Aus.2'!$AE$3:$AI$100, D18)&gt;0, "h", "")))</f>
        <v/>
      </c>
      <c r="G18" s="8" t="str">
        <f>IF(COUNTIF('Tage Person3 Aus.3'!$V$3:$AA$100, D18)&gt;0, "S",IF(COUNTIF('Tage Person3 Aus.3'!$A$3:$O$100, D18)&gt;0, "U",IF(COUNTIF('Tage Person3 Aus.3'!$AE$3:$AI$100, D18)&gt;0, "h", "")))</f>
        <v/>
      </c>
      <c r="H18" s="8" t="str">
        <f>IF(COUNTIF('Tage Person4 Aus.4'!$V$3:$AA$100, D18)&gt;0, "S",IF(COUNTIF('Tage Person4 Aus.4'!$A$3:$O$100, D18)&gt;0, "U",IF(COUNTIF('Tage Person4 Aus.4'!$AE$3:$AI$100, D18)&gt;0, "h", "")))</f>
        <v/>
      </c>
      <c r="I18" s="8" t="str">
        <f>IF(COUNTIF('Tage ferien Aus.'!$A$3:$O$100, D18)&gt;0, "E", "")</f>
        <v/>
      </c>
      <c r="J18" s="8" t="str">
        <f>IF(COUNTIF('Tage feiertage Aus.'!$A$3:$O$100, D18)&gt;0, "f", "")</f>
        <v/>
      </c>
      <c r="K18" s="7">
        <f t="shared" si="1"/>
        <v>46070</v>
      </c>
      <c r="L18" s="8" t="str">
        <f>IF(COUNTIF('Tage Person1 Aus.'!$V$3:$AA$100, K18)&gt;0, "S",IF(COUNTIF('Tage Person1 Aus.'!$A$3:$O$100, K18)&gt;0, "U",IF(COUNTIF('Tage Person1 Aus.'!$AE$3:$AI$100, K18)&gt;0, "h", "")))</f>
        <v/>
      </c>
      <c r="M18" s="8" t="str">
        <f>IF(COUNTIF('Tage Person2 Aus.2'!$V$3:$AA$100, K18)&gt;0, "S",IF(COUNTIF('Tage Person2 Aus.2'!$A$3:$O$100, K18)&gt;0, "U",IF(COUNTIF('Tage Person2 Aus.2'!$AE$3:$AI$100, K18)&gt;0, "h", "")))</f>
        <v/>
      </c>
      <c r="N18" s="8" t="str">
        <f>IF(COUNTIF('Tage Person3 Aus.3'!$V$3:$AA$100, K18)&gt;0, "S",IF(COUNTIF('Tage Person3 Aus.3'!$A$3:$O$100, K18)&gt;0, "U",IF(COUNTIF('Tage Person3 Aus.3'!$AE$3:$AI$100, K18)&gt;0, "h", "")))</f>
        <v/>
      </c>
      <c r="O18" s="8" t="str">
        <f>IF(COUNTIF('Tage Person4 Aus.4'!$V$3:$AA$100, K18)&gt;0, "S",IF(COUNTIF('Tage Person4 Aus.4'!$A$3:$O$100, K18)&gt;0, "U",IF(COUNTIF('Tage Person4 Aus.4'!$AE$3:$AI$100, K18)&gt;0, "h", "")))</f>
        <v/>
      </c>
      <c r="P18" s="8" t="str">
        <f>IF(COUNTIF('Tage ferien Aus.'!$A$3:$O$100, K18)&gt;0, "E", "")</f>
        <v/>
      </c>
      <c r="Q18" s="8" t="str">
        <f>IF(COUNTIF('Tage feiertage Aus.'!$A$3:$O$100, K18)&gt;0, "f", "")</f>
        <v/>
      </c>
      <c r="R18" s="7">
        <f t="shared" si="2"/>
        <v>46098</v>
      </c>
      <c r="S18" s="8" t="str">
        <f>IF(COUNTIF('Tage Person1 Aus.'!$V$3:$AA$100, R18)&gt;0, "S",IF(COUNTIF('Tage Person1 Aus.'!$A$3:$O$100, R18)&gt;0, "U",IF(COUNTIF('Tage Person1 Aus.'!$AE$3:$AI$100, R18)&gt;0, "h", "")))</f>
        <v/>
      </c>
      <c r="T18" s="8" t="str">
        <f>IF(COUNTIF('Tage Person2 Aus.2'!$V$3:$AA$100, R18)&gt;0, "S",IF(COUNTIF('Tage Person2 Aus.2'!$A$3:$O$100, R18)&gt;0, "U",IF(COUNTIF('Tage Person2 Aus.2'!$AE$3:$AI$100, R18)&gt;0, "h", "")))</f>
        <v/>
      </c>
      <c r="U18" s="8" t="str">
        <f>IF(COUNTIF('Tage Person3 Aus.3'!$V$3:$AA$100, R18)&gt;0, "S",IF(COUNTIF('Tage Person3 Aus.3'!$A$3:$O$100, R18)&gt;0, "U",IF(COUNTIF('Tage Person3 Aus.3'!$AE$3:$AI$100, R18)&gt;0, "h", "")))</f>
        <v/>
      </c>
      <c r="V18" s="8" t="str">
        <f>IF(COUNTIF('Tage Person4 Aus.4'!$V$3:$AA$100, R18)&gt;0, "S",IF(COUNTIF('Tage Person4 Aus.4'!$A$3:$O$100, R18)&gt;0, "U",IF(COUNTIF('Tage Person4 Aus.4'!$AE$3:$AI$100, R18)&gt;0, "h", "")))</f>
        <v/>
      </c>
      <c r="W18" s="8" t="str">
        <f>IF(COUNTIF('Tage ferien Aus.'!$A$3:$O$100, R18)&gt;0, "E", "")</f>
        <v/>
      </c>
      <c r="X18" s="8" t="str">
        <f>IF(COUNTIF('Tage feiertage Aus.'!$A$3:$O$100, R18)&gt;0, "f", "")</f>
        <v/>
      </c>
      <c r="Y18" s="7">
        <f t="shared" si="3"/>
        <v>46129</v>
      </c>
      <c r="Z18" s="8" t="str">
        <f>IF(COUNTIF('Tage Person1 Aus.'!$V$3:$AA$100, Y18)&gt;0, "S",IF(COUNTIF('Tage Person1 Aus.'!$A$3:$O$100, Y18)&gt;0, "U",IF(COUNTIF('Tage Person1 Aus.'!$AE$3:$AI$100, Y18)&gt;0, "h", "")))</f>
        <v/>
      </c>
      <c r="AA18" s="8" t="str">
        <f>IF(COUNTIF('Tage Person2 Aus.2'!$V$3:$AA$100, Y18)&gt;0, "S",IF(COUNTIF('Tage Person2 Aus.2'!$A$3:$O$100, Y18)&gt;0, "U",IF(COUNTIF('Tage Person2 Aus.2'!$AE$3:$AI$100, Y18)&gt;0, "h", "")))</f>
        <v/>
      </c>
      <c r="AB18" s="8" t="str">
        <f>IF(COUNTIF('Tage Person3 Aus.3'!$V$3:$AA$100, Y18)&gt;0, "S",IF(COUNTIF('Tage Person3 Aus.3'!$A$3:$O$100, Y18)&gt;0, "U",IF(COUNTIF('Tage Person3 Aus.3'!$AE$3:$AI$100, Y18)&gt;0, "h", "")))</f>
        <v/>
      </c>
      <c r="AC18" s="8" t="str">
        <f>IF(COUNTIF('Tage Person4 Aus.4'!$V$3:$AA$100, Y18)&gt;0, "S",IF(COUNTIF('Tage Person4 Aus.4'!$A$3:$O$100, Y18)&gt;0, "U",IF(COUNTIF('Tage Person4 Aus.4'!$AE$3:$AI$100, Y18)&gt;0, "h", "")))</f>
        <v/>
      </c>
      <c r="AD18" s="8" t="str">
        <f>IF(COUNTIF('Tage ferien Aus.'!$A$3:$O$100, Y18)&gt;0, "E", "")</f>
        <v/>
      </c>
      <c r="AE18" s="8" t="str">
        <f>IF(COUNTIF('Tage feiertage Aus.'!$A$3:$O$100, Y18)&gt;0, "f", "")</f>
        <v/>
      </c>
      <c r="AF18" s="7">
        <f t="shared" si="4"/>
        <v>46159</v>
      </c>
      <c r="AG18" s="9" t="str">
        <f>IF(COUNTIF('Tage Person1 Aus.'!$V$3:$AA$100, AF18)&gt;0, "S",IF(COUNTIF('Tage Person1 Aus.'!$A$3:$O$100, AF18)&gt;0, "U",IF(COUNTIF('Tage Person1 Aus.'!$AE$3:$AI$100, AF18)&gt;0, "h", "")))</f>
        <v/>
      </c>
      <c r="AH18" s="8" t="str">
        <f>IF(COUNTIF('Tage Person2 Aus.2'!$V$3:$AA$100, AF18)&gt;0, "S",IF(COUNTIF('Tage Person2 Aus.2'!$A$3:$O$100, AF18)&gt;0, "U",IF(COUNTIF('Tage Person2 Aus.2'!$AE$3:$AI$100, AF18)&gt;0, "h", "")))</f>
        <v/>
      </c>
      <c r="AI18" s="8" t="str">
        <f>IF(COUNTIF('Tage Person3 Aus.3'!$V$3:$AA$100, AF18)&gt;0, "S",IF(COUNTIF('Tage Person3 Aus.3'!$A$3:$O$100, AF18)&gt;0, "U",IF(COUNTIF('Tage Person3 Aus.3'!$AE$3:$AI$100, AF18)&gt;0, "h", "")))</f>
        <v/>
      </c>
      <c r="AJ18" s="8" t="str">
        <f>IF(COUNTIF('Tage Person4 Aus.4'!$V$3:$AA$100, AF18)&gt;0, "S",IF(COUNTIF('Tage Person4 Aus.4'!$A$3:$O$100, AF18)&gt;0, "U",IF(COUNTIF('Tage Person4 Aus.4'!$AE$3:$AI$100, AF18)&gt;0, "h", "")))</f>
        <v/>
      </c>
      <c r="AK18" s="8" t="str">
        <f>IF(COUNTIF('Tage ferien Aus.'!$A$3:$O$100, AF18)&gt;0, "E", "")</f>
        <v/>
      </c>
      <c r="AL18" s="8" t="str">
        <f>IF(COUNTIF('Tage feiertage Aus.'!$A$3:$O$100, AF18)&gt;0, "f", "")</f>
        <v/>
      </c>
      <c r="AM18" s="7">
        <f t="shared" si="5"/>
        <v>46190</v>
      </c>
      <c r="AN18" s="8" t="str">
        <f>IF(COUNTIF('Tage Person1 Aus.'!$V$3:$AA$100, AM18)&gt;0, "S",IF(COUNTIF('Tage Person1 Aus.'!$A$3:$O$100, AM18)&gt;0, "U",IF(COUNTIF('Tage Person1 Aus.'!$AE$3:$AI$100, AM18)&gt;0, "h", "")))</f>
        <v/>
      </c>
      <c r="AO18" s="8" t="str">
        <f>IF(COUNTIF('Tage Person2 Aus.2'!$V$3:$AA$100, AM18)&gt;0, "S",IF(COUNTIF('Tage Person2 Aus.2'!$A$3:$O$100, AM18)&gt;0, "U",IF(COUNTIF('Tage Person2 Aus.2'!$AE$3:$AI$100, AM18)&gt;0, "h", "")))</f>
        <v/>
      </c>
      <c r="AP18" s="8" t="str">
        <f>IF(COUNTIF('Tage Person3 Aus.3'!$V$3:$AA$100, AM18)&gt;0, "S",IF(COUNTIF('Tage Person3 Aus.3'!$A$3:$O$100, AM18)&gt;0, "U",IF(COUNTIF('Tage Person3 Aus.3'!$AE$3:$AI$100, AM18)&gt;0, "h", "")))</f>
        <v/>
      </c>
      <c r="AQ18" s="8" t="str">
        <f>IF(COUNTIF('Tage Person4 Aus.4'!$V$3:$AA$100, AM18)&gt;0, "S",IF(COUNTIF('Tage Person4 Aus.4'!$A$3:$O$100, AM18)&gt;0, "U",IF(COUNTIF('Tage Person4 Aus.4'!$AE$3:$AI$100, AM18)&gt;0, "h", "")))</f>
        <v/>
      </c>
      <c r="AR18" s="8" t="str">
        <f>IF(COUNTIF('Tage ferien Aus.'!$A$3:$O$100, AM18)&gt;0, "E", "")</f>
        <v/>
      </c>
      <c r="AS18" s="8" t="str">
        <f>IF(COUNTIF('Tage feiertage Aus.'!$A$3:$O$100, AM18)&gt;0, "f", "")</f>
        <v/>
      </c>
      <c r="AT18" s="7">
        <f t="shared" si="6"/>
        <v>46220</v>
      </c>
      <c r="AU18" s="8" t="str">
        <f>IF(COUNTIF('Tage Person1 Aus.'!$V$3:$AA$100, AT18)&gt;0, "S",IF(COUNTIF('Tage Person1 Aus.'!$A$3:$O$100, AT18)&gt;0, "U",IF(COUNTIF('Tage Person1 Aus.'!$AE$3:$AI$100, AT18)&gt;0, "h", "")))</f>
        <v/>
      </c>
      <c r="AV18" s="8" t="str">
        <f>IF(COUNTIF('Tage Person2 Aus.2'!$V$3:$AA$100, AT18)&gt;0, "S",IF(COUNTIF('Tage Person2 Aus.2'!$A$3:$O$100, AT18)&gt;0, "U",IF(COUNTIF('Tage Person2 Aus.2'!$AE$3:$AI$100, AT18)&gt;0, "h", "")))</f>
        <v/>
      </c>
      <c r="AW18" s="8" t="str">
        <f>IF(COUNTIF('Tage Person3 Aus.3'!$V$3:$AA$100, AT18)&gt;0, "S",IF(COUNTIF('Tage Person3 Aus.3'!$A$3:$O$100, AT18)&gt;0, "U",IF(COUNTIF('Tage Person3 Aus.3'!$AE$3:$AI$100, AT18)&gt;0, "h", "")))</f>
        <v/>
      </c>
      <c r="AX18" s="8" t="str">
        <f>IF(COUNTIF('Tage Person4 Aus.4'!$V$3:$AA$100, AT18)&gt;0, "S",IF(COUNTIF('Tage Person4 Aus.4'!$A$3:$O$100, AT18)&gt;0, "U",IF(COUNTIF('Tage Person4 Aus.4'!$AE$3:$AI$100, AT18)&gt;0, "h", "")))</f>
        <v/>
      </c>
      <c r="AY18" s="8" t="str">
        <f>IF(COUNTIF('Tage ferien Aus.'!$A$3:$O$100, AT18)&gt;0, "E", "")</f>
        <v/>
      </c>
      <c r="AZ18" s="8" t="str">
        <f>IF(COUNTIF('Tage feiertage Aus.'!$A$3:$O$100, AT18)&gt;0, "f", "")</f>
        <v/>
      </c>
      <c r="BA18" s="7">
        <f t="shared" si="7"/>
        <v>46251</v>
      </c>
      <c r="BB18" s="8" t="str">
        <f>IF(COUNTIF('Tage Person1 Aus.'!$V$3:$AA$100, BA18)&gt;0, "S",IF(COUNTIF('Tage Person1 Aus.'!$A$3:$O$100, BA18)&gt;0, "U",IF(COUNTIF('Tage Person1 Aus.'!$AE$3:$AI$100, BA18)&gt;0, "h", "")))</f>
        <v/>
      </c>
      <c r="BC18" s="8" t="str">
        <f>IF(COUNTIF('Tage Person2 Aus.2'!$V$3:$AA$100, BA18)&gt;0, "S",IF(COUNTIF('Tage Person2 Aus.2'!$A$3:$O$100, BA18)&gt;0, "U",IF(COUNTIF('Tage Person2 Aus.2'!$AE$3:$AI$100, BA18)&gt;0, "h", "")))</f>
        <v/>
      </c>
      <c r="BD18" s="8" t="str">
        <f>IF(COUNTIF('Tage Person3 Aus.3'!$V$3:$AA$100, BA18)&gt;0, "S",IF(COUNTIF('Tage Person3 Aus.3'!$A$3:$O$100, BA18)&gt;0, "U",IF(COUNTIF('Tage Person3 Aus.3'!$AE$3:$AI$100, BA18)&gt;0, "h", "")))</f>
        <v/>
      </c>
      <c r="BE18" s="8" t="str">
        <f>IF(COUNTIF('Tage Person4 Aus.4'!$V$3:$AA$100, BA18)&gt;0, "S",IF(COUNTIF('Tage Person4 Aus.4'!$A$3:$O$100, BA18)&gt;0, "U",IF(COUNTIF('Tage Person4 Aus.4'!$AE$3:$AI$100, BA18)&gt;0, "h", "")))</f>
        <v/>
      </c>
      <c r="BF18" s="8" t="str">
        <f>IF(COUNTIF('Tage ferien Aus.'!$A$3:$O$100, BA18)&gt;0, "E", "")</f>
        <v>E</v>
      </c>
      <c r="BG18" s="8" t="str">
        <f>IF(COUNTIF('Tage feiertage Aus.'!$A$3:$O$100, BA18)&gt;0, "f", "")</f>
        <v/>
      </c>
      <c r="BH18" s="7">
        <f t="shared" si="8"/>
        <v>46282</v>
      </c>
      <c r="BI18" s="8" t="str">
        <f>IF(COUNTIF('Tage Person1 Aus.'!$V$3:$AA$100, BH18)&gt;0, "S",IF(COUNTIF('Tage Person1 Aus.'!$A$3:$O$100, BH18)&gt;0, "U",IF(COUNTIF('Tage Person1 Aus.'!$AE$3:$AI$100, BH18)&gt;0, "h", "")))</f>
        <v/>
      </c>
      <c r="BJ18" s="8" t="str">
        <f>IF(COUNTIF('Tage Person2 Aus.2'!$V$3:$AA$100, BH18)&gt;0, "S",IF(COUNTIF('Tage Person2 Aus.2'!$A$3:$O$100, BH18)&gt;0, "U",IF(COUNTIF('Tage Person2 Aus.2'!$AE$3:$AI$100, BH18)&gt;0, "h", "")))</f>
        <v/>
      </c>
      <c r="BK18" s="8" t="str">
        <f>IF(COUNTIF('Tage Person3 Aus.3'!$V$3:$AA$100, BH18)&gt;0, "S",IF(COUNTIF('Tage Person3 Aus.3'!$A$3:$O$100, BH18)&gt;0, "U",IF(COUNTIF('Tage Person3 Aus.3'!$AE$3:$AI$100, BH18)&gt;0, "h", "")))</f>
        <v/>
      </c>
      <c r="BL18" s="8" t="str">
        <f>IF(COUNTIF('Tage Person4 Aus.4'!$V$3:$AA$100, BH18)&gt;0, "S",IF(COUNTIF('Tage Person4 Aus.4'!$A$3:$O$100, BH18)&gt;0, "U",IF(COUNTIF('Tage Person4 Aus.4'!$AE$3:$AI$100, BH18)&gt;0, "h", "")))</f>
        <v/>
      </c>
      <c r="BM18" s="8" t="str">
        <f>IF(COUNTIF('Tage ferien Aus.'!$A$3:$O$100, BH18)&gt;0, "E", "")</f>
        <v/>
      </c>
      <c r="BN18" s="8" t="str">
        <f>IF(COUNTIF('Tage feiertage Aus.'!$A$3:$O$100, BH18)&gt;0, "f", "")</f>
        <v/>
      </c>
      <c r="BO18" s="7">
        <f t="shared" si="9"/>
        <v>46312</v>
      </c>
      <c r="BP18" s="8" t="str">
        <f>IF(COUNTIF('Tage Person1 Aus.'!$V$3:$AA$100, BO18)&gt;0, "S",IF(COUNTIF('Tage Person1 Aus.'!$A$3:$O$100, BO18)&gt;0, "U",IF(COUNTIF('Tage Person1 Aus.'!$AE$3:$AI$100, BO18)&gt;0, "h", "")))</f>
        <v/>
      </c>
      <c r="BQ18" s="8" t="str">
        <f>IF(COUNTIF('Tage Person2 Aus.2'!$V$3:$AA$100, BO18)&gt;0, "S",IF(COUNTIF('Tage Person2 Aus.2'!$A$3:$O$100, BO18)&gt;0, "U",IF(COUNTIF('Tage Person2 Aus.2'!$AE$3:$AI$100, BO18)&gt;0, "h", "")))</f>
        <v/>
      </c>
      <c r="BR18" s="8" t="str">
        <f>IF(COUNTIF('Tage Person3 Aus.3'!$V$3:$AA$100, BO18)&gt;0, "S",IF(COUNTIF('Tage Person3 Aus.3'!$A$3:$O$100, BO18)&gt;0, "U",IF(COUNTIF('Tage Person3 Aus.3'!$AE$3:$AI$100, BO18)&gt;0, "h", "")))</f>
        <v/>
      </c>
      <c r="BS18" s="8" t="str">
        <f>IF(COUNTIF('Tage Person4 Aus.4'!$V$3:$AA$100, BO18)&gt;0, "S",IF(COUNTIF('Tage Person4 Aus.4'!$A$3:$O$100, BO18)&gt;0, "U",IF(COUNTIF('Tage Person4 Aus.4'!$AE$3:$AI$100, BO18)&gt;0, "h", "")))</f>
        <v/>
      </c>
      <c r="BT18" s="8" t="str">
        <f>IF(COUNTIF('Tage ferien Aus.'!$A$3:$O$100, BO18)&gt;0, "E", "")</f>
        <v>E</v>
      </c>
      <c r="BU18" s="8" t="str">
        <f>IF(COUNTIF('Tage feiertage Aus.'!$A$3:$O$100, BO18)&gt;0, "f", "")</f>
        <v/>
      </c>
      <c r="BV18" s="7">
        <f t="shared" si="10"/>
        <v>46343</v>
      </c>
      <c r="BW18" s="8" t="str">
        <f>IF(COUNTIF('Tage Person1 Aus.'!$V$3:$AA$100, BV18)&gt;0, "S",IF(COUNTIF('Tage Person1 Aus.'!$A$3:$O$100, BV18)&gt;0, "U",IF(COUNTIF('Tage Person1 Aus.'!$AE$3:$AI$100, BV18)&gt;0, "h", "")))</f>
        <v/>
      </c>
      <c r="BX18" s="8" t="str">
        <f>IF(COUNTIF('Tage Person2 Aus.2'!$V$3:$AA$100, BV18)&gt;0, "S",IF(COUNTIF('Tage Person2 Aus.2'!$A$3:$O$100, BV18)&gt;0, "U",IF(COUNTIF('Tage Person2 Aus.2'!$AE$3:$AI$100, BV18)&gt;0, "h", "")))</f>
        <v/>
      </c>
      <c r="BY18" s="8" t="str">
        <f>IF(COUNTIF('Tage Person3 Aus.3'!$V$3:$AA$100, BV18)&gt;0, "S",IF(COUNTIF('Tage Person3 Aus.3'!$A$3:$O$100, BV18)&gt;0, "U",IF(COUNTIF('Tage Person3 Aus.3'!$AE$3:$AI$100, BV18)&gt;0, "h", "")))</f>
        <v/>
      </c>
      <c r="BZ18" s="8" t="str">
        <f>IF(COUNTIF('Tage Person4 Aus.4'!$V$3:$AA$100, BV18)&gt;0, "S",IF(COUNTIF('Tage Person4 Aus.4'!$A$3:$O$100, BV18)&gt;0, "U",IF(COUNTIF('Tage Person4 Aus.4'!$AE$3:$AI$100, BV18)&gt;0, "h", "")))</f>
        <v/>
      </c>
      <c r="CA18" s="8" t="str">
        <f>IF(COUNTIF('Tage ferien Aus.'!$A$3:$O$100, BV18)&gt;0, "E", "")</f>
        <v/>
      </c>
      <c r="CB18" s="8" t="str">
        <f>IF(COUNTIF('Tage feiertage Aus.'!$A$3:$O$100, BV18)&gt;0, "f", "")</f>
        <v/>
      </c>
      <c r="CC18" s="7">
        <f t="shared" si="11"/>
        <v>46373</v>
      </c>
      <c r="CD18" s="10" t="str">
        <f>IF(COUNTIF('Tage Person1 Aus.'!$V$3:$AA$100, CC18)&gt;0, "S",IF(COUNTIF('Tage Person1 Aus.'!$A$3:$O$100, CC18)&gt;0, "U",IF(COUNTIF('Tage Person1 Aus.'!$AE$3:$AI$100, CC18)&gt;0, "h", "")))</f>
        <v/>
      </c>
      <c r="CE18" s="11" t="str">
        <f>IF(COUNTIF('Tage Person2 Aus.2'!$V$3:$AA$100, CC18)&gt;0, "S",IF(COUNTIF('Tage Person2 Aus.2'!$A$3:$O$100, CC18)&gt;0, "U",IF(COUNTIF('Tage Person2 Aus.2'!$AE$3:$AI$100, CC18)&gt;0, "h", "")))</f>
        <v/>
      </c>
      <c r="CF18" s="12" t="str">
        <f>IF(COUNTIF('Tage Person3 Aus.3'!$V$3:$AA$100, CC18)&gt;0, "S",IF(COUNTIF('Tage Person3 Aus.3'!$A$3:$O$100, CC18)&gt;0, "U",IF(COUNTIF('Tage Person3 Aus.3'!$AE$3:$AI$100, CC18)&gt;0, "h", "")))</f>
        <v/>
      </c>
      <c r="CG18" s="10" t="str">
        <f>IF(COUNTIF('Tage Person4 Aus.4'!$V$3:$AA$100, CC18)&gt;0, "S",IF(COUNTIF('Tage Person4 Aus.4'!$A$3:$O$100, CC18)&gt;0, "U",IF(COUNTIF('Tage Person4 Aus.4'!$AE$3:$AI$100, CC18)&gt;0, "h", "")))</f>
        <v/>
      </c>
      <c r="CH18" s="11" t="str">
        <f>IF(COUNTIF('Tage ferien Aus.'!$A$3:$O$100, CC18)&gt;0, "E", "")</f>
        <v/>
      </c>
      <c r="CI18" s="12" t="str">
        <f>IF(COUNTIF('Tage feiertage Aus.'!$A$3:$O$100, CC18)&gt;0, "f", "")</f>
        <v/>
      </c>
      <c r="CJ18" s="4"/>
      <c r="CK18" s="4"/>
      <c r="CL18" s="6"/>
      <c r="CM18" s="4"/>
      <c r="CN18" s="2"/>
      <c r="CO18" s="3"/>
      <c r="CP18" s="4"/>
      <c r="CQ18" s="2"/>
      <c r="CR18" s="3"/>
      <c r="CS18" s="4"/>
      <c r="CT18" s="4"/>
      <c r="CU18" s="6"/>
      <c r="CV18" s="4"/>
      <c r="CW18" s="4"/>
      <c r="CX18" s="6"/>
      <c r="CY18" s="4"/>
    </row>
    <row r="19" spans="1:103" x14ac:dyDescent="0.3">
      <c r="A19" s="66"/>
      <c r="B19" s="58"/>
      <c r="C19" s="61"/>
      <c r="D19" s="7">
        <f t="shared" si="0"/>
        <v>46040</v>
      </c>
      <c r="E19" s="8" t="str">
        <f>IF(COUNTIF('Tage Person1 Aus.'!$V$3:$AA$100, D19)&gt;0, "S",IF(COUNTIF('Tage Person1 Aus.'!$A$3:$O$100, D19)&gt;0, "U",IF(COUNTIF('Tage Person1 Aus.'!$AE$3:$AI$100, D19)&gt;0, "h", "")))</f>
        <v/>
      </c>
      <c r="F19" s="8" t="str">
        <f>IF(COUNTIF('Tage Person2 Aus.2'!$V$3:$AA$100, D19)&gt;0, "S",IF(COUNTIF('Tage Person2 Aus.2'!$A$3:$O$100, D19)&gt;0, "U",IF(COUNTIF('Tage Person2 Aus.2'!$AE$3:$AI$100, D19)&gt;0, "h", "")))</f>
        <v/>
      </c>
      <c r="G19" s="8" t="str">
        <f>IF(COUNTIF('Tage Person3 Aus.3'!$V$3:$AA$100, D19)&gt;0, "S",IF(COUNTIF('Tage Person3 Aus.3'!$A$3:$O$100, D19)&gt;0, "U",IF(COUNTIF('Tage Person3 Aus.3'!$AE$3:$AI$100, D19)&gt;0, "h", "")))</f>
        <v/>
      </c>
      <c r="H19" s="8"/>
      <c r="I19" s="8" t="str">
        <f>IF(COUNTIF('Tage ferien Aus.'!$A$3:$O$100, D19)&gt;0, "E", "")</f>
        <v/>
      </c>
      <c r="J19" s="8" t="str">
        <f>IF(COUNTIF('Tage feiertage Aus.'!$A$3:$O$100, D19)&gt;0, "f", "")</f>
        <v/>
      </c>
      <c r="K19" s="7">
        <f t="shared" si="1"/>
        <v>46071</v>
      </c>
      <c r="L19" s="8" t="str">
        <f>IF(COUNTIF('Tage Person1 Aus.'!$V$3:$AA$100, K19)&gt;0, "S",IF(COUNTIF('Tage Person1 Aus.'!$A$3:$O$100, K19)&gt;0, "U",IF(COUNTIF('Tage Person1 Aus.'!$AE$3:$AI$100, K19)&gt;0, "h", "")))</f>
        <v/>
      </c>
      <c r="M19" s="8" t="str">
        <f>IF(COUNTIF('Tage Person2 Aus.2'!$V$3:$AA$100, K19)&gt;0, "S",IF(COUNTIF('Tage Person2 Aus.2'!$A$3:$O$100, K19)&gt;0, "U",IF(COUNTIF('Tage Person2 Aus.2'!$AE$3:$AI$100, K19)&gt;0, "h", "")))</f>
        <v/>
      </c>
      <c r="N19" s="8" t="str">
        <f>IF(COUNTIF('Tage Person3 Aus.3'!$V$3:$AA$100, K19)&gt;0, "S",IF(COUNTIF('Tage Person3 Aus.3'!$A$3:$O$100, K19)&gt;0, "U",IF(COUNTIF('Tage Person3 Aus.3'!$AE$3:$AI$100, K19)&gt;0, "h", "")))</f>
        <v/>
      </c>
      <c r="O19" s="8" t="str">
        <f>IF(COUNTIF('Tage Person4 Aus.4'!$V$3:$AA$100, K19)&gt;0, "S",IF(COUNTIF('Tage Person4 Aus.4'!$A$3:$O$100, K19)&gt;0, "U",IF(COUNTIF('Tage Person4 Aus.4'!$AE$3:$AI$100, K19)&gt;0, "h", "")))</f>
        <v/>
      </c>
      <c r="P19" s="8" t="str">
        <f>IF(COUNTIF('Tage ferien Aus.'!$A$3:$O$100, K19)&gt;0, "E", "")</f>
        <v/>
      </c>
      <c r="Q19" s="8" t="str">
        <f>IF(COUNTIF('Tage feiertage Aus.'!$A$3:$O$100, K19)&gt;0, "f", "")</f>
        <v/>
      </c>
      <c r="R19" s="7">
        <f t="shared" si="2"/>
        <v>46099</v>
      </c>
      <c r="S19" s="8" t="str">
        <f>IF(COUNTIF('Tage Person1 Aus.'!$V$3:$AA$100, R19)&gt;0, "S",IF(COUNTIF('Tage Person1 Aus.'!$A$3:$O$100, R19)&gt;0, "U",IF(COUNTIF('Tage Person1 Aus.'!$AE$3:$AI$100, R19)&gt;0, "h", "")))</f>
        <v/>
      </c>
      <c r="T19" s="8" t="str">
        <f>IF(COUNTIF('Tage Person2 Aus.2'!$V$3:$AA$100, R19)&gt;0, "S",IF(COUNTIF('Tage Person2 Aus.2'!$A$3:$O$100, R19)&gt;0, "U",IF(COUNTIF('Tage Person2 Aus.2'!$AE$3:$AI$100, R19)&gt;0, "h", "")))</f>
        <v/>
      </c>
      <c r="U19" s="8" t="str">
        <f>IF(COUNTIF('Tage Person3 Aus.3'!$V$3:$AA$100, R19)&gt;0, "S",IF(COUNTIF('Tage Person3 Aus.3'!$A$3:$O$100, R19)&gt;0, "U",IF(COUNTIF('Tage Person3 Aus.3'!$AE$3:$AI$100, R19)&gt;0, "h", "")))</f>
        <v/>
      </c>
      <c r="V19" s="8" t="str">
        <f>IF(COUNTIF('Tage Person4 Aus.4'!$V$3:$AA$100, R19)&gt;0, "S",IF(COUNTIF('Tage Person4 Aus.4'!$A$3:$O$100, R19)&gt;0, "U",IF(COUNTIF('Tage Person4 Aus.4'!$AE$3:$AI$100, R19)&gt;0, "h", "")))</f>
        <v/>
      </c>
      <c r="W19" s="8" t="str">
        <f>IF(COUNTIF('Tage ferien Aus.'!$A$3:$O$100, R19)&gt;0, "E", "")</f>
        <v/>
      </c>
      <c r="X19" s="8" t="str">
        <f>IF(COUNTIF('Tage feiertage Aus.'!$A$3:$O$100, R19)&gt;0, "f", "")</f>
        <v/>
      </c>
      <c r="Y19" s="7">
        <f t="shared" si="3"/>
        <v>46130</v>
      </c>
      <c r="Z19" s="8" t="str">
        <f>IF(COUNTIF('Tage Person1 Aus.'!$V$3:$AA$100, Y19)&gt;0, "S",IF(COUNTIF('Tage Person1 Aus.'!$A$3:$O$100, Y19)&gt;0, "U",IF(COUNTIF('Tage Person1 Aus.'!$AE$3:$AI$100, Y19)&gt;0, "h", "")))</f>
        <v/>
      </c>
      <c r="AA19" s="8" t="str">
        <f>IF(COUNTIF('Tage Person2 Aus.2'!$V$3:$AA$100, Y19)&gt;0, "S",IF(COUNTIF('Tage Person2 Aus.2'!$A$3:$O$100, Y19)&gt;0, "U",IF(COUNTIF('Tage Person2 Aus.2'!$AE$3:$AI$100, Y19)&gt;0, "h", "")))</f>
        <v/>
      </c>
      <c r="AB19" s="8" t="str">
        <f>IF(COUNTIF('Tage Person3 Aus.3'!$V$3:$AA$100, Y19)&gt;0, "S",IF(COUNTIF('Tage Person3 Aus.3'!$A$3:$O$100, Y19)&gt;0, "U",IF(COUNTIF('Tage Person3 Aus.3'!$AE$3:$AI$100, Y19)&gt;0, "h", "")))</f>
        <v/>
      </c>
      <c r="AC19" s="8" t="str">
        <f>IF(COUNTIF('Tage Person4 Aus.4'!$V$3:$AA$100, Y19)&gt;0, "S",IF(COUNTIF('Tage Person4 Aus.4'!$A$3:$O$100, Y19)&gt;0, "U",IF(COUNTIF('Tage Person4 Aus.4'!$AE$3:$AI$100, Y19)&gt;0, "h", "")))</f>
        <v/>
      </c>
      <c r="AD19" s="8" t="str">
        <f>IF(COUNTIF('Tage ferien Aus.'!$A$3:$O$100, Y19)&gt;0, "E", "")</f>
        <v/>
      </c>
      <c r="AE19" s="8" t="str">
        <f>IF(COUNTIF('Tage feiertage Aus.'!$A$3:$O$100, Y19)&gt;0, "f", "")</f>
        <v/>
      </c>
      <c r="AF19" s="7">
        <f t="shared" si="4"/>
        <v>46160</v>
      </c>
      <c r="AG19" s="9" t="str">
        <f>IF(COUNTIF('Tage Person1 Aus.'!$V$3:$AA$100, AF19)&gt;0, "S",IF(COUNTIF('Tage Person1 Aus.'!$A$3:$O$100, AF19)&gt;0, "U",IF(COUNTIF('Tage Person1 Aus.'!$AE$3:$AI$100, AF19)&gt;0, "h", "")))</f>
        <v/>
      </c>
      <c r="AH19" s="8" t="str">
        <f>IF(COUNTIF('Tage Person2 Aus.2'!$V$3:$AA$100, AF19)&gt;0, "S",IF(COUNTIF('Tage Person2 Aus.2'!$A$3:$O$100, AF19)&gt;0, "U",IF(COUNTIF('Tage Person2 Aus.2'!$AE$3:$AI$100, AF19)&gt;0, "h", "")))</f>
        <v/>
      </c>
      <c r="AI19" s="8" t="str">
        <f>IF(COUNTIF('Tage Person3 Aus.3'!$V$3:$AA$100, AF19)&gt;0, "S",IF(COUNTIF('Tage Person3 Aus.3'!$A$3:$O$100, AF19)&gt;0, "U",IF(COUNTIF('Tage Person3 Aus.3'!$AE$3:$AI$100, AF19)&gt;0, "h", "")))</f>
        <v/>
      </c>
      <c r="AJ19" s="8" t="str">
        <f>IF(COUNTIF('Tage Person4 Aus.4'!$V$3:$AA$100, AF19)&gt;0, "S",IF(COUNTIF('Tage Person4 Aus.4'!$A$3:$O$100, AF19)&gt;0, "U",IF(COUNTIF('Tage Person4 Aus.4'!$AE$3:$AI$100, AF19)&gt;0, "h", "")))</f>
        <v/>
      </c>
      <c r="AK19" s="8" t="str">
        <f>IF(COUNTIF('Tage ferien Aus.'!$A$3:$O$100, AF19)&gt;0, "E", "")</f>
        <v/>
      </c>
      <c r="AL19" s="8" t="str">
        <f>IF(COUNTIF('Tage feiertage Aus.'!$A$3:$O$100, AF19)&gt;0, "f", "")</f>
        <v/>
      </c>
      <c r="AM19" s="7">
        <f t="shared" si="5"/>
        <v>46191</v>
      </c>
      <c r="AN19" s="8" t="str">
        <f>IF(COUNTIF('Tage Person1 Aus.'!$V$3:$AA$100, AM19)&gt;0, "S",IF(COUNTIF('Tage Person1 Aus.'!$A$3:$O$100, AM19)&gt;0, "U",IF(COUNTIF('Tage Person1 Aus.'!$AE$3:$AI$100, AM19)&gt;0, "h", "")))</f>
        <v/>
      </c>
      <c r="AO19" s="8" t="str">
        <f>IF(COUNTIF('Tage Person2 Aus.2'!$V$3:$AA$100, AM19)&gt;0, "S",IF(COUNTIF('Tage Person2 Aus.2'!$A$3:$O$100, AM19)&gt;0, "U",IF(COUNTIF('Tage Person2 Aus.2'!$AE$3:$AI$100, AM19)&gt;0, "h", "")))</f>
        <v/>
      </c>
      <c r="AP19" s="8" t="str">
        <f>IF(COUNTIF('Tage Person3 Aus.3'!$V$3:$AA$100, AM19)&gt;0, "S",IF(COUNTIF('Tage Person3 Aus.3'!$A$3:$O$100, AM19)&gt;0, "U",IF(COUNTIF('Tage Person3 Aus.3'!$AE$3:$AI$100, AM19)&gt;0, "h", "")))</f>
        <v/>
      </c>
      <c r="AQ19" s="8" t="str">
        <f>IF(COUNTIF('Tage Person4 Aus.4'!$V$3:$AA$100, AM19)&gt;0, "S",IF(COUNTIF('Tage Person4 Aus.4'!$A$3:$O$100, AM19)&gt;0, "U",IF(COUNTIF('Tage Person4 Aus.4'!$AE$3:$AI$100, AM19)&gt;0, "h", "")))</f>
        <v/>
      </c>
      <c r="AR19" s="8" t="str">
        <f>IF(COUNTIF('Tage ferien Aus.'!$A$3:$O$100, AM19)&gt;0, "E", "")</f>
        <v/>
      </c>
      <c r="AS19" s="8" t="str">
        <f>IF(COUNTIF('Tage feiertage Aus.'!$A$3:$O$100, AM19)&gt;0, "f", "")</f>
        <v/>
      </c>
      <c r="AT19" s="7">
        <f t="shared" si="6"/>
        <v>46221</v>
      </c>
      <c r="AU19" s="8" t="str">
        <f>IF(COUNTIF('Tage Person1 Aus.'!$V$3:$AA$100, AT19)&gt;0, "S",IF(COUNTIF('Tage Person1 Aus.'!$A$3:$O$100, AT19)&gt;0, "U",IF(COUNTIF('Tage Person1 Aus.'!$AE$3:$AI$100, AT19)&gt;0, "h", "")))</f>
        <v/>
      </c>
      <c r="AV19" s="8" t="str">
        <f>IF(COUNTIF('Tage Person2 Aus.2'!$V$3:$AA$100, AT19)&gt;0, "S",IF(COUNTIF('Tage Person2 Aus.2'!$A$3:$O$100, AT19)&gt;0, "U",IF(COUNTIF('Tage Person2 Aus.2'!$AE$3:$AI$100, AT19)&gt;0, "h", "")))</f>
        <v/>
      </c>
      <c r="AW19" s="8" t="str">
        <f>IF(COUNTIF('Tage Person3 Aus.3'!$V$3:$AA$100, AT19)&gt;0, "S",IF(COUNTIF('Tage Person3 Aus.3'!$A$3:$O$100, AT19)&gt;0, "U",IF(COUNTIF('Tage Person3 Aus.3'!$AE$3:$AI$100, AT19)&gt;0, "h", "")))</f>
        <v/>
      </c>
      <c r="AX19" s="8" t="str">
        <f>IF(COUNTIF('Tage Person4 Aus.4'!$V$3:$AA$100, AT19)&gt;0, "S",IF(COUNTIF('Tage Person4 Aus.4'!$A$3:$O$100, AT19)&gt;0, "U",IF(COUNTIF('Tage Person4 Aus.4'!$AE$3:$AI$100, AT19)&gt;0, "h", "")))</f>
        <v/>
      </c>
      <c r="AY19" s="8" t="str">
        <f>IF(COUNTIF('Tage ferien Aus.'!$A$3:$O$100, AT19)&gt;0, "E", "")</f>
        <v/>
      </c>
      <c r="AZ19" s="8" t="str">
        <f>IF(COUNTIF('Tage feiertage Aus.'!$A$3:$O$100, AT19)&gt;0, "f", "")</f>
        <v/>
      </c>
      <c r="BA19" s="7">
        <f t="shared" si="7"/>
        <v>46252</v>
      </c>
      <c r="BB19" s="8" t="str">
        <f>IF(COUNTIF('Tage Person1 Aus.'!$V$3:$AA$100, BA19)&gt;0, "S",IF(COUNTIF('Tage Person1 Aus.'!$A$3:$O$100, BA19)&gt;0, "U",IF(COUNTIF('Tage Person1 Aus.'!$AE$3:$AI$100, BA19)&gt;0, "h", "")))</f>
        <v/>
      </c>
      <c r="BC19" s="8" t="str">
        <f>IF(COUNTIF('Tage Person2 Aus.2'!$V$3:$AA$100, BA19)&gt;0, "S",IF(COUNTIF('Tage Person2 Aus.2'!$A$3:$O$100, BA19)&gt;0, "U",IF(COUNTIF('Tage Person2 Aus.2'!$AE$3:$AI$100, BA19)&gt;0, "h", "")))</f>
        <v/>
      </c>
      <c r="BD19" s="8" t="str">
        <f>IF(COUNTIF('Tage Person3 Aus.3'!$V$3:$AA$100, BA19)&gt;0, "S",IF(COUNTIF('Tage Person3 Aus.3'!$A$3:$O$100, BA19)&gt;0, "U",IF(COUNTIF('Tage Person3 Aus.3'!$AE$3:$AI$100, BA19)&gt;0, "h", "")))</f>
        <v/>
      </c>
      <c r="BE19" s="8" t="str">
        <f>IF(COUNTIF('Tage Person4 Aus.4'!$V$3:$AA$100, BA19)&gt;0, "S",IF(COUNTIF('Tage Person4 Aus.4'!$A$3:$O$100, BA19)&gt;0, "U",IF(COUNTIF('Tage Person4 Aus.4'!$AE$3:$AI$100, BA19)&gt;0, "h", "")))</f>
        <v/>
      </c>
      <c r="BF19" s="8" t="str">
        <f>IF(COUNTIF('Tage ferien Aus.'!$A$3:$O$100, BA19)&gt;0, "E", "")</f>
        <v>E</v>
      </c>
      <c r="BG19" s="8" t="str">
        <f>IF(COUNTIF('Tage feiertage Aus.'!$A$3:$O$100, BA19)&gt;0, "f", "")</f>
        <v/>
      </c>
      <c r="BH19" s="7">
        <f t="shared" si="8"/>
        <v>46283</v>
      </c>
      <c r="BI19" s="8" t="str">
        <f>IF(COUNTIF('Tage Person1 Aus.'!$V$3:$AA$100, BH19)&gt;0, "S",IF(COUNTIF('Tage Person1 Aus.'!$A$3:$O$100, BH19)&gt;0, "U",IF(COUNTIF('Tage Person1 Aus.'!$AE$3:$AI$100, BH19)&gt;0, "h", "")))</f>
        <v/>
      </c>
      <c r="BJ19" s="8" t="str">
        <f>IF(COUNTIF('Tage Person2 Aus.2'!$V$3:$AA$100, BH19)&gt;0, "S",IF(COUNTIF('Tage Person2 Aus.2'!$A$3:$O$100, BH19)&gt;0, "U",IF(COUNTIF('Tage Person2 Aus.2'!$AE$3:$AI$100, BH19)&gt;0, "h", "")))</f>
        <v/>
      </c>
      <c r="BK19" s="8" t="str">
        <f>IF(COUNTIF('Tage Person3 Aus.3'!$V$3:$AA$100, BH19)&gt;0, "S",IF(COUNTIF('Tage Person3 Aus.3'!$A$3:$O$100, BH19)&gt;0, "U",IF(COUNTIF('Tage Person3 Aus.3'!$AE$3:$AI$100, BH19)&gt;0, "h", "")))</f>
        <v/>
      </c>
      <c r="BL19" s="8" t="str">
        <f>IF(COUNTIF('Tage Person4 Aus.4'!$V$3:$AA$100, BH19)&gt;0, "S",IF(COUNTIF('Tage Person4 Aus.4'!$A$3:$O$100, BH19)&gt;0, "U",IF(COUNTIF('Tage Person4 Aus.4'!$AE$3:$AI$100, BH19)&gt;0, "h", "")))</f>
        <v/>
      </c>
      <c r="BM19" s="8" t="str">
        <f>IF(COUNTIF('Tage ferien Aus.'!$A$3:$O$100, BH19)&gt;0, "E", "")</f>
        <v/>
      </c>
      <c r="BN19" s="8" t="str">
        <f>IF(COUNTIF('Tage feiertage Aus.'!$A$3:$O$100, BH19)&gt;0, "f", "")</f>
        <v/>
      </c>
      <c r="BO19" s="7">
        <f t="shared" si="9"/>
        <v>46313</v>
      </c>
      <c r="BP19" s="8" t="str">
        <f>IF(COUNTIF('Tage Person1 Aus.'!$V$3:$AA$100, BO19)&gt;0, "S",IF(COUNTIF('Tage Person1 Aus.'!$A$3:$O$100, BO19)&gt;0, "U",IF(COUNTIF('Tage Person1 Aus.'!$AE$3:$AI$100, BO19)&gt;0, "h", "")))</f>
        <v/>
      </c>
      <c r="BQ19" s="8" t="str">
        <f>IF(COUNTIF('Tage Person2 Aus.2'!$V$3:$AA$100, BO19)&gt;0, "S",IF(COUNTIF('Tage Person2 Aus.2'!$A$3:$O$100, BO19)&gt;0, "U",IF(COUNTIF('Tage Person2 Aus.2'!$AE$3:$AI$100, BO19)&gt;0, "h", "")))</f>
        <v/>
      </c>
      <c r="BR19" s="8" t="str">
        <f>IF(COUNTIF('Tage Person3 Aus.3'!$V$3:$AA$100, BO19)&gt;0, "S",IF(COUNTIF('Tage Person3 Aus.3'!$A$3:$O$100, BO19)&gt;0, "U",IF(COUNTIF('Tage Person3 Aus.3'!$AE$3:$AI$100, BO19)&gt;0, "h", "")))</f>
        <v/>
      </c>
      <c r="BS19" s="8" t="str">
        <f>IF(COUNTIF('Tage Person4 Aus.4'!$V$3:$AA$100, BO19)&gt;0, "S",IF(COUNTIF('Tage Person4 Aus.4'!$A$3:$O$100, BO19)&gt;0, "U",IF(COUNTIF('Tage Person4 Aus.4'!$AE$3:$AI$100, BO19)&gt;0, "h", "")))</f>
        <v/>
      </c>
      <c r="BT19" s="8" t="str">
        <f>IF(COUNTIF('Tage ferien Aus.'!$A$3:$O$100, BO19)&gt;0, "E", "")</f>
        <v>E</v>
      </c>
      <c r="BU19" s="8" t="str">
        <f>IF(COUNTIF('Tage feiertage Aus.'!$A$3:$O$100, BO19)&gt;0, "f", "")</f>
        <v/>
      </c>
      <c r="BV19" s="7">
        <f t="shared" si="10"/>
        <v>46344</v>
      </c>
      <c r="BW19" s="8" t="str">
        <f>IF(COUNTIF('Tage Person1 Aus.'!$V$3:$AA$100, BV19)&gt;0, "S",IF(COUNTIF('Tage Person1 Aus.'!$A$3:$O$100, BV19)&gt;0, "U",IF(COUNTIF('Tage Person1 Aus.'!$AE$3:$AI$100, BV19)&gt;0, "h", "")))</f>
        <v/>
      </c>
      <c r="BX19" s="8" t="str">
        <f>IF(COUNTIF('Tage Person2 Aus.2'!$V$3:$AA$100, BV19)&gt;0, "S",IF(COUNTIF('Tage Person2 Aus.2'!$A$3:$O$100, BV19)&gt;0, "U",IF(COUNTIF('Tage Person2 Aus.2'!$AE$3:$AI$100, BV19)&gt;0, "h", "")))</f>
        <v/>
      </c>
      <c r="BY19" s="8" t="str">
        <f>IF(COUNTIF('Tage Person3 Aus.3'!$V$3:$AA$100, BV19)&gt;0, "S",IF(COUNTIF('Tage Person3 Aus.3'!$A$3:$O$100, BV19)&gt;0, "U",IF(COUNTIF('Tage Person3 Aus.3'!$AE$3:$AI$100, BV19)&gt;0, "h", "")))</f>
        <v/>
      </c>
      <c r="BZ19" s="8" t="str">
        <f>IF(COUNTIF('Tage Person4 Aus.4'!$V$3:$AA$100, BV19)&gt;0, "S",IF(COUNTIF('Tage Person4 Aus.4'!$A$3:$O$100, BV19)&gt;0, "U",IF(COUNTIF('Tage Person4 Aus.4'!$AE$3:$AI$100, BV19)&gt;0, "h", "")))</f>
        <v/>
      </c>
      <c r="CA19" s="8" t="str">
        <f>IF(COUNTIF('Tage ferien Aus.'!$A$3:$O$100, BV19)&gt;0, "E", "")</f>
        <v/>
      </c>
      <c r="CB19" s="8" t="str">
        <f>IF(COUNTIF('Tage feiertage Aus.'!$A$3:$O$100, BV19)&gt;0, "f", "")</f>
        <v/>
      </c>
      <c r="CC19" s="7">
        <f t="shared" si="11"/>
        <v>46374</v>
      </c>
      <c r="CD19" s="10" t="str">
        <f>IF(COUNTIF('Tage Person1 Aus.'!$V$3:$AA$100, CC19)&gt;0, "S",IF(COUNTIF('Tage Person1 Aus.'!$A$3:$O$100, CC19)&gt;0, "U",IF(COUNTIF('Tage Person1 Aus.'!$AE$3:$AI$100, CC19)&gt;0, "h", "")))</f>
        <v/>
      </c>
      <c r="CE19" s="11" t="str">
        <f>IF(COUNTIF('Tage Person2 Aus.2'!$V$3:$AA$100, CC19)&gt;0, "S",IF(COUNTIF('Tage Person2 Aus.2'!$A$3:$O$100, CC19)&gt;0, "U",IF(COUNTIF('Tage Person2 Aus.2'!$AE$3:$AI$100, CC19)&gt;0, "h", "")))</f>
        <v/>
      </c>
      <c r="CF19" s="12" t="str">
        <f>IF(COUNTIF('Tage Person3 Aus.3'!$V$3:$AA$100, CC19)&gt;0, "S",IF(COUNTIF('Tage Person3 Aus.3'!$A$3:$O$100, CC19)&gt;0, "U",IF(COUNTIF('Tage Person3 Aus.3'!$AE$3:$AI$100, CC19)&gt;0, "h", "")))</f>
        <v/>
      </c>
      <c r="CG19" s="10" t="str">
        <f>IF(COUNTIF('Tage Person4 Aus.4'!$V$3:$AA$100, CC19)&gt;0, "S",IF(COUNTIF('Tage Person4 Aus.4'!$A$3:$O$100, CC19)&gt;0, "U",IF(COUNTIF('Tage Person4 Aus.4'!$AE$3:$AI$100, CC19)&gt;0, "h", "")))</f>
        <v/>
      </c>
      <c r="CH19" s="11" t="str">
        <f>IF(COUNTIF('Tage ferien Aus.'!$A$3:$O$100, CC19)&gt;0, "E", "")</f>
        <v/>
      </c>
      <c r="CI19" s="12" t="str">
        <f>IF(COUNTIF('Tage feiertage Aus.'!$A$3:$O$100, CC19)&gt;0, "f", "")</f>
        <v/>
      </c>
      <c r="CJ19" s="4"/>
      <c r="CK19" s="4"/>
      <c r="CL19" s="6"/>
      <c r="CM19" s="4"/>
      <c r="CN19" s="2"/>
      <c r="CO19" s="3"/>
      <c r="CP19" s="4"/>
      <c r="CQ19" s="2"/>
      <c r="CR19" s="3"/>
      <c r="CS19" s="4"/>
      <c r="CT19" s="4"/>
      <c r="CU19" s="6"/>
      <c r="CV19" s="4"/>
      <c r="CW19" s="4"/>
      <c r="CX19" s="6"/>
      <c r="CY19" s="4"/>
    </row>
    <row r="20" spans="1:103" x14ac:dyDescent="0.3">
      <c r="A20" s="66"/>
      <c r="B20" s="58"/>
      <c r="C20" s="61"/>
      <c r="D20" s="7">
        <f t="shared" si="0"/>
        <v>46041</v>
      </c>
      <c r="E20" s="8" t="str">
        <f>IF(COUNTIF('Tage Person1 Aus.'!$V$3:$AA$100, D20)&gt;0, "S",IF(COUNTIF('Tage Person1 Aus.'!$A$3:$O$100, D20)&gt;0, "U",IF(COUNTIF('Tage Person1 Aus.'!$AE$3:$AI$100, D20)&gt;0, "h", "")))</f>
        <v/>
      </c>
      <c r="F20" s="8" t="str">
        <f>IF(COUNTIF('Tage Person2 Aus.2'!$V$3:$AA$100, D20)&gt;0, "S",IF(COUNTIF('Tage Person2 Aus.2'!$A$3:$O$100, D20)&gt;0, "U",IF(COUNTIF('Tage Person2 Aus.2'!$AE$3:$AI$100, D20)&gt;0, "h", "")))</f>
        <v/>
      </c>
      <c r="G20" s="8" t="str">
        <f>IF(COUNTIF('Tage Person3 Aus.3'!$V$3:$AA$100, D20)&gt;0, "S",IF(COUNTIF('Tage Person3 Aus.3'!$A$3:$O$100, D20)&gt;0, "U",IF(COUNTIF('Tage Person3 Aus.3'!$AE$3:$AI$100, D20)&gt;0, "h", "")))</f>
        <v/>
      </c>
      <c r="H20" s="8" t="str">
        <f>IF(COUNTIF('Tage Person4 Aus.4'!$V$3:$AA$100, D20)&gt;0, "S",IF(COUNTIF('Tage Person4 Aus.4'!$A$3:$O$100, D20)&gt;0, "U",IF(COUNTIF('Tage Person4 Aus.4'!$AE$3:$AI$100, D20)&gt;0, "h", "")))</f>
        <v/>
      </c>
      <c r="I20" s="8" t="str">
        <f>IF(COUNTIF('Tage ferien Aus.'!$A$3:$O$100, D20)&gt;0, "E", "")</f>
        <v/>
      </c>
      <c r="J20" s="8" t="str">
        <f>IF(COUNTIF('Tage feiertage Aus.'!$A$3:$O$100, D20)&gt;0, "f", "")</f>
        <v/>
      </c>
      <c r="K20" s="7">
        <f t="shared" si="1"/>
        <v>46072</v>
      </c>
      <c r="L20" s="8" t="str">
        <f>IF(COUNTIF('Tage Person1 Aus.'!$V$3:$AA$100, K20)&gt;0, "S",IF(COUNTIF('Tage Person1 Aus.'!$A$3:$O$100, K20)&gt;0, "U",IF(COUNTIF('Tage Person1 Aus.'!$AE$3:$AI$100, K20)&gt;0, "h", "")))</f>
        <v/>
      </c>
      <c r="M20" s="8" t="str">
        <f>IF(COUNTIF('Tage Person2 Aus.2'!$V$3:$AA$100, K20)&gt;0, "S",IF(COUNTIF('Tage Person2 Aus.2'!$A$3:$O$100, K20)&gt;0, "U",IF(COUNTIF('Tage Person2 Aus.2'!$AE$3:$AI$100, K20)&gt;0, "h", "")))</f>
        <v/>
      </c>
      <c r="N20" s="8" t="str">
        <f>IF(COUNTIF('Tage Person3 Aus.3'!$V$3:$AA$100, K20)&gt;0, "S",IF(COUNTIF('Tage Person3 Aus.3'!$A$3:$O$100, K20)&gt;0, "U",IF(COUNTIF('Tage Person3 Aus.3'!$AE$3:$AI$100, K20)&gt;0, "h", "")))</f>
        <v/>
      </c>
      <c r="O20" s="8" t="str">
        <f>IF(COUNTIF('Tage Person4 Aus.4'!$V$3:$AA$100, K20)&gt;0, "S",IF(COUNTIF('Tage Person4 Aus.4'!$A$3:$O$100, K20)&gt;0, "U",IF(COUNTIF('Tage Person4 Aus.4'!$AE$3:$AI$100, K20)&gt;0, "h", "")))</f>
        <v/>
      </c>
      <c r="P20" s="8" t="str">
        <f>IF(COUNTIF('Tage ferien Aus.'!$A$3:$O$100, K20)&gt;0, "E", "")</f>
        <v/>
      </c>
      <c r="Q20" s="8" t="str">
        <f>IF(COUNTIF('Tage feiertage Aus.'!$A$3:$O$100, K20)&gt;0, "f", "")</f>
        <v/>
      </c>
      <c r="R20" s="7">
        <f t="shared" si="2"/>
        <v>46100</v>
      </c>
      <c r="S20" s="8" t="str">
        <f>IF(COUNTIF('Tage Person1 Aus.'!$V$3:$AA$100, R20)&gt;0, "S",IF(COUNTIF('Tage Person1 Aus.'!$A$3:$O$100, R20)&gt;0, "U",IF(COUNTIF('Tage Person1 Aus.'!$AE$3:$AI$100, R20)&gt;0, "h", "")))</f>
        <v/>
      </c>
      <c r="T20" s="8" t="str">
        <f>IF(COUNTIF('Tage Person2 Aus.2'!$V$3:$AA$100, R20)&gt;0, "S",IF(COUNTIF('Tage Person2 Aus.2'!$A$3:$O$100, R20)&gt;0, "U",IF(COUNTIF('Tage Person2 Aus.2'!$AE$3:$AI$100, R20)&gt;0, "h", "")))</f>
        <v/>
      </c>
      <c r="U20" s="8" t="str">
        <f>IF(COUNTIF('Tage Person3 Aus.3'!$V$3:$AA$100, R20)&gt;0, "S",IF(COUNTIF('Tage Person3 Aus.3'!$A$3:$O$100, R20)&gt;0, "U",IF(COUNTIF('Tage Person3 Aus.3'!$AE$3:$AI$100, R20)&gt;0, "h", "")))</f>
        <v/>
      </c>
      <c r="V20" s="8" t="str">
        <f>IF(COUNTIF('Tage Person4 Aus.4'!$V$3:$AA$100, R20)&gt;0, "S",IF(COUNTIF('Tage Person4 Aus.4'!$A$3:$O$100, R20)&gt;0, "U",IF(COUNTIF('Tage Person4 Aus.4'!$AE$3:$AI$100, R20)&gt;0, "h", "")))</f>
        <v/>
      </c>
      <c r="W20" s="8" t="str">
        <f>IF(COUNTIF('Tage ferien Aus.'!$A$3:$O$100, R20)&gt;0, "E", "")</f>
        <v/>
      </c>
      <c r="X20" s="8" t="str">
        <f>IF(COUNTIF('Tage feiertage Aus.'!$A$3:$O$100, R20)&gt;0, "f", "")</f>
        <v/>
      </c>
      <c r="Y20" s="7">
        <f t="shared" si="3"/>
        <v>46131</v>
      </c>
      <c r="Z20" s="8" t="str">
        <f>IF(COUNTIF('Tage Person1 Aus.'!$V$3:$AA$100, Y20)&gt;0, "S",IF(COUNTIF('Tage Person1 Aus.'!$A$3:$O$100, Y20)&gt;0, "U",IF(COUNTIF('Tage Person1 Aus.'!$AE$3:$AI$100, Y20)&gt;0, "h", "")))</f>
        <v/>
      </c>
      <c r="AA20" s="8" t="str">
        <f>IF(COUNTIF('Tage Person2 Aus.2'!$V$3:$AA$100, Y20)&gt;0, "S",IF(COUNTIF('Tage Person2 Aus.2'!$A$3:$O$100, Y20)&gt;0, "U",IF(COUNTIF('Tage Person2 Aus.2'!$AE$3:$AI$100, Y20)&gt;0, "h", "")))</f>
        <v/>
      </c>
      <c r="AB20" s="8" t="str">
        <f>IF(COUNTIF('Tage Person3 Aus.3'!$V$3:$AA$100, Y20)&gt;0, "S",IF(COUNTIF('Tage Person3 Aus.3'!$A$3:$O$100, Y20)&gt;0, "U",IF(COUNTIF('Tage Person3 Aus.3'!$AE$3:$AI$100, Y20)&gt;0, "h", "")))</f>
        <v/>
      </c>
      <c r="AC20" s="8" t="str">
        <f>IF(COUNTIF('Tage Person4 Aus.4'!$V$3:$AA$100, Y20)&gt;0, "S",IF(COUNTIF('Tage Person4 Aus.4'!$A$3:$O$100, Y20)&gt;0, "U",IF(COUNTIF('Tage Person4 Aus.4'!$AE$3:$AI$100, Y20)&gt;0, "h", "")))</f>
        <v/>
      </c>
      <c r="AD20" s="8" t="str">
        <f>IF(COUNTIF('Tage ferien Aus.'!$A$3:$O$100, Y20)&gt;0, "E", "")</f>
        <v/>
      </c>
      <c r="AE20" s="8" t="str">
        <f>IF(COUNTIF('Tage feiertage Aus.'!$A$3:$O$100, Y20)&gt;0, "f", "")</f>
        <v/>
      </c>
      <c r="AF20" s="7">
        <f t="shared" si="4"/>
        <v>46161</v>
      </c>
      <c r="AG20" s="9" t="str">
        <f>IF(COUNTIF('Tage Person1 Aus.'!$V$3:$AA$100, AF20)&gt;0, "S",IF(COUNTIF('Tage Person1 Aus.'!$A$3:$O$100, AF20)&gt;0, "U",IF(COUNTIF('Tage Person1 Aus.'!$AE$3:$AI$100, AF20)&gt;0, "h", "")))</f>
        <v/>
      </c>
      <c r="AH20" s="8" t="str">
        <f>IF(COUNTIF('Tage Person2 Aus.2'!$V$3:$AA$100, AF20)&gt;0, "S",IF(COUNTIF('Tage Person2 Aus.2'!$A$3:$O$100, AF20)&gt;0, "U",IF(COUNTIF('Tage Person2 Aus.2'!$AE$3:$AI$100, AF20)&gt;0, "h", "")))</f>
        <v/>
      </c>
      <c r="AI20" s="8" t="str">
        <f>IF(COUNTIF('Tage Person3 Aus.3'!$V$3:$AA$100, AF20)&gt;0, "S",IF(COUNTIF('Tage Person3 Aus.3'!$A$3:$O$100, AF20)&gt;0, "U",IF(COUNTIF('Tage Person3 Aus.3'!$AE$3:$AI$100, AF20)&gt;0, "h", "")))</f>
        <v/>
      </c>
      <c r="AJ20" s="8" t="str">
        <f>IF(COUNTIF('Tage Person4 Aus.4'!$V$3:$AA$100, AF20)&gt;0, "S",IF(COUNTIF('Tage Person4 Aus.4'!$A$3:$O$100, AF20)&gt;0, "U",IF(COUNTIF('Tage Person4 Aus.4'!$AE$3:$AI$100, AF20)&gt;0, "h", "")))</f>
        <v/>
      </c>
      <c r="AK20" s="8" t="str">
        <f>IF(COUNTIF('Tage ferien Aus.'!$A$3:$O$100, AF20)&gt;0, "E", "")</f>
        <v/>
      </c>
      <c r="AL20" s="8" t="str">
        <f>IF(COUNTIF('Tage feiertage Aus.'!$A$3:$O$100, AF20)&gt;0, "f", "")</f>
        <v/>
      </c>
      <c r="AM20" s="7">
        <f t="shared" si="5"/>
        <v>46192</v>
      </c>
      <c r="AN20" s="8" t="str">
        <f>IF(COUNTIF('Tage Person1 Aus.'!$V$3:$AA$100, AM20)&gt;0, "S",IF(COUNTIF('Tage Person1 Aus.'!$A$3:$O$100, AM20)&gt;0, "U",IF(COUNTIF('Tage Person1 Aus.'!$AE$3:$AI$100, AM20)&gt;0, "h", "")))</f>
        <v/>
      </c>
      <c r="AO20" s="8" t="str">
        <f>IF(COUNTIF('Tage Person2 Aus.2'!$V$3:$AA$100, AM20)&gt;0, "S",IF(COUNTIF('Tage Person2 Aus.2'!$A$3:$O$100, AM20)&gt;0, "U",IF(COUNTIF('Tage Person2 Aus.2'!$AE$3:$AI$100, AM20)&gt;0, "h", "")))</f>
        <v/>
      </c>
      <c r="AP20" s="8" t="str">
        <f>IF(COUNTIF('Tage Person3 Aus.3'!$V$3:$AA$100, AM20)&gt;0, "S",IF(COUNTIF('Tage Person3 Aus.3'!$A$3:$O$100, AM20)&gt;0, "U",IF(COUNTIF('Tage Person3 Aus.3'!$AE$3:$AI$100, AM20)&gt;0, "h", "")))</f>
        <v/>
      </c>
      <c r="AQ20" s="8" t="str">
        <f>IF(COUNTIF('Tage Person4 Aus.4'!$V$3:$AA$100, AM20)&gt;0, "S",IF(COUNTIF('Tage Person4 Aus.4'!$A$3:$O$100, AM20)&gt;0, "U",IF(COUNTIF('Tage Person4 Aus.4'!$AE$3:$AI$100, AM20)&gt;0, "h", "")))</f>
        <v/>
      </c>
      <c r="AR20" s="8" t="str">
        <f>IF(COUNTIF('Tage ferien Aus.'!$A$3:$O$100, AM20)&gt;0, "E", "")</f>
        <v/>
      </c>
      <c r="AS20" s="8" t="str">
        <f>IF(COUNTIF('Tage feiertage Aus.'!$A$3:$O$100, AM20)&gt;0, "f", "")</f>
        <v/>
      </c>
      <c r="AT20" s="7">
        <f t="shared" si="6"/>
        <v>46222</v>
      </c>
      <c r="AU20" s="8" t="str">
        <f>IF(COUNTIF('Tage Person1 Aus.'!$V$3:$AA$100, AT20)&gt;0, "S",IF(COUNTIF('Tage Person1 Aus.'!$A$3:$O$100, AT20)&gt;0, "U",IF(COUNTIF('Tage Person1 Aus.'!$AE$3:$AI$100, AT20)&gt;0, "h", "")))</f>
        <v/>
      </c>
      <c r="AV20" s="8" t="str">
        <f>IF(COUNTIF('Tage Person2 Aus.2'!$V$3:$AA$100, AT20)&gt;0, "S",IF(COUNTIF('Tage Person2 Aus.2'!$A$3:$O$100, AT20)&gt;0, "U",IF(COUNTIF('Tage Person2 Aus.2'!$AE$3:$AI$100, AT20)&gt;0, "h", "")))</f>
        <v/>
      </c>
      <c r="AW20" s="8" t="str">
        <f>IF(COUNTIF('Tage Person3 Aus.3'!$V$3:$AA$100, AT20)&gt;0, "S",IF(COUNTIF('Tage Person3 Aus.3'!$A$3:$O$100, AT20)&gt;0, "U",IF(COUNTIF('Tage Person3 Aus.3'!$AE$3:$AI$100, AT20)&gt;0, "h", "")))</f>
        <v/>
      </c>
      <c r="AX20" s="8" t="str">
        <f>IF(COUNTIF('Tage Person4 Aus.4'!$V$3:$AA$100, AT20)&gt;0, "S",IF(COUNTIF('Tage Person4 Aus.4'!$A$3:$O$100, AT20)&gt;0, "U",IF(COUNTIF('Tage Person4 Aus.4'!$AE$3:$AI$100, AT20)&gt;0, "h", "")))</f>
        <v/>
      </c>
      <c r="AY20" s="8" t="str">
        <f>IF(COUNTIF('Tage ferien Aus.'!$A$3:$O$100, AT20)&gt;0, "E", "")</f>
        <v/>
      </c>
      <c r="AZ20" s="8" t="str">
        <f>IF(COUNTIF('Tage feiertage Aus.'!$A$3:$O$100, AT20)&gt;0, "f", "")</f>
        <v/>
      </c>
      <c r="BA20" s="7">
        <f t="shared" si="7"/>
        <v>46253</v>
      </c>
      <c r="BB20" s="8" t="str">
        <f>IF(COUNTIF('Tage Person1 Aus.'!$V$3:$AA$100, BA20)&gt;0, "S",IF(COUNTIF('Tage Person1 Aus.'!$A$3:$O$100, BA20)&gt;0, "U",IF(COUNTIF('Tage Person1 Aus.'!$AE$3:$AI$100, BA20)&gt;0, "h", "")))</f>
        <v/>
      </c>
      <c r="BC20" s="8" t="str">
        <f>IF(COUNTIF('Tage Person2 Aus.2'!$V$3:$AA$100, BA20)&gt;0, "S",IF(COUNTIF('Tage Person2 Aus.2'!$A$3:$O$100, BA20)&gt;0, "U",IF(COUNTIF('Tage Person2 Aus.2'!$AE$3:$AI$100, BA20)&gt;0, "h", "")))</f>
        <v/>
      </c>
      <c r="BD20" s="8" t="str">
        <f>IF(COUNTIF('Tage Person3 Aus.3'!$V$3:$AA$100, BA20)&gt;0, "S",IF(COUNTIF('Tage Person3 Aus.3'!$A$3:$O$100, BA20)&gt;0, "U",IF(COUNTIF('Tage Person3 Aus.3'!$AE$3:$AI$100, BA20)&gt;0, "h", "")))</f>
        <v/>
      </c>
      <c r="BE20" s="8" t="str">
        <f>IF(COUNTIF('Tage Person4 Aus.4'!$V$3:$AA$100, BA20)&gt;0, "S",IF(COUNTIF('Tage Person4 Aus.4'!$A$3:$O$100, BA20)&gt;0, "U",IF(COUNTIF('Tage Person4 Aus.4'!$AE$3:$AI$100, BA20)&gt;0, "h", "")))</f>
        <v/>
      </c>
      <c r="BF20" s="8" t="str">
        <f>IF(COUNTIF('Tage ferien Aus.'!$A$3:$O$100, BA20)&gt;0, "E", "")</f>
        <v>E</v>
      </c>
      <c r="BG20" s="8" t="str">
        <f>IF(COUNTIF('Tage feiertage Aus.'!$A$3:$O$100, BA20)&gt;0, "f", "")</f>
        <v/>
      </c>
      <c r="BH20" s="7">
        <f t="shared" si="8"/>
        <v>46284</v>
      </c>
      <c r="BI20" s="8" t="str">
        <f>IF(COUNTIF('Tage Person1 Aus.'!$V$3:$AA$100, BH20)&gt;0, "S",IF(COUNTIF('Tage Person1 Aus.'!$A$3:$O$100, BH20)&gt;0, "U",IF(COUNTIF('Tage Person1 Aus.'!$AE$3:$AI$100, BH20)&gt;0, "h", "")))</f>
        <v/>
      </c>
      <c r="BJ20" s="8" t="str">
        <f>IF(COUNTIF('Tage Person2 Aus.2'!$V$3:$AA$100, BH20)&gt;0, "S",IF(COUNTIF('Tage Person2 Aus.2'!$A$3:$O$100, BH20)&gt;0, "U",IF(COUNTIF('Tage Person2 Aus.2'!$AE$3:$AI$100, BH20)&gt;0, "h", "")))</f>
        <v/>
      </c>
      <c r="BK20" s="8" t="str">
        <f>IF(COUNTIF('Tage Person3 Aus.3'!$V$3:$AA$100, BH20)&gt;0, "S",IF(COUNTIF('Tage Person3 Aus.3'!$A$3:$O$100, BH20)&gt;0, "U",IF(COUNTIF('Tage Person3 Aus.3'!$AE$3:$AI$100, BH20)&gt;0, "h", "")))</f>
        <v/>
      </c>
      <c r="BL20" s="8" t="str">
        <f>IF(COUNTIF('Tage Person4 Aus.4'!$V$3:$AA$100, BH20)&gt;0, "S",IF(COUNTIF('Tage Person4 Aus.4'!$A$3:$O$100, BH20)&gt;0, "U",IF(COUNTIF('Tage Person4 Aus.4'!$AE$3:$AI$100, BH20)&gt;0, "h", "")))</f>
        <v/>
      </c>
      <c r="BM20" s="8" t="str">
        <f>IF(COUNTIF('Tage ferien Aus.'!$A$3:$O$100, BH20)&gt;0, "E", "")</f>
        <v/>
      </c>
      <c r="BN20" s="8" t="str">
        <f>IF(COUNTIF('Tage feiertage Aus.'!$A$3:$O$100, BH20)&gt;0, "f", "")</f>
        <v/>
      </c>
      <c r="BO20" s="7">
        <f t="shared" si="9"/>
        <v>46314</v>
      </c>
      <c r="BP20" s="8" t="str">
        <f>IF(COUNTIF('Tage Person1 Aus.'!$V$3:$AA$100, BO20)&gt;0, "S",IF(COUNTIF('Tage Person1 Aus.'!$A$3:$O$100, BO20)&gt;0, "U",IF(COUNTIF('Tage Person1 Aus.'!$AE$3:$AI$100, BO20)&gt;0, "h", "")))</f>
        <v/>
      </c>
      <c r="BQ20" s="8" t="str">
        <f>IF(COUNTIF('Tage Person2 Aus.2'!$V$3:$AA$100, BO20)&gt;0, "S",IF(COUNTIF('Tage Person2 Aus.2'!$A$3:$O$100, BO20)&gt;0, "U",IF(COUNTIF('Tage Person2 Aus.2'!$AE$3:$AI$100, BO20)&gt;0, "h", "")))</f>
        <v/>
      </c>
      <c r="BR20" s="8" t="str">
        <f>IF(COUNTIF('Tage Person3 Aus.3'!$V$3:$AA$100, BO20)&gt;0, "S",IF(COUNTIF('Tage Person3 Aus.3'!$A$3:$O$100, BO20)&gt;0, "U",IF(COUNTIF('Tage Person3 Aus.3'!$AE$3:$AI$100, BO20)&gt;0, "h", "")))</f>
        <v/>
      </c>
      <c r="BS20" s="8" t="str">
        <f>IF(COUNTIF('Tage Person4 Aus.4'!$V$3:$AA$100, BO20)&gt;0, "S",IF(COUNTIF('Tage Person4 Aus.4'!$A$3:$O$100, BO20)&gt;0, "U",IF(COUNTIF('Tage Person4 Aus.4'!$AE$3:$AI$100, BO20)&gt;0, "h", "")))</f>
        <v/>
      </c>
      <c r="BT20" s="8" t="str">
        <f>IF(COUNTIF('Tage ferien Aus.'!$A$3:$O$100, BO20)&gt;0, "E", "")</f>
        <v>E</v>
      </c>
      <c r="BU20" s="8" t="str">
        <f>IF(COUNTIF('Tage feiertage Aus.'!$A$3:$O$100, BO20)&gt;0, "f", "")</f>
        <v/>
      </c>
      <c r="BV20" s="7">
        <f t="shared" si="10"/>
        <v>46345</v>
      </c>
      <c r="BW20" s="8" t="str">
        <f>IF(COUNTIF('Tage Person1 Aus.'!$V$3:$AA$100, BV20)&gt;0, "S",IF(COUNTIF('Tage Person1 Aus.'!$A$3:$O$100, BV20)&gt;0, "U",IF(COUNTIF('Tage Person1 Aus.'!$AE$3:$AI$100, BV20)&gt;0, "h", "")))</f>
        <v/>
      </c>
      <c r="BX20" s="8" t="str">
        <f>IF(COUNTIF('Tage Person2 Aus.2'!$V$3:$AA$100, BV20)&gt;0, "S",IF(COUNTIF('Tage Person2 Aus.2'!$A$3:$O$100, BV20)&gt;0, "U",IF(COUNTIF('Tage Person2 Aus.2'!$AE$3:$AI$100, BV20)&gt;0, "h", "")))</f>
        <v/>
      </c>
      <c r="BY20" s="8" t="str">
        <f>IF(COUNTIF('Tage Person3 Aus.3'!$V$3:$AA$100, BV20)&gt;0, "S",IF(COUNTIF('Tage Person3 Aus.3'!$A$3:$O$100, BV20)&gt;0, "U",IF(COUNTIF('Tage Person3 Aus.3'!$AE$3:$AI$100, BV20)&gt;0, "h", "")))</f>
        <v/>
      </c>
      <c r="BZ20" s="8" t="str">
        <f>IF(COUNTIF('Tage Person4 Aus.4'!$V$3:$AA$100, BV20)&gt;0, "S",IF(COUNTIF('Tage Person4 Aus.4'!$A$3:$O$100, BV20)&gt;0, "U",IF(COUNTIF('Tage Person4 Aus.4'!$AE$3:$AI$100, BV20)&gt;0, "h", "")))</f>
        <v/>
      </c>
      <c r="CA20" s="8" t="str">
        <f>IF(COUNTIF('Tage ferien Aus.'!$A$3:$O$100, BV20)&gt;0, "E", "")</f>
        <v/>
      </c>
      <c r="CB20" s="8" t="str">
        <f>IF(COUNTIF('Tage feiertage Aus.'!$A$3:$O$100, BV20)&gt;0, "f", "")</f>
        <v/>
      </c>
      <c r="CC20" s="7">
        <f t="shared" si="11"/>
        <v>46375</v>
      </c>
      <c r="CD20" s="10" t="str">
        <f>IF(COUNTIF('Tage Person1 Aus.'!$V$3:$AA$100, CC20)&gt;0, "S",IF(COUNTIF('Tage Person1 Aus.'!$A$3:$O$100, CC20)&gt;0, "U",IF(COUNTIF('Tage Person1 Aus.'!$AE$3:$AI$100, CC20)&gt;0, "h", "")))</f>
        <v/>
      </c>
      <c r="CE20" s="11" t="str">
        <f>IF(COUNTIF('Tage Person2 Aus.2'!$V$3:$AA$100, CC20)&gt;0, "S",IF(COUNTIF('Tage Person2 Aus.2'!$A$3:$O$100, CC20)&gt;0, "U",IF(COUNTIF('Tage Person2 Aus.2'!$AE$3:$AI$100, CC20)&gt;0, "h", "")))</f>
        <v/>
      </c>
      <c r="CF20" s="12" t="str">
        <f>IF(COUNTIF('Tage Person3 Aus.3'!$V$3:$AA$100, CC20)&gt;0, "S",IF(COUNTIF('Tage Person3 Aus.3'!$A$3:$O$100, CC20)&gt;0, "U",IF(COUNTIF('Tage Person3 Aus.3'!$AE$3:$AI$100, CC20)&gt;0, "h", "")))</f>
        <v/>
      </c>
      <c r="CG20" s="10" t="str">
        <f>IF(COUNTIF('Tage Person4 Aus.4'!$V$3:$AA$100, CC20)&gt;0, "S",IF(COUNTIF('Tage Person4 Aus.4'!$A$3:$O$100, CC20)&gt;0, "U",IF(COUNTIF('Tage Person4 Aus.4'!$AE$3:$AI$100, CC20)&gt;0, "h", "")))</f>
        <v/>
      </c>
      <c r="CH20" s="11" t="str">
        <f>IF(COUNTIF('Tage ferien Aus.'!$A$3:$O$100, CC20)&gt;0, "E", "")</f>
        <v/>
      </c>
      <c r="CI20" s="12" t="str">
        <f>IF(COUNTIF('Tage feiertage Aus.'!$A$3:$O$100, CC20)&gt;0, "f", "")</f>
        <v/>
      </c>
      <c r="CJ20" s="4"/>
      <c r="CK20" s="4"/>
      <c r="CL20" s="6"/>
      <c r="CM20" s="4"/>
      <c r="CN20" s="2"/>
      <c r="CO20" s="3"/>
      <c r="CP20" s="4"/>
      <c r="CQ20" s="2"/>
      <c r="CR20" s="3"/>
      <c r="CS20" s="4"/>
      <c r="CT20" s="4"/>
      <c r="CU20" s="6"/>
      <c r="CV20" s="4"/>
      <c r="CW20" s="4"/>
      <c r="CX20" s="6"/>
      <c r="CY20" s="4"/>
    </row>
    <row r="21" spans="1:103" x14ac:dyDescent="0.3">
      <c r="A21" s="67" t="s">
        <v>15</v>
      </c>
      <c r="B21" s="58" t="s">
        <v>11</v>
      </c>
      <c r="C21" s="57" t="s">
        <v>11</v>
      </c>
      <c r="D21" s="7">
        <f t="shared" si="0"/>
        <v>46042</v>
      </c>
      <c r="E21" s="8" t="str">
        <f>IF(COUNTIF('Tage Person1 Aus.'!$V$3:$AA$100, D21)&gt;0, "S",IF(COUNTIF('Tage Person1 Aus.'!$A$3:$O$100, D21)&gt;0, "U",IF(COUNTIF('Tage Person1 Aus.'!$AE$3:$AI$100, D21)&gt;0, "h", "")))</f>
        <v/>
      </c>
      <c r="F21" s="8" t="str">
        <f>IF(COUNTIF('Tage Person2 Aus.2'!$V$3:$AA$100, D21)&gt;0, "S",IF(COUNTIF('Tage Person2 Aus.2'!$A$3:$O$100, D21)&gt;0, "U",IF(COUNTIF('Tage Person2 Aus.2'!$AE$3:$AI$100, D21)&gt;0, "h", "")))</f>
        <v/>
      </c>
      <c r="G21" s="8" t="str">
        <f>IF(COUNTIF('Tage Person3 Aus.3'!$V$3:$AA$100, D21)&gt;0, "S",IF(COUNTIF('Tage Person3 Aus.3'!$A$3:$O$100, D21)&gt;0, "U",IF(COUNTIF('Tage Person3 Aus.3'!$AE$3:$AI$100, D21)&gt;0, "h", "")))</f>
        <v/>
      </c>
      <c r="H21" s="8" t="str">
        <f>IF(COUNTIF('Tage Person4 Aus.4'!$V$3:$AA$100, D21)&gt;0, "S",IF(COUNTIF('Tage Person4 Aus.4'!$A$3:$O$100, D21)&gt;0, "U",IF(COUNTIF('Tage Person4 Aus.4'!$AE$3:$AI$100, D21)&gt;0, "h", "")))</f>
        <v/>
      </c>
      <c r="I21" s="8" t="str">
        <f>IF(COUNTIF('Tage ferien Aus.'!$A$3:$O$100, D21)&gt;0, "E", "")</f>
        <v/>
      </c>
      <c r="J21" s="8" t="str">
        <f>IF(COUNTIF('Tage feiertage Aus.'!$A$3:$O$100, D21)&gt;0, "f", "")</f>
        <v/>
      </c>
      <c r="K21" s="7">
        <f t="shared" si="1"/>
        <v>46073</v>
      </c>
      <c r="L21" s="8" t="str">
        <f>IF(COUNTIF('Tage Person1 Aus.'!$V$3:$AA$100, K21)&gt;0, "S",IF(COUNTIF('Tage Person1 Aus.'!$A$3:$O$100, K21)&gt;0, "U",IF(COUNTIF('Tage Person1 Aus.'!$AE$3:$AI$100, K21)&gt;0, "h", "")))</f>
        <v/>
      </c>
      <c r="M21" s="8" t="str">
        <f>IF(COUNTIF('Tage Person2 Aus.2'!$V$3:$AA$100, K21)&gt;0, "S",IF(COUNTIF('Tage Person2 Aus.2'!$A$3:$O$100, K21)&gt;0, "U",IF(COUNTIF('Tage Person2 Aus.2'!$AE$3:$AI$100, K21)&gt;0, "h", "")))</f>
        <v/>
      </c>
      <c r="N21" s="8" t="str">
        <f>IF(COUNTIF('Tage Person3 Aus.3'!$V$3:$AA$100, K21)&gt;0, "S",IF(COUNTIF('Tage Person3 Aus.3'!$A$3:$O$100, K21)&gt;0, "U",IF(COUNTIF('Tage Person3 Aus.3'!$AE$3:$AI$100, K21)&gt;0, "h", "")))</f>
        <v/>
      </c>
      <c r="O21" s="8" t="str">
        <f>IF(COUNTIF('Tage Person4 Aus.4'!$V$3:$AA$100, K21)&gt;0, "S",IF(COUNTIF('Tage Person4 Aus.4'!$A$3:$O$100, K21)&gt;0, "U",IF(COUNTIF('Tage Person4 Aus.4'!$AE$3:$AI$100, K21)&gt;0, "h", "")))</f>
        <v/>
      </c>
      <c r="P21" s="8" t="str">
        <f>IF(COUNTIF('Tage ferien Aus.'!$A$3:$O$100, K21)&gt;0, "E", "")</f>
        <v/>
      </c>
      <c r="Q21" s="8" t="str">
        <f>IF(COUNTIF('Tage feiertage Aus.'!$A$3:$O$100, K21)&gt;0, "f", "")</f>
        <v/>
      </c>
      <c r="R21" s="7">
        <f t="shared" si="2"/>
        <v>46101</v>
      </c>
      <c r="S21" s="8" t="str">
        <f>IF(COUNTIF('Tage Person1 Aus.'!$V$3:$AA$100, R21)&gt;0, "S",IF(COUNTIF('Tage Person1 Aus.'!$A$3:$O$100, R21)&gt;0, "U",IF(COUNTIF('Tage Person1 Aus.'!$AE$3:$AI$100, R21)&gt;0, "h", "")))</f>
        <v/>
      </c>
      <c r="T21" s="8" t="str">
        <f>IF(COUNTIF('Tage Person2 Aus.2'!$V$3:$AA$100, R21)&gt;0, "S",IF(COUNTIF('Tage Person2 Aus.2'!$A$3:$O$100, R21)&gt;0, "U",IF(COUNTIF('Tage Person2 Aus.2'!$AE$3:$AI$100, R21)&gt;0, "h", "")))</f>
        <v/>
      </c>
      <c r="U21" s="8" t="str">
        <f>IF(COUNTIF('Tage Person3 Aus.3'!$V$3:$AA$100, R21)&gt;0, "S",IF(COUNTIF('Tage Person3 Aus.3'!$A$3:$O$100, R21)&gt;0, "U",IF(COUNTIF('Tage Person3 Aus.3'!$AE$3:$AI$100, R21)&gt;0, "h", "")))</f>
        <v/>
      </c>
      <c r="V21" s="8" t="str">
        <f>IF(COUNTIF('Tage Person4 Aus.4'!$V$3:$AA$100, R21)&gt;0, "S",IF(COUNTIF('Tage Person4 Aus.4'!$A$3:$O$100, R21)&gt;0, "U",IF(COUNTIF('Tage Person4 Aus.4'!$AE$3:$AI$100, R21)&gt;0, "h", "")))</f>
        <v/>
      </c>
      <c r="W21" s="8" t="str">
        <f>IF(COUNTIF('Tage ferien Aus.'!$A$3:$O$100, R21)&gt;0, "E", "")</f>
        <v/>
      </c>
      <c r="X21" s="8" t="str">
        <f>IF(COUNTIF('Tage feiertage Aus.'!$A$3:$O$100, R21)&gt;0, "f", "")</f>
        <v/>
      </c>
      <c r="Y21" s="7">
        <f t="shared" si="3"/>
        <v>46132</v>
      </c>
      <c r="Z21" s="8" t="str">
        <f>IF(COUNTIF('Tage Person1 Aus.'!$V$3:$AA$100, Y21)&gt;0, "S",IF(COUNTIF('Tage Person1 Aus.'!$A$3:$O$100, Y21)&gt;0, "U",IF(COUNTIF('Tage Person1 Aus.'!$AE$3:$AI$100, Y21)&gt;0, "h", "")))</f>
        <v/>
      </c>
      <c r="AA21" s="8" t="str">
        <f>IF(COUNTIF('Tage Person2 Aus.2'!$V$3:$AA$100, Y21)&gt;0, "S",IF(COUNTIF('Tage Person2 Aus.2'!$A$3:$O$100, Y21)&gt;0, "U",IF(COUNTIF('Tage Person2 Aus.2'!$AE$3:$AI$100, Y21)&gt;0, "h", "")))</f>
        <v/>
      </c>
      <c r="AB21" s="8" t="str">
        <f>IF(COUNTIF('Tage Person3 Aus.3'!$V$3:$AA$100, Y21)&gt;0, "S",IF(COUNTIF('Tage Person3 Aus.3'!$A$3:$O$100, Y21)&gt;0, "U",IF(COUNTIF('Tage Person3 Aus.3'!$AE$3:$AI$100, Y21)&gt;0, "h", "")))</f>
        <v/>
      </c>
      <c r="AC21" s="8" t="str">
        <f>IF(COUNTIF('Tage Person4 Aus.4'!$V$3:$AA$100, Y21)&gt;0, "S",IF(COUNTIF('Tage Person4 Aus.4'!$A$3:$O$100, Y21)&gt;0, "U",IF(COUNTIF('Tage Person4 Aus.4'!$AE$3:$AI$100, Y21)&gt;0, "h", "")))</f>
        <v/>
      </c>
      <c r="AD21" s="8" t="str">
        <f>IF(COUNTIF('Tage ferien Aus.'!$A$3:$O$100, Y21)&gt;0, "E", "")</f>
        <v/>
      </c>
      <c r="AE21" s="8" t="str">
        <f>IF(COUNTIF('Tage feiertage Aus.'!$A$3:$O$100, Y21)&gt;0, "f", "")</f>
        <v/>
      </c>
      <c r="AF21" s="7">
        <f t="shared" si="4"/>
        <v>46162</v>
      </c>
      <c r="AG21" s="9" t="str">
        <f>IF(COUNTIF('Tage Person1 Aus.'!$V$3:$AA$100, AF21)&gt;0, "S",IF(COUNTIF('Tage Person1 Aus.'!$A$3:$O$100, AF21)&gt;0, "U",IF(COUNTIF('Tage Person1 Aus.'!$AE$3:$AI$100, AF21)&gt;0, "h", "")))</f>
        <v/>
      </c>
      <c r="AH21" s="8" t="str">
        <f>IF(COUNTIF('Tage Person2 Aus.2'!$V$3:$AA$100, AF21)&gt;0, "S",IF(COUNTIF('Tage Person2 Aus.2'!$A$3:$O$100, AF21)&gt;0, "U",IF(COUNTIF('Tage Person2 Aus.2'!$AE$3:$AI$100, AF21)&gt;0, "h", "")))</f>
        <v/>
      </c>
      <c r="AI21" s="8" t="str">
        <f>IF(COUNTIF('Tage Person3 Aus.3'!$V$3:$AA$100, AF21)&gt;0, "S",IF(COUNTIF('Tage Person3 Aus.3'!$A$3:$O$100, AF21)&gt;0, "U",IF(COUNTIF('Tage Person3 Aus.3'!$AE$3:$AI$100, AF21)&gt;0, "h", "")))</f>
        <v/>
      </c>
      <c r="AJ21" s="8" t="str">
        <f>IF(COUNTIF('Tage Person4 Aus.4'!$V$3:$AA$100, AF21)&gt;0, "S",IF(COUNTIF('Tage Person4 Aus.4'!$A$3:$O$100, AF21)&gt;0, "U",IF(COUNTIF('Tage Person4 Aus.4'!$AE$3:$AI$100, AF21)&gt;0, "h", "")))</f>
        <v/>
      </c>
      <c r="AK21" s="8" t="str">
        <f>IF(COUNTIF('Tage ferien Aus.'!$A$3:$O$100, AF21)&gt;0, "E", "")</f>
        <v/>
      </c>
      <c r="AL21" s="8" t="str">
        <f>IF(COUNTIF('Tage feiertage Aus.'!$A$3:$O$100, AF21)&gt;0, "f", "")</f>
        <v/>
      </c>
      <c r="AM21" s="7">
        <f t="shared" si="5"/>
        <v>46193</v>
      </c>
      <c r="AN21" s="8" t="str">
        <f>IF(COUNTIF('Tage Person1 Aus.'!$V$3:$AA$100, AM21)&gt;0, "S",IF(COUNTIF('Tage Person1 Aus.'!$A$3:$O$100, AM21)&gt;0, "U",IF(COUNTIF('Tage Person1 Aus.'!$AE$3:$AI$100, AM21)&gt;0, "h", "")))</f>
        <v/>
      </c>
      <c r="AO21" s="8" t="str">
        <f>IF(COUNTIF('Tage Person2 Aus.2'!$V$3:$AA$100, AM21)&gt;0, "S",IF(COUNTIF('Tage Person2 Aus.2'!$A$3:$O$100, AM21)&gt;0, "U",IF(COUNTIF('Tage Person2 Aus.2'!$AE$3:$AI$100, AM21)&gt;0, "h", "")))</f>
        <v/>
      </c>
      <c r="AP21" s="8" t="str">
        <f>IF(COUNTIF('Tage Person3 Aus.3'!$V$3:$AA$100, AM21)&gt;0, "S",IF(COUNTIF('Tage Person3 Aus.3'!$A$3:$O$100, AM21)&gt;0, "U",IF(COUNTIF('Tage Person3 Aus.3'!$AE$3:$AI$100, AM21)&gt;0, "h", "")))</f>
        <v/>
      </c>
      <c r="AQ21" s="8" t="str">
        <f>IF(COUNTIF('Tage Person4 Aus.4'!$V$3:$AA$100, AM21)&gt;0, "S",IF(COUNTIF('Tage Person4 Aus.4'!$A$3:$O$100, AM21)&gt;0, "U",IF(COUNTIF('Tage Person4 Aus.4'!$AE$3:$AI$100, AM21)&gt;0, "h", "")))</f>
        <v/>
      </c>
      <c r="AR21" s="8" t="str">
        <f>IF(COUNTIF('Tage ferien Aus.'!$A$3:$O$100, AM21)&gt;0, "E", "")</f>
        <v/>
      </c>
      <c r="AS21" s="8" t="str">
        <f>IF(COUNTIF('Tage feiertage Aus.'!$A$3:$O$100, AM21)&gt;0, "f", "")</f>
        <v/>
      </c>
      <c r="AT21" s="7">
        <f t="shared" si="6"/>
        <v>46223</v>
      </c>
      <c r="AU21" s="8" t="str">
        <f>IF(COUNTIF('Tage Person1 Aus.'!$V$3:$AA$100, AT21)&gt;0, "S",IF(COUNTIF('Tage Person1 Aus.'!$A$3:$O$100, AT21)&gt;0, "U",IF(COUNTIF('Tage Person1 Aus.'!$AE$3:$AI$100, AT21)&gt;0, "h", "")))</f>
        <v/>
      </c>
      <c r="AV21" s="8" t="str">
        <f>IF(COUNTIF('Tage Person2 Aus.2'!$V$3:$AA$100, AT21)&gt;0, "S",IF(COUNTIF('Tage Person2 Aus.2'!$A$3:$O$100, AT21)&gt;0, "U",IF(COUNTIF('Tage Person2 Aus.2'!$AE$3:$AI$100, AT21)&gt;0, "h", "")))</f>
        <v/>
      </c>
      <c r="AW21" s="8" t="str">
        <f>IF(COUNTIF('Tage Person3 Aus.3'!$V$3:$AA$100, AT21)&gt;0, "S",IF(COUNTIF('Tage Person3 Aus.3'!$A$3:$O$100, AT21)&gt;0, "U",IF(COUNTIF('Tage Person3 Aus.3'!$AE$3:$AI$100, AT21)&gt;0, "h", "")))</f>
        <v/>
      </c>
      <c r="AX21" s="8" t="str">
        <f>IF(COUNTIF('Tage Person4 Aus.4'!$V$3:$AA$100, AT21)&gt;0, "S",IF(COUNTIF('Tage Person4 Aus.4'!$A$3:$O$100, AT21)&gt;0, "U",IF(COUNTIF('Tage Person4 Aus.4'!$AE$3:$AI$100, AT21)&gt;0, "h", "")))</f>
        <v/>
      </c>
      <c r="AY21" s="8" t="str">
        <f>IF(COUNTIF('Tage ferien Aus.'!$A$3:$O$100, AT21)&gt;0, "E", "")</f>
        <v>E</v>
      </c>
      <c r="AZ21" s="8" t="str">
        <f>IF(COUNTIF('Tage feiertage Aus.'!$A$3:$O$100, AT21)&gt;0, "f", "")</f>
        <v/>
      </c>
      <c r="BA21" s="7">
        <f t="shared" si="7"/>
        <v>46254</v>
      </c>
      <c r="BB21" s="8" t="str">
        <f>IF(COUNTIF('Tage Person1 Aus.'!$V$3:$AA$100, BA21)&gt;0, "S",IF(COUNTIF('Tage Person1 Aus.'!$A$3:$O$100, BA21)&gt;0, "U",IF(COUNTIF('Tage Person1 Aus.'!$AE$3:$AI$100, BA21)&gt;0, "h", "")))</f>
        <v/>
      </c>
      <c r="BC21" s="8" t="str">
        <f>IF(COUNTIF('Tage Person2 Aus.2'!$V$3:$AA$100, BA21)&gt;0, "S",IF(COUNTIF('Tage Person2 Aus.2'!$A$3:$O$100, BA21)&gt;0, "U",IF(COUNTIF('Tage Person2 Aus.2'!$AE$3:$AI$100, BA21)&gt;0, "h", "")))</f>
        <v/>
      </c>
      <c r="BD21" s="8" t="str">
        <f>IF(COUNTIF('Tage Person3 Aus.3'!$V$3:$AA$100, BA21)&gt;0, "S",IF(COUNTIF('Tage Person3 Aus.3'!$A$3:$O$100, BA21)&gt;0, "U",IF(COUNTIF('Tage Person3 Aus.3'!$AE$3:$AI$100, BA21)&gt;0, "h", "")))</f>
        <v/>
      </c>
      <c r="BE21" s="8" t="str">
        <f>IF(COUNTIF('Tage Person4 Aus.4'!$V$3:$AA$100, BA21)&gt;0, "S",IF(COUNTIF('Tage Person4 Aus.4'!$A$3:$O$100, BA21)&gt;0, "U",IF(COUNTIF('Tage Person4 Aus.4'!$AE$3:$AI$100, BA21)&gt;0, "h", "")))</f>
        <v/>
      </c>
      <c r="BF21" s="8" t="str">
        <f>IF(COUNTIF('Tage ferien Aus.'!$A$3:$O$100, BA21)&gt;0, "E", "")</f>
        <v>E</v>
      </c>
      <c r="BG21" s="8" t="str">
        <f>IF(COUNTIF('Tage feiertage Aus.'!$A$3:$O$100, BA21)&gt;0, "f", "")</f>
        <v/>
      </c>
      <c r="BH21" s="7">
        <f t="shared" si="8"/>
        <v>46285</v>
      </c>
      <c r="BI21" s="8" t="str">
        <f>IF(COUNTIF('Tage Person1 Aus.'!$V$3:$AA$100, BH21)&gt;0, "S",IF(COUNTIF('Tage Person1 Aus.'!$A$3:$O$100, BH21)&gt;0, "U",IF(COUNTIF('Tage Person1 Aus.'!$AE$3:$AI$100, BH21)&gt;0, "h", "")))</f>
        <v/>
      </c>
      <c r="BJ21" s="8" t="str">
        <f>IF(COUNTIF('Tage Person2 Aus.2'!$V$3:$AA$100, BH21)&gt;0, "S",IF(COUNTIF('Tage Person2 Aus.2'!$A$3:$O$100, BH21)&gt;0, "U",IF(COUNTIF('Tage Person2 Aus.2'!$AE$3:$AI$100, BH21)&gt;0, "h", "")))</f>
        <v/>
      </c>
      <c r="BK21" s="8" t="str">
        <f>IF(COUNTIF('Tage Person3 Aus.3'!$V$3:$AA$100, BH21)&gt;0, "S",IF(COUNTIF('Tage Person3 Aus.3'!$A$3:$O$100, BH21)&gt;0, "U",IF(COUNTIF('Tage Person3 Aus.3'!$AE$3:$AI$100, BH21)&gt;0, "h", "")))</f>
        <v/>
      </c>
      <c r="BL21" s="8" t="str">
        <f>IF(COUNTIF('Tage Person4 Aus.4'!$V$3:$AA$100, BH21)&gt;0, "S",IF(COUNTIF('Tage Person4 Aus.4'!$A$3:$O$100, BH21)&gt;0, "U",IF(COUNTIF('Tage Person4 Aus.4'!$AE$3:$AI$100, BH21)&gt;0, "h", "")))</f>
        <v/>
      </c>
      <c r="BM21" s="8" t="str">
        <f>IF(COUNTIF('Tage ferien Aus.'!$A$3:$O$100, BH21)&gt;0, "E", "")</f>
        <v/>
      </c>
      <c r="BN21" s="8" t="str">
        <f>IF(COUNTIF('Tage feiertage Aus.'!$A$3:$O$100, BH21)&gt;0, "f", "")</f>
        <v/>
      </c>
      <c r="BO21" s="7">
        <f t="shared" si="9"/>
        <v>46315</v>
      </c>
      <c r="BP21" s="8" t="str">
        <f>IF(COUNTIF('Tage Person1 Aus.'!$V$3:$AA$100, BO21)&gt;0, "S",IF(COUNTIF('Tage Person1 Aus.'!$A$3:$O$100, BO21)&gt;0, "U",IF(COUNTIF('Tage Person1 Aus.'!$AE$3:$AI$100, BO21)&gt;0, "h", "")))</f>
        <v/>
      </c>
      <c r="BQ21" s="8" t="str">
        <f>IF(COUNTIF('Tage Person2 Aus.2'!$V$3:$AA$100, BO21)&gt;0, "S",IF(COUNTIF('Tage Person2 Aus.2'!$A$3:$O$100, BO21)&gt;0, "U",IF(COUNTIF('Tage Person2 Aus.2'!$AE$3:$AI$100, BO21)&gt;0, "h", "")))</f>
        <v/>
      </c>
      <c r="BR21" s="8" t="str">
        <f>IF(COUNTIF('Tage Person3 Aus.3'!$V$3:$AA$100, BO21)&gt;0, "S",IF(COUNTIF('Tage Person3 Aus.3'!$A$3:$O$100, BO21)&gt;0, "U",IF(COUNTIF('Tage Person3 Aus.3'!$AE$3:$AI$100, BO21)&gt;0, "h", "")))</f>
        <v/>
      </c>
      <c r="BS21" s="8" t="str">
        <f>IF(COUNTIF('Tage Person4 Aus.4'!$V$3:$AA$100, BO21)&gt;0, "S",IF(COUNTIF('Tage Person4 Aus.4'!$A$3:$O$100, BO21)&gt;0, "U",IF(COUNTIF('Tage Person4 Aus.4'!$AE$3:$AI$100, BO21)&gt;0, "h", "")))</f>
        <v/>
      </c>
      <c r="BT21" s="8" t="str">
        <f>IF(COUNTIF('Tage ferien Aus.'!$A$3:$O$100, BO21)&gt;0, "E", "")</f>
        <v>E</v>
      </c>
      <c r="BU21" s="8" t="str">
        <f>IF(COUNTIF('Tage feiertage Aus.'!$A$3:$O$100, BO21)&gt;0, "f", "")</f>
        <v/>
      </c>
      <c r="BV21" s="7">
        <f t="shared" si="10"/>
        <v>46346</v>
      </c>
      <c r="BW21" s="8" t="str">
        <f>IF(COUNTIF('Tage Person1 Aus.'!$V$3:$AA$100, BV21)&gt;0, "S",IF(COUNTIF('Tage Person1 Aus.'!$A$3:$O$100, BV21)&gt;0, "U",IF(COUNTIF('Tage Person1 Aus.'!$AE$3:$AI$100, BV21)&gt;0, "h", "")))</f>
        <v/>
      </c>
      <c r="BX21" s="8" t="str">
        <f>IF(COUNTIF('Tage Person2 Aus.2'!$V$3:$AA$100, BV21)&gt;0, "S",IF(COUNTIF('Tage Person2 Aus.2'!$A$3:$O$100, BV21)&gt;0, "U",IF(COUNTIF('Tage Person2 Aus.2'!$AE$3:$AI$100, BV21)&gt;0, "h", "")))</f>
        <v/>
      </c>
      <c r="BY21" s="8" t="str">
        <f>IF(COUNTIF('Tage Person3 Aus.3'!$V$3:$AA$100, BV21)&gt;0, "S",IF(COUNTIF('Tage Person3 Aus.3'!$A$3:$O$100, BV21)&gt;0, "U",IF(COUNTIF('Tage Person3 Aus.3'!$AE$3:$AI$100, BV21)&gt;0, "h", "")))</f>
        <v/>
      </c>
      <c r="BZ21" s="8" t="str">
        <f>IF(COUNTIF('Tage Person4 Aus.4'!$V$3:$AA$100, BV21)&gt;0, "S",IF(COUNTIF('Tage Person4 Aus.4'!$A$3:$O$100, BV21)&gt;0, "U",IF(COUNTIF('Tage Person4 Aus.4'!$AE$3:$AI$100, BV21)&gt;0, "h", "")))</f>
        <v/>
      </c>
      <c r="CA21" s="8" t="str">
        <f>IF(COUNTIF('Tage ferien Aus.'!$A$3:$O$100, BV21)&gt;0, "E", "")</f>
        <v/>
      </c>
      <c r="CB21" s="8" t="str">
        <f>IF(COUNTIF('Tage feiertage Aus.'!$A$3:$O$100, BV21)&gt;0, "f", "")</f>
        <v/>
      </c>
      <c r="CC21" s="7">
        <f t="shared" si="11"/>
        <v>46376</v>
      </c>
      <c r="CD21" s="10" t="str">
        <f>IF(COUNTIF('Tage Person1 Aus.'!$V$3:$AA$100, CC21)&gt;0, "S",IF(COUNTIF('Tage Person1 Aus.'!$A$3:$O$100, CC21)&gt;0, "U",IF(COUNTIF('Tage Person1 Aus.'!$AE$3:$AI$100, CC21)&gt;0, "h", "")))</f>
        <v/>
      </c>
      <c r="CE21" s="11" t="str">
        <f>IF(COUNTIF('Tage Person2 Aus.2'!$V$3:$AA$100, CC21)&gt;0, "S",IF(COUNTIF('Tage Person2 Aus.2'!$A$3:$O$100, CC21)&gt;0, "U",IF(COUNTIF('Tage Person2 Aus.2'!$AE$3:$AI$100, CC21)&gt;0, "h", "")))</f>
        <v/>
      </c>
      <c r="CF21" s="12" t="str">
        <f>IF(COUNTIF('Tage Person3 Aus.3'!$V$3:$AA$100, CC21)&gt;0, "S",IF(COUNTIF('Tage Person3 Aus.3'!$A$3:$O$100, CC21)&gt;0, "U",IF(COUNTIF('Tage Person3 Aus.3'!$AE$3:$AI$100, CC21)&gt;0, "h", "")))</f>
        <v/>
      </c>
      <c r="CG21" s="10" t="str">
        <f>IF(COUNTIF('Tage Person4 Aus.4'!$V$3:$AA$100, CC21)&gt;0, "S",IF(COUNTIF('Tage Person4 Aus.4'!$A$3:$O$100, CC21)&gt;0, "U",IF(COUNTIF('Tage Person4 Aus.4'!$AE$3:$AI$100, CC21)&gt;0, "h", "")))</f>
        <v/>
      </c>
      <c r="CH21" s="11" t="str">
        <f>IF(COUNTIF('Tage ferien Aus.'!$A$3:$O$100, CC21)&gt;0, "E", "")</f>
        <v/>
      </c>
      <c r="CI21" s="12" t="str">
        <f>IF(COUNTIF('Tage feiertage Aus.'!$A$3:$O$100, CC21)&gt;0, "f", "")</f>
        <v/>
      </c>
      <c r="CJ21" s="4"/>
      <c r="CK21" s="4"/>
      <c r="CL21" s="6"/>
      <c r="CM21" s="4"/>
      <c r="CN21" s="2"/>
      <c r="CO21" s="3"/>
      <c r="CP21" s="4"/>
      <c r="CQ21" s="2"/>
      <c r="CR21" s="3"/>
      <c r="CS21" s="4"/>
      <c r="CT21" s="4"/>
      <c r="CU21" s="6"/>
      <c r="CV21" s="4"/>
      <c r="CW21" s="4"/>
      <c r="CX21" s="6"/>
      <c r="CY21" s="4"/>
    </row>
    <row r="22" spans="1:103" x14ac:dyDescent="0.3">
      <c r="A22" s="67"/>
      <c r="B22" s="58"/>
      <c r="C22" s="57"/>
      <c r="D22" s="7">
        <f t="shared" si="0"/>
        <v>46043</v>
      </c>
      <c r="E22" s="8" t="str">
        <f>IF(COUNTIF('Tage Person1 Aus.'!$V$3:$AA$100, D22)&gt;0, "S",IF(COUNTIF('Tage Person1 Aus.'!$A$3:$O$100, D22)&gt;0, "U",IF(COUNTIF('Tage Person1 Aus.'!$AE$3:$AI$100, D22)&gt;0, "h", "")))</f>
        <v/>
      </c>
      <c r="F22" s="8" t="str">
        <f>IF(COUNTIF('Tage Person2 Aus.2'!$V$3:$AA$100, D22)&gt;0, "S",IF(COUNTIF('Tage Person2 Aus.2'!$A$3:$O$100, D22)&gt;0, "U",IF(COUNTIF('Tage Person2 Aus.2'!$AE$3:$AI$100, D22)&gt;0, "h", "")))</f>
        <v/>
      </c>
      <c r="G22" s="8" t="str">
        <f>IF(COUNTIF('Tage Person3 Aus.3'!$V$3:$AA$100, D22)&gt;0, "S",IF(COUNTIF('Tage Person3 Aus.3'!$A$3:$O$100, D22)&gt;0, "U",IF(COUNTIF('Tage Person3 Aus.3'!$AE$3:$AI$100, D22)&gt;0, "h", "")))</f>
        <v/>
      </c>
      <c r="H22" s="8" t="str">
        <f>IF(COUNTIF('Tage Person4 Aus.4'!$V$3:$AA$100, D22)&gt;0, "S",IF(COUNTIF('Tage Person4 Aus.4'!$A$3:$O$100, D22)&gt;0, "U",IF(COUNTIF('Tage Person4 Aus.4'!$AE$3:$AI$100, D22)&gt;0, "h", "")))</f>
        <v/>
      </c>
      <c r="I22" s="8" t="str">
        <f>IF(COUNTIF('Tage ferien Aus.'!$A$3:$O$100, D22)&gt;0, "E", "")</f>
        <v/>
      </c>
      <c r="J22" s="8" t="str">
        <f>IF(COUNTIF('Tage feiertage Aus.'!$A$3:$O$100, D22)&gt;0, "f", "")</f>
        <v/>
      </c>
      <c r="K22" s="7">
        <f t="shared" si="1"/>
        <v>46074</v>
      </c>
      <c r="L22" s="8" t="str">
        <f>IF(COUNTIF('Tage Person1 Aus.'!$V$3:$AA$100, K22)&gt;0, "S",IF(COUNTIF('Tage Person1 Aus.'!$A$3:$O$100, K22)&gt;0, "U",IF(COUNTIF('Tage Person1 Aus.'!$AE$3:$AI$100, K22)&gt;0, "h", "")))</f>
        <v/>
      </c>
      <c r="M22" s="8" t="str">
        <f>IF(COUNTIF('Tage Person2 Aus.2'!$V$3:$AA$100, K22)&gt;0, "S",IF(COUNTIF('Tage Person2 Aus.2'!$A$3:$O$100, K22)&gt;0, "U",IF(COUNTIF('Tage Person2 Aus.2'!$AE$3:$AI$100, K22)&gt;0, "h", "")))</f>
        <v/>
      </c>
      <c r="N22" s="8" t="str">
        <f>IF(COUNTIF('Tage Person3 Aus.3'!$V$3:$AA$100, K22)&gt;0, "S",IF(COUNTIF('Tage Person3 Aus.3'!$A$3:$O$100, K22)&gt;0, "U",IF(COUNTIF('Tage Person3 Aus.3'!$AE$3:$AI$100, K22)&gt;0, "h", "")))</f>
        <v/>
      </c>
      <c r="O22" s="8" t="str">
        <f>IF(COUNTIF('Tage Person4 Aus.4'!$V$3:$AA$100, K22)&gt;0, "S",IF(COUNTIF('Tage Person4 Aus.4'!$A$3:$O$100, K22)&gt;0, "U",IF(COUNTIF('Tage Person4 Aus.4'!$AE$3:$AI$100, K22)&gt;0, "h", "")))</f>
        <v/>
      </c>
      <c r="P22" s="8" t="str">
        <f>IF(COUNTIF('Tage ferien Aus.'!$A$3:$O$100, K22)&gt;0, "E", "")</f>
        <v/>
      </c>
      <c r="Q22" s="8" t="str">
        <f>IF(COUNTIF('Tage feiertage Aus.'!$A$3:$O$100, K22)&gt;0, "f", "")</f>
        <v/>
      </c>
      <c r="R22" s="7">
        <f t="shared" si="2"/>
        <v>46102</v>
      </c>
      <c r="S22" s="8" t="str">
        <f>IF(COUNTIF('Tage Person1 Aus.'!$V$3:$AA$100, R22)&gt;0, "S",IF(COUNTIF('Tage Person1 Aus.'!$A$3:$O$100, R22)&gt;0, "U",IF(COUNTIF('Tage Person1 Aus.'!$AE$3:$AI$100, R22)&gt;0, "h", "")))</f>
        <v/>
      </c>
      <c r="T22" s="8" t="str">
        <f>IF(COUNTIF('Tage Person2 Aus.2'!$V$3:$AA$100, R22)&gt;0, "S",IF(COUNTIF('Tage Person2 Aus.2'!$A$3:$O$100, R22)&gt;0, "U",IF(COUNTIF('Tage Person2 Aus.2'!$AE$3:$AI$100, R22)&gt;0, "h", "")))</f>
        <v/>
      </c>
      <c r="U22" s="8" t="str">
        <f>IF(COUNTIF('Tage Person3 Aus.3'!$V$3:$AA$100, R22)&gt;0, "S",IF(COUNTIF('Tage Person3 Aus.3'!$A$3:$O$100, R22)&gt;0, "U",IF(COUNTIF('Tage Person3 Aus.3'!$AE$3:$AI$100, R22)&gt;0, "h", "")))</f>
        <v/>
      </c>
      <c r="V22" s="8" t="str">
        <f>IF(COUNTIF('Tage Person4 Aus.4'!$V$3:$AA$100, R22)&gt;0, "S",IF(COUNTIF('Tage Person4 Aus.4'!$A$3:$O$100, R22)&gt;0, "U",IF(COUNTIF('Tage Person4 Aus.4'!$AE$3:$AI$100, R22)&gt;0, "h", "")))</f>
        <v/>
      </c>
      <c r="W22" s="8" t="str">
        <f>IF(COUNTIF('Tage ferien Aus.'!$A$3:$O$100, R22)&gt;0, "E", "")</f>
        <v/>
      </c>
      <c r="X22" s="8" t="str">
        <f>IF(COUNTIF('Tage feiertage Aus.'!$A$3:$O$100, R22)&gt;0, "f", "")</f>
        <v/>
      </c>
      <c r="Y22" s="7">
        <f t="shared" si="3"/>
        <v>46133</v>
      </c>
      <c r="Z22" s="8" t="str">
        <f>IF(COUNTIF('Tage Person1 Aus.'!$V$3:$AA$100, Y22)&gt;0, "S",IF(COUNTIF('Tage Person1 Aus.'!$A$3:$O$100, Y22)&gt;0, "U",IF(COUNTIF('Tage Person1 Aus.'!$AE$3:$AI$100, Y22)&gt;0, "h", "")))</f>
        <v/>
      </c>
      <c r="AA22" s="8" t="str">
        <f>IF(COUNTIF('Tage Person2 Aus.2'!$V$3:$AA$100, Y22)&gt;0, "S",IF(COUNTIF('Tage Person2 Aus.2'!$A$3:$O$100, Y22)&gt;0, "U",IF(COUNTIF('Tage Person2 Aus.2'!$AE$3:$AI$100, Y22)&gt;0, "h", "")))</f>
        <v/>
      </c>
      <c r="AB22" s="8" t="str">
        <f>IF(COUNTIF('Tage Person3 Aus.3'!$V$3:$AA$100, Y22)&gt;0, "S",IF(COUNTIF('Tage Person3 Aus.3'!$A$3:$O$100, Y22)&gt;0, "U",IF(COUNTIF('Tage Person3 Aus.3'!$AE$3:$AI$100, Y22)&gt;0, "h", "")))</f>
        <v/>
      </c>
      <c r="AC22" s="8" t="str">
        <f>IF(COUNTIF('Tage Person4 Aus.4'!$V$3:$AA$100, Y22)&gt;0, "S",IF(COUNTIF('Tage Person4 Aus.4'!$A$3:$O$100, Y22)&gt;0, "U",IF(COUNTIF('Tage Person4 Aus.4'!$AE$3:$AI$100, Y22)&gt;0, "h", "")))</f>
        <v/>
      </c>
      <c r="AD22" s="8" t="str">
        <f>IF(COUNTIF('Tage ferien Aus.'!$A$3:$O$100, Y22)&gt;0, "E", "")</f>
        <v/>
      </c>
      <c r="AE22" s="8" t="str">
        <f>IF(COUNTIF('Tage feiertage Aus.'!$A$3:$O$100, Y22)&gt;0, "f", "")</f>
        <v/>
      </c>
      <c r="AF22" s="7">
        <f t="shared" si="4"/>
        <v>46163</v>
      </c>
      <c r="AG22" s="9" t="str">
        <f>IF(COUNTIF('Tage Person1 Aus.'!$V$3:$AA$100, AF22)&gt;0, "S",IF(COUNTIF('Tage Person1 Aus.'!$A$3:$O$100, AF22)&gt;0, "U",IF(COUNTIF('Tage Person1 Aus.'!$AE$3:$AI$100, AF22)&gt;0, "h", "")))</f>
        <v/>
      </c>
      <c r="AH22" s="8" t="str">
        <f>IF(COUNTIF('Tage Person2 Aus.2'!$V$3:$AA$100, AF22)&gt;0, "S",IF(COUNTIF('Tage Person2 Aus.2'!$A$3:$O$100, AF22)&gt;0, "U",IF(COUNTIF('Tage Person2 Aus.2'!$AE$3:$AI$100, AF22)&gt;0, "h", "")))</f>
        <v/>
      </c>
      <c r="AI22" s="8" t="str">
        <f>IF(COUNTIF('Tage Person3 Aus.3'!$V$3:$AA$100, AF22)&gt;0, "S",IF(COUNTIF('Tage Person3 Aus.3'!$A$3:$O$100, AF22)&gt;0, "U",IF(COUNTIF('Tage Person3 Aus.3'!$AE$3:$AI$100, AF22)&gt;0, "h", "")))</f>
        <v/>
      </c>
      <c r="AJ22" s="8" t="str">
        <f>IF(COUNTIF('Tage Person4 Aus.4'!$V$3:$AA$100, AF22)&gt;0, "S",IF(COUNTIF('Tage Person4 Aus.4'!$A$3:$O$100, AF22)&gt;0, "U",IF(COUNTIF('Tage Person4 Aus.4'!$AE$3:$AI$100, AF22)&gt;0, "h", "")))</f>
        <v/>
      </c>
      <c r="AK22" s="8" t="str">
        <f>IF(COUNTIF('Tage ferien Aus.'!$A$3:$O$100, AF22)&gt;0, "E", "")</f>
        <v/>
      </c>
      <c r="AL22" s="8" t="str">
        <f>IF(COUNTIF('Tage feiertage Aus.'!$A$3:$O$100, AF22)&gt;0, "f", "")</f>
        <v/>
      </c>
      <c r="AM22" s="7">
        <f t="shared" si="5"/>
        <v>46194</v>
      </c>
      <c r="AN22" s="8" t="str">
        <f>IF(COUNTIF('Tage Person1 Aus.'!$V$3:$AA$100, AM22)&gt;0, "S",IF(COUNTIF('Tage Person1 Aus.'!$A$3:$O$100, AM22)&gt;0, "U",IF(COUNTIF('Tage Person1 Aus.'!$AE$3:$AI$100, AM22)&gt;0, "h", "")))</f>
        <v/>
      </c>
      <c r="AO22" s="8" t="str">
        <f>IF(COUNTIF('Tage Person2 Aus.2'!$V$3:$AA$100, AM22)&gt;0, "S",IF(COUNTIF('Tage Person2 Aus.2'!$A$3:$O$100, AM22)&gt;0, "U",IF(COUNTIF('Tage Person2 Aus.2'!$AE$3:$AI$100, AM22)&gt;0, "h", "")))</f>
        <v/>
      </c>
      <c r="AP22" s="8" t="str">
        <f>IF(COUNTIF('Tage Person3 Aus.3'!$V$3:$AA$100, AM22)&gt;0, "S",IF(COUNTIF('Tage Person3 Aus.3'!$A$3:$O$100, AM22)&gt;0, "U",IF(COUNTIF('Tage Person3 Aus.3'!$AE$3:$AI$100, AM22)&gt;0, "h", "")))</f>
        <v/>
      </c>
      <c r="AQ22" s="8" t="str">
        <f>IF(COUNTIF('Tage Person4 Aus.4'!$V$3:$AA$100, AM22)&gt;0, "S",IF(COUNTIF('Tage Person4 Aus.4'!$A$3:$O$100, AM22)&gt;0, "U",IF(COUNTIF('Tage Person4 Aus.4'!$AE$3:$AI$100, AM22)&gt;0, "h", "")))</f>
        <v/>
      </c>
      <c r="AR22" s="8" t="str">
        <f>IF(COUNTIF('Tage ferien Aus.'!$A$3:$O$100, AM22)&gt;0, "E", "")</f>
        <v/>
      </c>
      <c r="AS22" s="8" t="str">
        <f>IF(COUNTIF('Tage feiertage Aus.'!$A$3:$O$100, AM22)&gt;0, "f", "")</f>
        <v/>
      </c>
      <c r="AT22" s="7">
        <f t="shared" si="6"/>
        <v>46224</v>
      </c>
      <c r="AU22" s="8" t="str">
        <f>IF(COUNTIF('Tage Person1 Aus.'!$V$3:$AA$100, AT22)&gt;0, "S",IF(COUNTIF('Tage Person1 Aus.'!$A$3:$O$100, AT22)&gt;0, "U",IF(COUNTIF('Tage Person1 Aus.'!$AE$3:$AI$100, AT22)&gt;0, "h", "")))</f>
        <v/>
      </c>
      <c r="AV22" s="8" t="str">
        <f>IF(COUNTIF('Tage Person2 Aus.2'!$V$3:$AA$100, AT22)&gt;0, "S",IF(COUNTIF('Tage Person2 Aus.2'!$A$3:$O$100, AT22)&gt;0, "U",IF(COUNTIF('Tage Person2 Aus.2'!$AE$3:$AI$100, AT22)&gt;0, "h", "")))</f>
        <v/>
      </c>
      <c r="AW22" s="8" t="str">
        <f>IF(COUNTIF('Tage Person3 Aus.3'!$V$3:$AA$100, AT22)&gt;0, "S",IF(COUNTIF('Tage Person3 Aus.3'!$A$3:$O$100, AT22)&gt;0, "U",IF(COUNTIF('Tage Person3 Aus.3'!$AE$3:$AI$100, AT22)&gt;0, "h", "")))</f>
        <v/>
      </c>
      <c r="AX22" s="8" t="str">
        <f>IF(COUNTIF('Tage Person4 Aus.4'!$V$3:$AA$100, AT22)&gt;0, "S",IF(COUNTIF('Tage Person4 Aus.4'!$A$3:$O$100, AT22)&gt;0, "U",IF(COUNTIF('Tage Person4 Aus.4'!$AE$3:$AI$100, AT22)&gt;0, "h", "")))</f>
        <v/>
      </c>
      <c r="AY22" s="8" t="str">
        <f>IF(COUNTIF('Tage ferien Aus.'!$A$3:$O$100, AT22)&gt;0, "E", "")</f>
        <v>E</v>
      </c>
      <c r="AZ22" s="8" t="str">
        <f>IF(COUNTIF('Tage feiertage Aus.'!$A$3:$O$100, AT22)&gt;0, "f", "")</f>
        <v/>
      </c>
      <c r="BA22" s="7">
        <f t="shared" si="7"/>
        <v>46255</v>
      </c>
      <c r="BB22" s="8" t="str">
        <f>IF(COUNTIF('Tage Person1 Aus.'!$V$3:$AA$100, BA22)&gt;0, "S",IF(COUNTIF('Tage Person1 Aus.'!$A$3:$O$100, BA22)&gt;0, "U",IF(COUNTIF('Tage Person1 Aus.'!$AE$3:$AI$100, BA22)&gt;0, "h", "")))</f>
        <v/>
      </c>
      <c r="BC22" s="8" t="str">
        <f>IF(COUNTIF('Tage Person2 Aus.2'!$V$3:$AA$100, BA22)&gt;0, "S",IF(COUNTIF('Tage Person2 Aus.2'!$A$3:$O$100, BA22)&gt;0, "U",IF(COUNTIF('Tage Person2 Aus.2'!$AE$3:$AI$100, BA22)&gt;0, "h", "")))</f>
        <v/>
      </c>
      <c r="BD22" s="8" t="str">
        <f>IF(COUNTIF('Tage Person3 Aus.3'!$V$3:$AA$100, BA22)&gt;0, "S",IF(COUNTIF('Tage Person3 Aus.3'!$A$3:$O$100, BA22)&gt;0, "U",IF(COUNTIF('Tage Person3 Aus.3'!$AE$3:$AI$100, BA22)&gt;0, "h", "")))</f>
        <v/>
      </c>
      <c r="BE22" s="8" t="str">
        <f>IF(COUNTIF('Tage Person4 Aus.4'!$V$3:$AA$100, BA22)&gt;0, "S",IF(COUNTIF('Tage Person4 Aus.4'!$A$3:$O$100, BA22)&gt;0, "U",IF(COUNTIF('Tage Person4 Aus.4'!$AE$3:$AI$100, BA22)&gt;0, "h", "")))</f>
        <v/>
      </c>
      <c r="BF22" s="8" t="str">
        <f>IF(COUNTIF('Tage ferien Aus.'!$A$3:$O$100, BA22)&gt;0, "E", "")</f>
        <v>E</v>
      </c>
      <c r="BG22" s="8" t="str">
        <f>IF(COUNTIF('Tage feiertage Aus.'!$A$3:$O$100, BA22)&gt;0, "f", "")</f>
        <v/>
      </c>
      <c r="BH22" s="7">
        <f t="shared" si="8"/>
        <v>46286</v>
      </c>
      <c r="BI22" s="8" t="str">
        <f>IF(COUNTIF('Tage Person1 Aus.'!$V$3:$AA$100, BH22)&gt;0, "S",IF(COUNTIF('Tage Person1 Aus.'!$A$3:$O$100, BH22)&gt;0, "U",IF(COUNTIF('Tage Person1 Aus.'!$AE$3:$AI$100, BH22)&gt;0, "h", "")))</f>
        <v/>
      </c>
      <c r="BJ22" s="8" t="str">
        <f>IF(COUNTIF('Tage Person2 Aus.2'!$V$3:$AA$100, BH22)&gt;0, "S",IF(COUNTIF('Tage Person2 Aus.2'!$A$3:$O$100, BH22)&gt;0, "U",IF(COUNTIF('Tage Person2 Aus.2'!$AE$3:$AI$100, BH22)&gt;0, "h", "")))</f>
        <v/>
      </c>
      <c r="BK22" s="8" t="str">
        <f>IF(COUNTIF('Tage Person3 Aus.3'!$V$3:$AA$100, BH22)&gt;0, "S",IF(COUNTIF('Tage Person3 Aus.3'!$A$3:$O$100, BH22)&gt;0, "U",IF(COUNTIF('Tage Person3 Aus.3'!$AE$3:$AI$100, BH22)&gt;0, "h", "")))</f>
        <v/>
      </c>
      <c r="BL22" s="8" t="str">
        <f>IF(COUNTIF('Tage Person4 Aus.4'!$V$3:$AA$100, BH22)&gt;0, "S",IF(COUNTIF('Tage Person4 Aus.4'!$A$3:$O$100, BH22)&gt;0, "U",IF(COUNTIF('Tage Person4 Aus.4'!$AE$3:$AI$100, BH22)&gt;0, "h", "")))</f>
        <v/>
      </c>
      <c r="BM22" s="8" t="str">
        <f>IF(COUNTIF('Tage ferien Aus.'!$A$3:$O$100, BH22)&gt;0, "E", "")</f>
        <v/>
      </c>
      <c r="BN22" s="8" t="str">
        <f>IF(COUNTIF('Tage feiertage Aus.'!$A$3:$O$100, BH22)&gt;0, "f", "")</f>
        <v/>
      </c>
      <c r="BO22" s="7">
        <f t="shared" si="9"/>
        <v>46316</v>
      </c>
      <c r="BP22" s="8" t="str">
        <f>IF(COUNTIF('Tage Person1 Aus.'!$V$3:$AA$100, BO22)&gt;0, "S",IF(COUNTIF('Tage Person1 Aus.'!$A$3:$O$100, BO22)&gt;0, "U",IF(COUNTIF('Tage Person1 Aus.'!$AE$3:$AI$100, BO22)&gt;0, "h", "")))</f>
        <v/>
      </c>
      <c r="BQ22" s="8" t="str">
        <f>IF(COUNTIF('Tage Person2 Aus.2'!$V$3:$AA$100, BO22)&gt;0, "S",IF(COUNTIF('Tage Person2 Aus.2'!$A$3:$O$100, BO22)&gt;0, "U",IF(COUNTIF('Tage Person2 Aus.2'!$AE$3:$AI$100, BO22)&gt;0, "h", "")))</f>
        <v/>
      </c>
      <c r="BR22" s="8" t="str">
        <f>IF(COUNTIF('Tage Person3 Aus.3'!$V$3:$AA$100, BO22)&gt;0, "S",IF(COUNTIF('Tage Person3 Aus.3'!$A$3:$O$100, BO22)&gt;0, "U",IF(COUNTIF('Tage Person3 Aus.3'!$AE$3:$AI$100, BO22)&gt;0, "h", "")))</f>
        <v/>
      </c>
      <c r="BS22" s="8" t="str">
        <f>IF(COUNTIF('Tage Person4 Aus.4'!$V$3:$AA$100, BO22)&gt;0, "S",IF(COUNTIF('Tage Person4 Aus.4'!$A$3:$O$100, BO22)&gt;0, "U",IF(COUNTIF('Tage Person4 Aus.4'!$AE$3:$AI$100, BO22)&gt;0, "h", "")))</f>
        <v/>
      </c>
      <c r="BT22" s="8" t="str">
        <f>IF(COUNTIF('Tage ferien Aus.'!$A$3:$O$100, BO22)&gt;0, "E", "")</f>
        <v>E</v>
      </c>
      <c r="BU22" s="8" t="str">
        <f>IF(COUNTIF('Tage feiertage Aus.'!$A$3:$O$100, BO22)&gt;0, "f", "")</f>
        <v/>
      </c>
      <c r="BV22" s="7">
        <f t="shared" si="10"/>
        <v>46347</v>
      </c>
      <c r="BW22" s="8" t="str">
        <f>IF(COUNTIF('Tage Person1 Aus.'!$V$3:$AA$100, BV22)&gt;0, "S",IF(COUNTIF('Tage Person1 Aus.'!$A$3:$O$100, BV22)&gt;0, "U",IF(COUNTIF('Tage Person1 Aus.'!$AE$3:$AI$100, BV22)&gt;0, "h", "")))</f>
        <v/>
      </c>
      <c r="BX22" s="8" t="str">
        <f>IF(COUNTIF('Tage Person2 Aus.2'!$V$3:$AA$100, BV22)&gt;0, "S",IF(COUNTIF('Tage Person2 Aus.2'!$A$3:$O$100, BV22)&gt;0, "U",IF(COUNTIF('Tage Person2 Aus.2'!$AE$3:$AI$100, BV22)&gt;0, "h", "")))</f>
        <v/>
      </c>
      <c r="BY22" s="8" t="str">
        <f>IF(COUNTIF('Tage Person3 Aus.3'!$V$3:$AA$100, BV22)&gt;0, "S",IF(COUNTIF('Tage Person3 Aus.3'!$A$3:$O$100, BV22)&gt;0, "U",IF(COUNTIF('Tage Person3 Aus.3'!$AE$3:$AI$100, BV22)&gt;0, "h", "")))</f>
        <v/>
      </c>
      <c r="BZ22" s="8" t="str">
        <f>IF(COUNTIF('Tage Person4 Aus.4'!$V$3:$AA$100, BV22)&gt;0, "S",IF(COUNTIF('Tage Person4 Aus.4'!$A$3:$O$100, BV22)&gt;0, "U",IF(COUNTIF('Tage Person4 Aus.4'!$AE$3:$AI$100, BV22)&gt;0, "h", "")))</f>
        <v/>
      </c>
      <c r="CA22" s="8" t="str">
        <f>IF(COUNTIF('Tage ferien Aus.'!$A$3:$O$100, BV22)&gt;0, "E", "")</f>
        <v/>
      </c>
      <c r="CB22" s="8" t="str">
        <f>IF(COUNTIF('Tage feiertage Aus.'!$A$3:$O$100, BV22)&gt;0, "f", "")</f>
        <v/>
      </c>
      <c r="CC22" s="7">
        <f t="shared" si="11"/>
        <v>46377</v>
      </c>
      <c r="CD22" s="10" t="str">
        <f>IF(COUNTIF('Tage Person1 Aus.'!$V$3:$AA$100, CC22)&gt;0, "S",IF(COUNTIF('Tage Person1 Aus.'!$A$3:$O$100, CC22)&gt;0, "U",IF(COUNTIF('Tage Person1 Aus.'!$AE$3:$AI$100, CC22)&gt;0, "h", "")))</f>
        <v/>
      </c>
      <c r="CE22" s="11" t="str">
        <f>IF(COUNTIF('Tage Person2 Aus.2'!$V$3:$AA$100, CC22)&gt;0, "S",IF(COUNTIF('Tage Person2 Aus.2'!$A$3:$O$100, CC22)&gt;0, "U",IF(COUNTIF('Tage Person2 Aus.2'!$AE$3:$AI$100, CC22)&gt;0, "h", "")))</f>
        <v/>
      </c>
      <c r="CF22" s="12" t="str">
        <f>IF(COUNTIF('Tage Person3 Aus.3'!$V$3:$AA$100, CC22)&gt;0, "S",IF(COUNTIF('Tage Person3 Aus.3'!$A$3:$O$100, CC22)&gt;0, "U",IF(COUNTIF('Tage Person3 Aus.3'!$AE$3:$AI$100, CC22)&gt;0, "h", "")))</f>
        <v/>
      </c>
      <c r="CG22" s="10" t="str">
        <f>IF(COUNTIF('Tage Person4 Aus.4'!$V$3:$AA$100, CC22)&gt;0, "S",IF(COUNTIF('Tage Person4 Aus.4'!$A$3:$O$100, CC22)&gt;0, "U",IF(COUNTIF('Tage Person4 Aus.4'!$AE$3:$AI$100, CC22)&gt;0, "h", "")))</f>
        <v/>
      </c>
      <c r="CH22" s="11" t="str">
        <f>IF(COUNTIF('Tage ferien Aus.'!$A$3:$O$100, CC22)&gt;0, "E", "")</f>
        <v/>
      </c>
      <c r="CI22" s="12" t="str">
        <f>IF(COUNTIF('Tage feiertage Aus.'!$A$3:$O$100, CC22)&gt;0, "f", "")</f>
        <v/>
      </c>
      <c r="CJ22" s="4"/>
      <c r="CK22" s="4"/>
      <c r="CL22" s="6"/>
      <c r="CM22" s="4"/>
      <c r="CN22" s="2"/>
      <c r="CO22" s="3"/>
      <c r="CP22" s="4"/>
      <c r="CQ22" s="2"/>
      <c r="CR22" s="3"/>
      <c r="CS22" s="4"/>
      <c r="CT22" s="4"/>
      <c r="CU22" s="6"/>
      <c r="CV22" s="4"/>
      <c r="CW22" s="4"/>
      <c r="CX22" s="6"/>
      <c r="CY22" s="4"/>
    </row>
    <row r="23" spans="1:103" x14ac:dyDescent="0.3">
      <c r="A23" s="67"/>
      <c r="B23" s="58"/>
      <c r="C23" s="57"/>
      <c r="D23" s="7">
        <f t="shared" si="0"/>
        <v>46044</v>
      </c>
      <c r="E23" s="8" t="str">
        <f>IF(COUNTIF('Tage Person1 Aus.'!$V$3:$AA$100, D23)&gt;0, "S",IF(COUNTIF('Tage Person1 Aus.'!$A$3:$O$100, D23)&gt;0, "U",IF(COUNTIF('Tage Person1 Aus.'!$AE$3:$AI$100, D23)&gt;0, "h", "")))</f>
        <v/>
      </c>
      <c r="F23" s="8" t="str">
        <f>IF(COUNTIF('Tage Person2 Aus.2'!$V$3:$AA$100, D23)&gt;0, "S",IF(COUNTIF('Tage Person2 Aus.2'!$A$3:$O$100, D23)&gt;0, "U",IF(COUNTIF('Tage Person2 Aus.2'!$AE$3:$AI$100, D23)&gt;0, "h", "")))</f>
        <v/>
      </c>
      <c r="G23" s="8" t="str">
        <f>IF(COUNTIF('Tage Person3 Aus.3'!$V$3:$AA$100, D23)&gt;0, "S",IF(COUNTIF('Tage Person3 Aus.3'!$A$3:$O$100, D23)&gt;0, "U",IF(COUNTIF('Tage Person3 Aus.3'!$AE$3:$AI$100, D23)&gt;0, "h", "")))</f>
        <v/>
      </c>
      <c r="H23" s="8" t="str">
        <f>IF(COUNTIF('Tage Person4 Aus.4'!$V$3:$AA$100, D23)&gt;0, "S",IF(COUNTIF('Tage Person4 Aus.4'!$A$3:$O$100, D23)&gt;0, "U",IF(COUNTIF('Tage Person4 Aus.4'!$AE$3:$AI$100, D23)&gt;0, "h", "")))</f>
        <v/>
      </c>
      <c r="I23" s="8" t="str">
        <f>IF(COUNTIF('Tage ferien Aus.'!$A$3:$O$100, D23)&gt;0, "E", "")</f>
        <v/>
      </c>
      <c r="J23" s="8" t="str">
        <f>IF(COUNTIF('Tage feiertage Aus.'!$A$3:$O$100, D23)&gt;0, "f", "")</f>
        <v/>
      </c>
      <c r="K23" s="7">
        <f t="shared" si="1"/>
        <v>46075</v>
      </c>
      <c r="L23" s="8" t="str">
        <f>IF(COUNTIF('Tage Person1 Aus.'!$V$3:$AA$100, K23)&gt;0, "S",IF(COUNTIF('Tage Person1 Aus.'!$A$3:$O$100, K23)&gt;0, "U",IF(COUNTIF('Tage Person1 Aus.'!$AE$3:$AI$100, K23)&gt;0, "h", "")))</f>
        <v/>
      </c>
      <c r="M23" s="8" t="str">
        <f>IF(COUNTIF('Tage Person2 Aus.2'!$V$3:$AA$100, K23)&gt;0, "S",IF(COUNTIF('Tage Person2 Aus.2'!$A$3:$O$100, K23)&gt;0, "U",IF(COUNTIF('Tage Person2 Aus.2'!$AE$3:$AI$100, K23)&gt;0, "h", "")))</f>
        <v/>
      </c>
      <c r="N23" s="8" t="str">
        <f>IF(COUNTIF('Tage Person3 Aus.3'!$V$3:$AA$100, K23)&gt;0, "S",IF(COUNTIF('Tage Person3 Aus.3'!$A$3:$O$100, K23)&gt;0, "U",IF(COUNTIF('Tage Person3 Aus.3'!$AE$3:$AI$100, K23)&gt;0, "h", "")))</f>
        <v/>
      </c>
      <c r="O23" s="8" t="str">
        <f>IF(COUNTIF('Tage Person4 Aus.4'!$V$3:$AA$100, K23)&gt;0, "S",IF(COUNTIF('Tage Person4 Aus.4'!$A$3:$O$100, K23)&gt;0, "U",IF(COUNTIF('Tage Person4 Aus.4'!$AE$3:$AI$100, K23)&gt;0, "h", "")))</f>
        <v/>
      </c>
      <c r="P23" s="8" t="str">
        <f>IF(COUNTIF('Tage ferien Aus.'!$A$3:$O$100, K23)&gt;0, "E", "")</f>
        <v/>
      </c>
      <c r="Q23" s="8" t="str">
        <f>IF(COUNTIF('Tage feiertage Aus.'!$A$3:$O$100, K23)&gt;0, "f", "")</f>
        <v/>
      </c>
      <c r="R23" s="7">
        <f t="shared" si="2"/>
        <v>46103</v>
      </c>
      <c r="S23" s="8" t="str">
        <f>IF(COUNTIF('Tage Person1 Aus.'!$V$3:$AA$100, R23)&gt;0, "S",IF(COUNTIF('Tage Person1 Aus.'!$A$3:$O$100, R23)&gt;0, "U",IF(COUNTIF('Tage Person1 Aus.'!$AE$3:$AI$100, R23)&gt;0, "h", "")))</f>
        <v/>
      </c>
      <c r="T23" s="8" t="str">
        <f>IF(COUNTIF('Tage Person2 Aus.2'!$V$3:$AA$100, R23)&gt;0, "S",IF(COUNTIF('Tage Person2 Aus.2'!$A$3:$O$100, R23)&gt;0, "U",IF(COUNTIF('Tage Person2 Aus.2'!$AE$3:$AI$100, R23)&gt;0, "h", "")))</f>
        <v/>
      </c>
      <c r="U23" s="8" t="str">
        <f>IF(COUNTIF('Tage Person3 Aus.3'!$V$3:$AA$100, R23)&gt;0, "S",IF(COUNTIF('Tage Person3 Aus.3'!$A$3:$O$100, R23)&gt;0, "U",IF(COUNTIF('Tage Person3 Aus.3'!$AE$3:$AI$100, R23)&gt;0, "h", "")))</f>
        <v/>
      </c>
      <c r="V23" s="8" t="str">
        <f>IF(COUNTIF('Tage Person4 Aus.4'!$V$3:$AA$100, R23)&gt;0, "S",IF(COUNTIF('Tage Person4 Aus.4'!$A$3:$O$100, R23)&gt;0, "U",IF(COUNTIF('Tage Person4 Aus.4'!$AE$3:$AI$100, R23)&gt;0, "h", "")))</f>
        <v/>
      </c>
      <c r="W23" s="8" t="str">
        <f>IF(COUNTIF('Tage ferien Aus.'!$A$3:$O$100, R23)&gt;0, "E", "")</f>
        <v/>
      </c>
      <c r="X23" s="8" t="str">
        <f>IF(COUNTIF('Tage feiertage Aus.'!$A$3:$O$100, R23)&gt;0, "f", "")</f>
        <v/>
      </c>
      <c r="Y23" s="7">
        <f t="shared" si="3"/>
        <v>46134</v>
      </c>
      <c r="Z23" s="8" t="str">
        <f>IF(COUNTIF('Tage Person1 Aus.'!$V$3:$AA$100, Y23)&gt;0, "S",IF(COUNTIF('Tage Person1 Aus.'!$A$3:$O$100, Y23)&gt;0, "U",IF(COUNTIF('Tage Person1 Aus.'!$AE$3:$AI$100, Y23)&gt;0, "h", "")))</f>
        <v/>
      </c>
      <c r="AA23" s="8" t="str">
        <f>IF(COUNTIF('Tage Person2 Aus.2'!$V$3:$AA$100, Y23)&gt;0, "S",IF(COUNTIF('Tage Person2 Aus.2'!$A$3:$O$100, Y23)&gt;0, "U",IF(COUNTIF('Tage Person2 Aus.2'!$AE$3:$AI$100, Y23)&gt;0, "h", "")))</f>
        <v/>
      </c>
      <c r="AB23" s="8" t="str">
        <f>IF(COUNTIF('Tage Person3 Aus.3'!$V$3:$AA$100, Y23)&gt;0, "S",IF(COUNTIF('Tage Person3 Aus.3'!$A$3:$O$100, Y23)&gt;0, "U",IF(COUNTIF('Tage Person3 Aus.3'!$AE$3:$AI$100, Y23)&gt;0, "h", "")))</f>
        <v/>
      </c>
      <c r="AC23" s="8" t="str">
        <f>IF(COUNTIF('Tage Person4 Aus.4'!$V$3:$AA$100, Y23)&gt;0, "S",IF(COUNTIF('Tage Person4 Aus.4'!$A$3:$O$100, Y23)&gt;0, "U",IF(COUNTIF('Tage Person4 Aus.4'!$AE$3:$AI$100, Y23)&gt;0, "h", "")))</f>
        <v/>
      </c>
      <c r="AD23" s="8" t="str">
        <f>IF(COUNTIF('Tage ferien Aus.'!$A$3:$O$100, Y23)&gt;0, "E", "")</f>
        <v/>
      </c>
      <c r="AE23" s="8" t="str">
        <f>IF(COUNTIF('Tage feiertage Aus.'!$A$3:$O$100, Y23)&gt;0, "f", "")</f>
        <v/>
      </c>
      <c r="AF23" s="7">
        <f t="shared" si="4"/>
        <v>46164</v>
      </c>
      <c r="AG23" s="9" t="str">
        <f>IF(COUNTIF('Tage Person1 Aus.'!$V$3:$AA$100, AF23)&gt;0, "S",IF(COUNTIF('Tage Person1 Aus.'!$A$3:$O$100, AF23)&gt;0, "U",IF(COUNTIF('Tage Person1 Aus.'!$AE$3:$AI$100, AF23)&gt;0, "h", "")))</f>
        <v/>
      </c>
      <c r="AH23" s="8" t="str">
        <f>IF(COUNTIF('Tage Person2 Aus.2'!$V$3:$AA$100, AF23)&gt;0, "S",IF(COUNTIF('Tage Person2 Aus.2'!$A$3:$O$100, AF23)&gt;0, "U",IF(COUNTIF('Tage Person2 Aus.2'!$AE$3:$AI$100, AF23)&gt;0, "h", "")))</f>
        <v/>
      </c>
      <c r="AI23" s="8" t="str">
        <f>IF(COUNTIF('Tage Person3 Aus.3'!$V$3:$AA$100, AF23)&gt;0, "S",IF(COUNTIF('Tage Person3 Aus.3'!$A$3:$O$100, AF23)&gt;0, "U",IF(COUNTIF('Tage Person3 Aus.3'!$AE$3:$AI$100, AF23)&gt;0, "h", "")))</f>
        <v/>
      </c>
      <c r="AJ23" s="8" t="str">
        <f>IF(COUNTIF('Tage Person4 Aus.4'!$V$3:$AA$100, AF23)&gt;0, "S",IF(COUNTIF('Tage Person4 Aus.4'!$A$3:$O$100, AF23)&gt;0, "U",IF(COUNTIF('Tage Person4 Aus.4'!$AE$3:$AI$100, AF23)&gt;0, "h", "")))</f>
        <v/>
      </c>
      <c r="AK23" s="8" t="str">
        <f>IF(COUNTIF('Tage ferien Aus.'!$A$3:$O$100, AF23)&gt;0, "E", "")</f>
        <v/>
      </c>
      <c r="AL23" s="8" t="str">
        <f>IF(COUNTIF('Tage feiertage Aus.'!$A$3:$O$100, AF23)&gt;0, "f", "")</f>
        <v/>
      </c>
      <c r="AM23" s="7">
        <f t="shared" si="5"/>
        <v>46195</v>
      </c>
      <c r="AN23" s="8" t="str">
        <f>IF(COUNTIF('Tage Person1 Aus.'!$V$3:$AA$100, AM23)&gt;0, "S",IF(COUNTIF('Tage Person1 Aus.'!$A$3:$O$100, AM23)&gt;0, "U",IF(COUNTIF('Tage Person1 Aus.'!$AE$3:$AI$100, AM23)&gt;0, "h", "")))</f>
        <v/>
      </c>
      <c r="AO23" s="8" t="str">
        <f>IF(COUNTIF('Tage Person2 Aus.2'!$V$3:$AA$100, AM23)&gt;0, "S",IF(COUNTIF('Tage Person2 Aus.2'!$A$3:$O$100, AM23)&gt;0, "U",IF(COUNTIF('Tage Person2 Aus.2'!$AE$3:$AI$100, AM23)&gt;0, "h", "")))</f>
        <v/>
      </c>
      <c r="AP23" s="8" t="str">
        <f>IF(COUNTIF('Tage Person3 Aus.3'!$V$3:$AA$100, AM23)&gt;0, "S",IF(COUNTIF('Tage Person3 Aus.3'!$A$3:$O$100, AM23)&gt;0, "U",IF(COUNTIF('Tage Person3 Aus.3'!$AE$3:$AI$100, AM23)&gt;0, "h", "")))</f>
        <v/>
      </c>
      <c r="AQ23" s="8" t="str">
        <f>IF(COUNTIF('Tage Person4 Aus.4'!$V$3:$AA$100, AM23)&gt;0, "S",IF(COUNTIF('Tage Person4 Aus.4'!$A$3:$O$100, AM23)&gt;0, "U",IF(COUNTIF('Tage Person4 Aus.4'!$AE$3:$AI$100, AM23)&gt;0, "h", "")))</f>
        <v/>
      </c>
      <c r="AR23" s="8" t="str">
        <f>IF(COUNTIF('Tage ferien Aus.'!$A$3:$O$100, AM23)&gt;0, "E", "")</f>
        <v/>
      </c>
      <c r="AS23" s="8" t="str">
        <f>IF(COUNTIF('Tage feiertage Aus.'!$A$3:$O$100, AM23)&gt;0, "f", "")</f>
        <v/>
      </c>
      <c r="AT23" s="7">
        <f t="shared" si="6"/>
        <v>46225</v>
      </c>
      <c r="AU23" s="8" t="str">
        <f>IF(COUNTIF('Tage Person1 Aus.'!$V$3:$AA$100, AT23)&gt;0, "S",IF(COUNTIF('Tage Person1 Aus.'!$A$3:$O$100, AT23)&gt;0, "U",IF(COUNTIF('Tage Person1 Aus.'!$AE$3:$AI$100, AT23)&gt;0, "h", "")))</f>
        <v/>
      </c>
      <c r="AV23" s="8" t="str">
        <f>IF(COUNTIF('Tage Person2 Aus.2'!$V$3:$AA$100, AT23)&gt;0, "S",IF(COUNTIF('Tage Person2 Aus.2'!$A$3:$O$100, AT23)&gt;0, "U",IF(COUNTIF('Tage Person2 Aus.2'!$AE$3:$AI$100, AT23)&gt;0, "h", "")))</f>
        <v/>
      </c>
      <c r="AW23" s="8" t="str">
        <f>IF(COUNTIF('Tage Person3 Aus.3'!$V$3:$AA$100, AT23)&gt;0, "S",IF(COUNTIF('Tage Person3 Aus.3'!$A$3:$O$100, AT23)&gt;0, "U",IF(COUNTIF('Tage Person3 Aus.3'!$AE$3:$AI$100, AT23)&gt;0, "h", "")))</f>
        <v/>
      </c>
      <c r="AX23" s="8" t="str">
        <f>IF(COUNTIF('Tage Person4 Aus.4'!$V$3:$AA$100, AT23)&gt;0, "S",IF(COUNTIF('Tage Person4 Aus.4'!$A$3:$O$100, AT23)&gt;0, "U",IF(COUNTIF('Tage Person4 Aus.4'!$AE$3:$AI$100, AT23)&gt;0, "h", "")))</f>
        <v/>
      </c>
      <c r="AY23" s="8" t="str">
        <f>IF(COUNTIF('Tage ferien Aus.'!$A$3:$O$100, AT23)&gt;0, "E", "")</f>
        <v>E</v>
      </c>
      <c r="AZ23" s="8" t="str">
        <f>IF(COUNTIF('Tage feiertage Aus.'!$A$3:$O$100, AT23)&gt;0, "f", "")</f>
        <v/>
      </c>
      <c r="BA23" s="7">
        <f t="shared" si="7"/>
        <v>46256</v>
      </c>
      <c r="BB23" s="8" t="str">
        <f>IF(COUNTIF('Tage Person1 Aus.'!$V$3:$AA$100, BA23)&gt;0, "S",IF(COUNTIF('Tage Person1 Aus.'!$A$3:$O$100, BA23)&gt;0, "U",IF(COUNTIF('Tage Person1 Aus.'!$AE$3:$AI$100, BA23)&gt;0, "h", "")))</f>
        <v/>
      </c>
      <c r="BC23" s="8" t="str">
        <f>IF(COUNTIF('Tage Person2 Aus.2'!$V$3:$AA$100, BA23)&gt;0, "S",IF(COUNTIF('Tage Person2 Aus.2'!$A$3:$O$100, BA23)&gt;0, "U",IF(COUNTIF('Tage Person2 Aus.2'!$AE$3:$AI$100, BA23)&gt;0, "h", "")))</f>
        <v/>
      </c>
      <c r="BD23" s="8" t="str">
        <f>IF(COUNTIF('Tage Person3 Aus.3'!$V$3:$AA$100, BA23)&gt;0, "S",IF(COUNTIF('Tage Person3 Aus.3'!$A$3:$O$100, BA23)&gt;0, "U",IF(COUNTIF('Tage Person3 Aus.3'!$AE$3:$AI$100, BA23)&gt;0, "h", "")))</f>
        <v/>
      </c>
      <c r="BE23" s="8" t="str">
        <f>IF(COUNTIF('Tage Person4 Aus.4'!$V$3:$AA$100, BA23)&gt;0, "S",IF(COUNTIF('Tage Person4 Aus.4'!$A$3:$O$100, BA23)&gt;0, "U",IF(COUNTIF('Tage Person4 Aus.4'!$AE$3:$AI$100, BA23)&gt;0, "h", "")))</f>
        <v/>
      </c>
      <c r="BF23" s="8" t="str">
        <f>IF(COUNTIF('Tage ferien Aus.'!$A$3:$O$100, BA23)&gt;0, "E", "")</f>
        <v>E</v>
      </c>
      <c r="BG23" s="8" t="str">
        <f>IF(COUNTIF('Tage feiertage Aus.'!$A$3:$O$100, BA23)&gt;0, "f", "")</f>
        <v/>
      </c>
      <c r="BH23" s="7">
        <f t="shared" si="8"/>
        <v>46287</v>
      </c>
      <c r="BI23" s="8" t="str">
        <f>IF(COUNTIF('Tage Person1 Aus.'!$V$3:$AA$100, BH23)&gt;0, "S",IF(COUNTIF('Tage Person1 Aus.'!$A$3:$O$100, BH23)&gt;0, "U",IF(COUNTIF('Tage Person1 Aus.'!$AE$3:$AI$100, BH23)&gt;0, "h", "")))</f>
        <v/>
      </c>
      <c r="BJ23" s="8" t="str">
        <f>IF(COUNTIF('Tage Person2 Aus.2'!$V$3:$AA$100, BH23)&gt;0, "S",IF(COUNTIF('Tage Person2 Aus.2'!$A$3:$O$100, BH23)&gt;0, "U",IF(COUNTIF('Tage Person2 Aus.2'!$AE$3:$AI$100, BH23)&gt;0, "h", "")))</f>
        <v/>
      </c>
      <c r="BK23" s="8" t="str">
        <f>IF(COUNTIF('Tage Person3 Aus.3'!$V$3:$AA$100, BH23)&gt;0, "S",IF(COUNTIF('Tage Person3 Aus.3'!$A$3:$O$100, BH23)&gt;0, "U",IF(COUNTIF('Tage Person3 Aus.3'!$AE$3:$AI$100, BH23)&gt;0, "h", "")))</f>
        <v/>
      </c>
      <c r="BL23" s="8" t="str">
        <f>IF(COUNTIF('Tage Person4 Aus.4'!$V$3:$AA$100, BH23)&gt;0, "S",IF(COUNTIF('Tage Person4 Aus.4'!$A$3:$O$100, BH23)&gt;0, "U",IF(COUNTIF('Tage Person4 Aus.4'!$AE$3:$AI$100, BH23)&gt;0, "h", "")))</f>
        <v/>
      </c>
      <c r="BM23" s="8" t="str">
        <f>IF(COUNTIF('Tage ferien Aus.'!$A$3:$O$100, BH23)&gt;0, "E", "")</f>
        <v/>
      </c>
      <c r="BN23" s="8" t="str">
        <f>IF(COUNTIF('Tage feiertage Aus.'!$A$3:$O$100, BH23)&gt;0, "f", "")</f>
        <v/>
      </c>
      <c r="BO23" s="7">
        <f t="shared" si="9"/>
        <v>46317</v>
      </c>
      <c r="BP23" s="8" t="str">
        <f>IF(COUNTIF('Tage Person1 Aus.'!$V$3:$AA$100, BO23)&gt;0, "S",IF(COUNTIF('Tage Person1 Aus.'!$A$3:$O$100, BO23)&gt;0, "U",IF(COUNTIF('Tage Person1 Aus.'!$AE$3:$AI$100, BO23)&gt;0, "h", "")))</f>
        <v/>
      </c>
      <c r="BQ23" s="8" t="str">
        <f>IF(COUNTIF('Tage Person2 Aus.2'!$V$3:$AA$100, BO23)&gt;0, "S",IF(COUNTIF('Tage Person2 Aus.2'!$A$3:$O$100, BO23)&gt;0, "U",IF(COUNTIF('Tage Person2 Aus.2'!$AE$3:$AI$100, BO23)&gt;0, "h", "")))</f>
        <v/>
      </c>
      <c r="BR23" s="8" t="str">
        <f>IF(COUNTIF('Tage Person3 Aus.3'!$V$3:$AA$100, BO23)&gt;0, "S",IF(COUNTIF('Tage Person3 Aus.3'!$A$3:$O$100, BO23)&gt;0, "U",IF(COUNTIF('Tage Person3 Aus.3'!$AE$3:$AI$100, BO23)&gt;0, "h", "")))</f>
        <v/>
      </c>
      <c r="BS23" s="8" t="str">
        <f>IF(COUNTIF('Tage Person4 Aus.4'!$V$3:$AA$100, BO23)&gt;0, "S",IF(COUNTIF('Tage Person4 Aus.4'!$A$3:$O$100, BO23)&gt;0, "U",IF(COUNTIF('Tage Person4 Aus.4'!$AE$3:$AI$100, BO23)&gt;0, "h", "")))</f>
        <v/>
      </c>
      <c r="BT23" s="8" t="str">
        <f>IF(COUNTIF('Tage ferien Aus.'!$A$3:$O$100, BO23)&gt;0, "E", "")</f>
        <v>E</v>
      </c>
      <c r="BU23" s="8" t="str">
        <f>IF(COUNTIF('Tage feiertage Aus.'!$A$3:$O$100, BO23)&gt;0, "f", "")</f>
        <v/>
      </c>
      <c r="BV23" s="7">
        <f t="shared" si="10"/>
        <v>46348</v>
      </c>
      <c r="BW23" s="8" t="str">
        <f>IF(COUNTIF('Tage Person1 Aus.'!$V$3:$AA$100, BV23)&gt;0, "S",IF(COUNTIF('Tage Person1 Aus.'!$A$3:$O$100, BV23)&gt;0, "U",IF(COUNTIF('Tage Person1 Aus.'!$AE$3:$AI$100, BV23)&gt;0, "h", "")))</f>
        <v/>
      </c>
      <c r="BX23" s="8" t="str">
        <f>IF(COUNTIF('Tage Person2 Aus.2'!$V$3:$AA$100, BV23)&gt;0, "S",IF(COUNTIF('Tage Person2 Aus.2'!$A$3:$O$100, BV23)&gt;0, "U",IF(COUNTIF('Tage Person2 Aus.2'!$AE$3:$AI$100, BV23)&gt;0, "h", "")))</f>
        <v/>
      </c>
      <c r="BY23" s="8" t="str">
        <f>IF(COUNTIF('Tage Person3 Aus.3'!$V$3:$AA$100, BV23)&gt;0, "S",IF(COUNTIF('Tage Person3 Aus.3'!$A$3:$O$100, BV23)&gt;0, "U",IF(COUNTIF('Tage Person3 Aus.3'!$AE$3:$AI$100, BV23)&gt;0, "h", "")))</f>
        <v/>
      </c>
      <c r="BZ23" s="8" t="str">
        <f>IF(COUNTIF('Tage Person4 Aus.4'!$V$3:$AA$100, BV23)&gt;0, "S",IF(COUNTIF('Tage Person4 Aus.4'!$A$3:$O$100, BV23)&gt;0, "U",IF(COUNTIF('Tage Person4 Aus.4'!$AE$3:$AI$100, BV23)&gt;0, "h", "")))</f>
        <v/>
      </c>
      <c r="CA23" s="8" t="str">
        <f>IF(COUNTIF('Tage ferien Aus.'!$A$3:$O$100, BV23)&gt;0, "E", "")</f>
        <v/>
      </c>
      <c r="CB23" s="8" t="str">
        <f>IF(COUNTIF('Tage feiertage Aus.'!$A$3:$O$100, BV23)&gt;0, "f", "")</f>
        <v/>
      </c>
      <c r="CC23" s="7">
        <f t="shared" si="11"/>
        <v>46378</v>
      </c>
      <c r="CD23" s="10" t="str">
        <f>IF(COUNTIF('Tage Person1 Aus.'!$V$3:$AA$100, CC23)&gt;0, "S",IF(COUNTIF('Tage Person1 Aus.'!$A$3:$O$100, CC23)&gt;0, "U",IF(COUNTIF('Tage Person1 Aus.'!$AE$3:$AI$100, CC23)&gt;0, "h", "")))</f>
        <v/>
      </c>
      <c r="CE23" s="11" t="str">
        <f>IF(COUNTIF('Tage Person2 Aus.2'!$V$3:$AA$100, CC23)&gt;0, "S",IF(COUNTIF('Tage Person2 Aus.2'!$A$3:$O$100, CC23)&gt;0, "U",IF(COUNTIF('Tage Person2 Aus.2'!$AE$3:$AI$100, CC23)&gt;0, "h", "")))</f>
        <v/>
      </c>
      <c r="CF23" s="12" t="str">
        <f>IF(COUNTIF('Tage Person3 Aus.3'!$V$3:$AA$100, CC23)&gt;0, "S",IF(COUNTIF('Tage Person3 Aus.3'!$A$3:$O$100, CC23)&gt;0, "U",IF(COUNTIF('Tage Person3 Aus.3'!$AE$3:$AI$100, CC23)&gt;0, "h", "")))</f>
        <v/>
      </c>
      <c r="CG23" s="10" t="str">
        <f>IF(COUNTIF('Tage Person4 Aus.4'!$V$3:$AA$100, CC23)&gt;0, "S",IF(COUNTIF('Tage Person4 Aus.4'!$A$3:$O$100, CC23)&gt;0, "U",IF(COUNTIF('Tage Person4 Aus.4'!$AE$3:$AI$100, CC23)&gt;0, "h", "")))</f>
        <v/>
      </c>
      <c r="CH23" s="11" t="str">
        <f>IF(COUNTIF('Tage ferien Aus.'!$A$3:$O$100, CC23)&gt;0, "E", "")</f>
        <v/>
      </c>
      <c r="CI23" s="12" t="str">
        <f>IF(COUNTIF('Tage feiertage Aus.'!$A$3:$O$100, CC23)&gt;0, "f", "")</f>
        <v/>
      </c>
      <c r="CJ23" s="4"/>
      <c r="CK23" s="4"/>
      <c r="CL23" s="6"/>
      <c r="CM23" s="4"/>
      <c r="CN23" s="2"/>
      <c r="CO23" s="3"/>
      <c r="CP23" s="4"/>
      <c r="CQ23" s="2"/>
      <c r="CR23" s="3"/>
      <c r="CS23" s="4"/>
      <c r="CT23" s="4"/>
      <c r="CU23" s="6"/>
      <c r="CV23" s="4"/>
      <c r="CW23" s="4"/>
      <c r="CX23" s="6"/>
      <c r="CY23" s="4"/>
    </row>
    <row r="24" spans="1:103" x14ac:dyDescent="0.3">
      <c r="A24" s="67"/>
      <c r="B24" s="58"/>
      <c r="C24" s="57"/>
      <c r="D24" s="7">
        <f t="shared" si="0"/>
        <v>46045</v>
      </c>
      <c r="E24" s="8" t="str">
        <f>IF(COUNTIF('Tage Person1 Aus.'!$V$3:$AA$100, D24)&gt;0, "S",IF(COUNTIF('Tage Person1 Aus.'!$A$3:$O$100, D24)&gt;0, "U",IF(COUNTIF('Tage Person1 Aus.'!$AE$3:$AI$100, D24)&gt;0, "h", "")))</f>
        <v/>
      </c>
      <c r="F24" s="8" t="str">
        <f>IF(COUNTIF('Tage Person2 Aus.2'!$V$3:$AA$100, D24)&gt;0, "S",IF(COUNTIF('Tage Person2 Aus.2'!$A$3:$O$100, D24)&gt;0, "U",IF(COUNTIF('Tage Person2 Aus.2'!$AE$3:$AI$100, D24)&gt;0, "h", "")))</f>
        <v/>
      </c>
      <c r="G24" s="8" t="str">
        <f>IF(COUNTIF('Tage Person3 Aus.3'!$V$3:$AA$100, D24)&gt;0, "S",IF(COUNTIF('Tage Person3 Aus.3'!$A$3:$O$100, D24)&gt;0, "U",IF(COUNTIF('Tage Person3 Aus.3'!$AE$3:$AI$100, D24)&gt;0, "h", "")))</f>
        <v/>
      </c>
      <c r="H24" s="8" t="str">
        <f>IF(COUNTIF('Tage Person4 Aus.4'!$V$3:$AA$100, D24)&gt;0, "S",IF(COUNTIF('Tage Person4 Aus.4'!$A$3:$O$100, D24)&gt;0, "U",IF(COUNTIF('Tage Person4 Aus.4'!$AE$3:$AI$100, D24)&gt;0, "h", "")))</f>
        <v/>
      </c>
      <c r="I24" s="8" t="str">
        <f>IF(COUNTIF('Tage ferien Aus.'!$A$3:$O$100, D24)&gt;0, "E", "")</f>
        <v/>
      </c>
      <c r="J24" s="8" t="str">
        <f>IF(COUNTIF('Tage feiertage Aus.'!$A$3:$O$100, D24)&gt;0, "f", "")</f>
        <v/>
      </c>
      <c r="K24" s="7">
        <f t="shared" si="1"/>
        <v>46076</v>
      </c>
      <c r="L24" s="8" t="str">
        <f>IF(COUNTIF('Tage Person1 Aus.'!$V$3:$AA$100, K24)&gt;0, "S",IF(COUNTIF('Tage Person1 Aus.'!$A$3:$O$100, K24)&gt;0, "U",IF(COUNTIF('Tage Person1 Aus.'!$AE$3:$AI$100, K24)&gt;0, "h", "")))</f>
        <v/>
      </c>
      <c r="M24" s="8" t="str">
        <f>IF(COUNTIF('Tage Person2 Aus.2'!$V$3:$AA$100, K24)&gt;0, "S",IF(COUNTIF('Tage Person2 Aus.2'!$A$3:$O$100, K24)&gt;0, "U",IF(COUNTIF('Tage Person2 Aus.2'!$AE$3:$AI$100, K24)&gt;0, "h", "")))</f>
        <v/>
      </c>
      <c r="N24" s="8" t="str">
        <f>IF(COUNTIF('Tage Person3 Aus.3'!$V$3:$AA$100, K24)&gt;0, "S",IF(COUNTIF('Tage Person3 Aus.3'!$A$3:$O$100, K24)&gt;0, "U",IF(COUNTIF('Tage Person3 Aus.3'!$AE$3:$AI$100, K24)&gt;0, "h", "")))</f>
        <v/>
      </c>
      <c r="O24" s="8" t="str">
        <f>IF(COUNTIF('Tage Person4 Aus.4'!$V$3:$AA$100, K24)&gt;0, "S",IF(COUNTIF('Tage Person4 Aus.4'!$A$3:$O$100, K24)&gt;0, "U",IF(COUNTIF('Tage Person4 Aus.4'!$AE$3:$AI$100, K24)&gt;0, "h", "")))</f>
        <v/>
      </c>
      <c r="P24" s="8" t="str">
        <f>IF(COUNTIF('Tage ferien Aus.'!$A$3:$O$100, K24)&gt;0, "E", "")</f>
        <v/>
      </c>
      <c r="Q24" s="8" t="str">
        <f>IF(COUNTIF('Tage feiertage Aus.'!$A$3:$O$100, K24)&gt;0, "f", "")</f>
        <v/>
      </c>
      <c r="R24" s="7">
        <f t="shared" si="2"/>
        <v>46104</v>
      </c>
      <c r="S24" s="8" t="str">
        <f>IF(COUNTIF('Tage Person1 Aus.'!$V$3:$AA$100, R24)&gt;0, "S",IF(COUNTIF('Tage Person1 Aus.'!$A$3:$O$100, R24)&gt;0, "U",IF(COUNTIF('Tage Person1 Aus.'!$AE$3:$AI$100, R24)&gt;0, "h", "")))</f>
        <v/>
      </c>
      <c r="T24" s="8" t="str">
        <f>IF(COUNTIF('Tage Person2 Aus.2'!$V$3:$AA$100, R24)&gt;0, "S",IF(COUNTIF('Tage Person2 Aus.2'!$A$3:$O$100, R24)&gt;0, "U",IF(COUNTIF('Tage Person2 Aus.2'!$AE$3:$AI$100, R24)&gt;0, "h", "")))</f>
        <v/>
      </c>
      <c r="U24" s="8" t="str">
        <f>IF(COUNTIF('Tage Person3 Aus.3'!$V$3:$AA$100, R24)&gt;0, "S",IF(COUNTIF('Tage Person3 Aus.3'!$A$3:$O$100, R24)&gt;0, "U",IF(COUNTIF('Tage Person3 Aus.3'!$AE$3:$AI$100, R24)&gt;0, "h", "")))</f>
        <v/>
      </c>
      <c r="V24" s="8" t="str">
        <f>IF(COUNTIF('Tage Person4 Aus.4'!$V$3:$AA$100, R24)&gt;0, "S",IF(COUNTIF('Tage Person4 Aus.4'!$A$3:$O$100, R24)&gt;0, "U",IF(COUNTIF('Tage Person4 Aus.4'!$AE$3:$AI$100, R24)&gt;0, "h", "")))</f>
        <v/>
      </c>
      <c r="W24" s="8" t="str">
        <f>IF(COUNTIF('Tage ferien Aus.'!$A$3:$O$100, R24)&gt;0, "E", "")</f>
        <v/>
      </c>
      <c r="X24" s="8" t="str">
        <f>IF(COUNTIF('Tage feiertage Aus.'!$A$3:$O$100, R24)&gt;0, "f", "")</f>
        <v/>
      </c>
      <c r="Y24" s="7">
        <f t="shared" si="3"/>
        <v>46135</v>
      </c>
      <c r="Z24" s="8" t="str">
        <f>IF(COUNTIF('Tage Person1 Aus.'!$V$3:$AA$100, Y24)&gt;0, "S",IF(COUNTIF('Tage Person1 Aus.'!$A$3:$O$100, Y24)&gt;0, "U",IF(COUNTIF('Tage Person1 Aus.'!$AE$3:$AI$100, Y24)&gt;0, "h", "")))</f>
        <v/>
      </c>
      <c r="AA24" s="8" t="str">
        <f>IF(COUNTIF('Tage Person2 Aus.2'!$V$3:$AA$100, Y24)&gt;0, "S",IF(COUNTIF('Tage Person2 Aus.2'!$A$3:$O$100, Y24)&gt;0, "U",IF(COUNTIF('Tage Person2 Aus.2'!$AE$3:$AI$100, Y24)&gt;0, "h", "")))</f>
        <v/>
      </c>
      <c r="AB24" s="8" t="str">
        <f>IF(COUNTIF('Tage Person3 Aus.3'!$V$3:$AA$100, Y24)&gt;0, "S",IF(COUNTIF('Tage Person3 Aus.3'!$A$3:$O$100, Y24)&gt;0, "U",IF(COUNTIF('Tage Person3 Aus.3'!$AE$3:$AI$100, Y24)&gt;0, "h", "")))</f>
        <v/>
      </c>
      <c r="AC24" s="8" t="str">
        <f>IF(COUNTIF('Tage Person4 Aus.4'!$V$3:$AA$100, Y24)&gt;0, "S",IF(COUNTIF('Tage Person4 Aus.4'!$A$3:$O$100, Y24)&gt;0, "U",IF(COUNTIF('Tage Person4 Aus.4'!$AE$3:$AI$100, Y24)&gt;0, "h", "")))</f>
        <v/>
      </c>
      <c r="AD24" s="8" t="str">
        <f>IF(COUNTIF('Tage ferien Aus.'!$A$3:$O$100, Y24)&gt;0, "E", "")</f>
        <v/>
      </c>
      <c r="AE24" s="8" t="str">
        <f>IF(COUNTIF('Tage feiertage Aus.'!$A$3:$O$100, Y24)&gt;0, "f", "")</f>
        <v/>
      </c>
      <c r="AF24" s="7">
        <f t="shared" si="4"/>
        <v>46165</v>
      </c>
      <c r="AG24" s="9" t="str">
        <f>IF(COUNTIF('Tage Person1 Aus.'!$V$3:$AA$100, AF24)&gt;0, "S",IF(COUNTIF('Tage Person1 Aus.'!$A$3:$O$100, AF24)&gt;0, "U",IF(COUNTIF('Tage Person1 Aus.'!$AE$3:$AI$100, AF24)&gt;0, "h", "")))</f>
        <v/>
      </c>
      <c r="AH24" s="8" t="str">
        <f>IF(COUNTIF('Tage Person2 Aus.2'!$V$3:$AA$100, AF24)&gt;0, "S",IF(COUNTIF('Tage Person2 Aus.2'!$A$3:$O$100, AF24)&gt;0, "U",IF(COUNTIF('Tage Person2 Aus.2'!$AE$3:$AI$100, AF24)&gt;0, "h", "")))</f>
        <v/>
      </c>
      <c r="AI24" s="8" t="str">
        <f>IF(COUNTIF('Tage Person3 Aus.3'!$V$3:$AA$100, AF24)&gt;0, "S",IF(COUNTIF('Tage Person3 Aus.3'!$A$3:$O$100, AF24)&gt;0, "U",IF(COUNTIF('Tage Person3 Aus.3'!$AE$3:$AI$100, AF24)&gt;0, "h", "")))</f>
        <v/>
      </c>
      <c r="AJ24" s="8" t="str">
        <f>IF(COUNTIF('Tage Person4 Aus.4'!$V$3:$AA$100, AF24)&gt;0, "S",IF(COUNTIF('Tage Person4 Aus.4'!$A$3:$O$100, AF24)&gt;0, "U",IF(COUNTIF('Tage Person4 Aus.4'!$AE$3:$AI$100, AF24)&gt;0, "h", "")))</f>
        <v/>
      </c>
      <c r="AK24" s="8" t="str">
        <f>IF(COUNTIF('Tage ferien Aus.'!$A$3:$O$100, AF24)&gt;0, "E", "")</f>
        <v/>
      </c>
      <c r="AL24" s="8" t="str">
        <f>IF(COUNTIF('Tage feiertage Aus.'!$A$3:$O$100, AF24)&gt;0, "f", "")</f>
        <v/>
      </c>
      <c r="AM24" s="7">
        <f t="shared" si="5"/>
        <v>46196</v>
      </c>
      <c r="AN24" s="8" t="str">
        <f>IF(COUNTIF('Tage Person1 Aus.'!$V$3:$AA$100, AM24)&gt;0, "S",IF(COUNTIF('Tage Person1 Aus.'!$A$3:$O$100, AM24)&gt;0, "U",IF(COUNTIF('Tage Person1 Aus.'!$AE$3:$AI$100, AM24)&gt;0, "h", "")))</f>
        <v/>
      </c>
      <c r="AO24" s="8" t="str">
        <f>IF(COUNTIF('Tage Person2 Aus.2'!$V$3:$AA$100, AM24)&gt;0, "S",IF(COUNTIF('Tage Person2 Aus.2'!$A$3:$O$100, AM24)&gt;0, "U",IF(COUNTIF('Tage Person2 Aus.2'!$AE$3:$AI$100, AM24)&gt;0, "h", "")))</f>
        <v/>
      </c>
      <c r="AP24" s="8" t="str">
        <f>IF(COUNTIF('Tage Person3 Aus.3'!$V$3:$AA$100, AM24)&gt;0, "S",IF(COUNTIF('Tage Person3 Aus.3'!$A$3:$O$100, AM24)&gt;0, "U",IF(COUNTIF('Tage Person3 Aus.3'!$AE$3:$AI$100, AM24)&gt;0, "h", "")))</f>
        <v/>
      </c>
      <c r="AQ24" s="8" t="str">
        <f>IF(COUNTIF('Tage Person4 Aus.4'!$V$3:$AA$100, AM24)&gt;0, "S",IF(COUNTIF('Tage Person4 Aus.4'!$A$3:$O$100, AM24)&gt;0, "U",IF(COUNTIF('Tage Person4 Aus.4'!$AE$3:$AI$100, AM24)&gt;0, "h", "")))</f>
        <v/>
      </c>
      <c r="AR24" s="8" t="str">
        <f>IF(COUNTIF('Tage ferien Aus.'!$A$3:$O$100, AM24)&gt;0, "E", "")</f>
        <v/>
      </c>
      <c r="AS24" s="8" t="str">
        <f>IF(COUNTIF('Tage feiertage Aus.'!$A$3:$O$100, AM24)&gt;0, "f", "")</f>
        <v/>
      </c>
      <c r="AT24" s="7">
        <f t="shared" si="6"/>
        <v>46226</v>
      </c>
      <c r="AU24" s="8" t="str">
        <f>IF(COUNTIF('Tage Person1 Aus.'!$V$3:$AA$100, AT24)&gt;0, "S",IF(COUNTIF('Tage Person1 Aus.'!$A$3:$O$100, AT24)&gt;0, "U",IF(COUNTIF('Tage Person1 Aus.'!$AE$3:$AI$100, AT24)&gt;0, "h", "")))</f>
        <v/>
      </c>
      <c r="AV24" s="8" t="str">
        <f>IF(COUNTIF('Tage Person2 Aus.2'!$V$3:$AA$100, AT24)&gt;0, "S",IF(COUNTIF('Tage Person2 Aus.2'!$A$3:$O$100, AT24)&gt;0, "U",IF(COUNTIF('Tage Person2 Aus.2'!$AE$3:$AI$100, AT24)&gt;0, "h", "")))</f>
        <v/>
      </c>
      <c r="AW24" s="8" t="str">
        <f>IF(COUNTIF('Tage Person3 Aus.3'!$V$3:$AA$100, AT24)&gt;0, "S",IF(COUNTIF('Tage Person3 Aus.3'!$A$3:$O$100, AT24)&gt;0, "U",IF(COUNTIF('Tage Person3 Aus.3'!$AE$3:$AI$100, AT24)&gt;0, "h", "")))</f>
        <v/>
      </c>
      <c r="AX24" s="8" t="str">
        <f>IF(COUNTIF('Tage Person4 Aus.4'!$V$3:$AA$100, AT24)&gt;0, "S",IF(COUNTIF('Tage Person4 Aus.4'!$A$3:$O$100, AT24)&gt;0, "U",IF(COUNTIF('Tage Person4 Aus.4'!$AE$3:$AI$100, AT24)&gt;0, "h", "")))</f>
        <v/>
      </c>
      <c r="AY24" s="8" t="str">
        <f>IF(COUNTIF('Tage ferien Aus.'!$A$3:$O$100, AT24)&gt;0, "E", "")</f>
        <v>E</v>
      </c>
      <c r="AZ24" s="8" t="str">
        <f>IF(COUNTIF('Tage feiertage Aus.'!$A$3:$O$100, AT24)&gt;0, "f", "")</f>
        <v/>
      </c>
      <c r="BA24" s="7">
        <f t="shared" si="7"/>
        <v>46257</v>
      </c>
      <c r="BB24" s="8" t="str">
        <f>IF(COUNTIF('Tage Person1 Aus.'!$V$3:$AA$100, BA24)&gt;0, "S",IF(COUNTIF('Tage Person1 Aus.'!$A$3:$O$100, BA24)&gt;0, "U",IF(COUNTIF('Tage Person1 Aus.'!$AE$3:$AI$100, BA24)&gt;0, "h", "")))</f>
        <v/>
      </c>
      <c r="BC24" s="8" t="str">
        <f>IF(COUNTIF('Tage Person2 Aus.2'!$V$3:$AA$100, BA24)&gt;0, "S",IF(COUNTIF('Tage Person2 Aus.2'!$A$3:$O$100, BA24)&gt;0, "U",IF(COUNTIF('Tage Person2 Aus.2'!$AE$3:$AI$100, BA24)&gt;0, "h", "")))</f>
        <v/>
      </c>
      <c r="BD24" s="8" t="str">
        <f>IF(COUNTIF('Tage Person3 Aus.3'!$V$3:$AA$100, BA24)&gt;0, "S",IF(COUNTIF('Tage Person3 Aus.3'!$A$3:$O$100, BA24)&gt;0, "U",IF(COUNTIF('Tage Person3 Aus.3'!$AE$3:$AI$100, BA24)&gt;0, "h", "")))</f>
        <v/>
      </c>
      <c r="BE24" s="8" t="str">
        <f>IF(COUNTIF('Tage Person4 Aus.4'!$V$3:$AA$100, BA24)&gt;0, "S",IF(COUNTIF('Tage Person4 Aus.4'!$A$3:$O$100, BA24)&gt;0, "U",IF(COUNTIF('Tage Person4 Aus.4'!$AE$3:$AI$100, BA24)&gt;0, "h", "")))</f>
        <v/>
      </c>
      <c r="BF24" s="8" t="str">
        <f>IF(COUNTIF('Tage ferien Aus.'!$A$3:$O$100, BA24)&gt;0, "E", "")</f>
        <v>E</v>
      </c>
      <c r="BG24" s="8" t="str">
        <f>IF(COUNTIF('Tage feiertage Aus.'!$A$3:$O$100, BA24)&gt;0, "f", "")</f>
        <v/>
      </c>
      <c r="BH24" s="7">
        <f t="shared" si="8"/>
        <v>46288</v>
      </c>
      <c r="BI24" s="8" t="str">
        <f>IF(COUNTIF('Tage Person1 Aus.'!$V$3:$AA$100, BH24)&gt;0, "S",IF(COUNTIF('Tage Person1 Aus.'!$A$3:$O$100, BH24)&gt;0, "U",IF(COUNTIF('Tage Person1 Aus.'!$AE$3:$AI$100, BH24)&gt;0, "h", "")))</f>
        <v/>
      </c>
      <c r="BJ24" s="8" t="str">
        <f>IF(COUNTIF('Tage Person2 Aus.2'!$V$3:$AA$100, BH24)&gt;0, "S",IF(COUNTIF('Tage Person2 Aus.2'!$A$3:$O$100, BH24)&gt;0, "U",IF(COUNTIF('Tage Person2 Aus.2'!$AE$3:$AI$100, BH24)&gt;0, "h", "")))</f>
        <v/>
      </c>
      <c r="BK24" s="8" t="str">
        <f>IF(COUNTIF('Tage Person3 Aus.3'!$V$3:$AA$100, BH24)&gt;0, "S",IF(COUNTIF('Tage Person3 Aus.3'!$A$3:$O$100, BH24)&gt;0, "U",IF(COUNTIF('Tage Person3 Aus.3'!$AE$3:$AI$100, BH24)&gt;0, "h", "")))</f>
        <v/>
      </c>
      <c r="BL24" s="8" t="str">
        <f>IF(COUNTIF('Tage Person4 Aus.4'!$V$3:$AA$100, BH24)&gt;0, "S",IF(COUNTIF('Tage Person4 Aus.4'!$A$3:$O$100, BH24)&gt;0, "U",IF(COUNTIF('Tage Person4 Aus.4'!$AE$3:$AI$100, BH24)&gt;0, "h", "")))</f>
        <v/>
      </c>
      <c r="BM24" s="8" t="str">
        <f>IF(COUNTIF('Tage ferien Aus.'!$A$3:$O$100, BH24)&gt;0, "E", "")</f>
        <v/>
      </c>
      <c r="BN24" s="8" t="str">
        <f>IF(COUNTIF('Tage feiertage Aus.'!$A$3:$O$100, BH24)&gt;0, "f", "")</f>
        <v/>
      </c>
      <c r="BO24" s="7">
        <f t="shared" si="9"/>
        <v>46318</v>
      </c>
      <c r="BP24" s="8" t="str">
        <f>IF(COUNTIF('Tage Person1 Aus.'!$V$3:$AA$100, BO24)&gt;0, "S",IF(COUNTIF('Tage Person1 Aus.'!$A$3:$O$100, BO24)&gt;0, "U",IF(COUNTIF('Tage Person1 Aus.'!$AE$3:$AI$100, BO24)&gt;0, "h", "")))</f>
        <v/>
      </c>
      <c r="BQ24" s="8" t="str">
        <f>IF(COUNTIF('Tage Person2 Aus.2'!$V$3:$AA$100, BO24)&gt;0, "S",IF(COUNTIF('Tage Person2 Aus.2'!$A$3:$O$100, BO24)&gt;0, "U",IF(COUNTIF('Tage Person2 Aus.2'!$AE$3:$AI$100, BO24)&gt;0, "h", "")))</f>
        <v/>
      </c>
      <c r="BR24" s="8" t="str">
        <f>IF(COUNTIF('Tage Person3 Aus.3'!$V$3:$AA$100, BO24)&gt;0, "S",IF(COUNTIF('Tage Person3 Aus.3'!$A$3:$O$100, BO24)&gt;0, "U",IF(COUNTIF('Tage Person3 Aus.3'!$AE$3:$AI$100, BO24)&gt;0, "h", "")))</f>
        <v/>
      </c>
      <c r="BS24" s="8" t="str">
        <f>IF(COUNTIF('Tage Person4 Aus.4'!$V$3:$AA$100, BO24)&gt;0, "S",IF(COUNTIF('Tage Person4 Aus.4'!$A$3:$O$100, BO24)&gt;0, "U",IF(COUNTIF('Tage Person4 Aus.4'!$AE$3:$AI$100, BO24)&gt;0, "h", "")))</f>
        <v/>
      </c>
      <c r="BT24" s="8" t="str">
        <f>IF(COUNTIF('Tage ferien Aus.'!$A$3:$O$100, BO24)&gt;0, "E", "")</f>
        <v>E</v>
      </c>
      <c r="BU24" s="8" t="str">
        <f>IF(COUNTIF('Tage feiertage Aus.'!$A$3:$O$100, BO24)&gt;0, "f", "")</f>
        <v/>
      </c>
      <c r="BV24" s="7">
        <f t="shared" si="10"/>
        <v>46349</v>
      </c>
      <c r="BW24" s="8" t="str">
        <f>IF(COUNTIF('Tage Person1 Aus.'!$V$3:$AA$100, BV24)&gt;0, "S",IF(COUNTIF('Tage Person1 Aus.'!$A$3:$O$100, BV24)&gt;0, "U",IF(COUNTIF('Tage Person1 Aus.'!$AE$3:$AI$100, BV24)&gt;0, "h", "")))</f>
        <v/>
      </c>
      <c r="BX24" s="8" t="str">
        <f>IF(COUNTIF('Tage Person2 Aus.2'!$V$3:$AA$100, BV24)&gt;0, "S",IF(COUNTIF('Tage Person2 Aus.2'!$A$3:$O$100, BV24)&gt;0, "U",IF(COUNTIF('Tage Person2 Aus.2'!$AE$3:$AI$100, BV24)&gt;0, "h", "")))</f>
        <v/>
      </c>
      <c r="BY24" s="8" t="str">
        <f>IF(COUNTIF('Tage Person3 Aus.3'!$V$3:$AA$100, BV24)&gt;0, "S",IF(COUNTIF('Tage Person3 Aus.3'!$A$3:$O$100, BV24)&gt;0, "U",IF(COUNTIF('Tage Person3 Aus.3'!$AE$3:$AI$100, BV24)&gt;0, "h", "")))</f>
        <v/>
      </c>
      <c r="BZ24" s="8" t="str">
        <f>IF(COUNTIF('Tage Person4 Aus.4'!$V$3:$AA$100, BV24)&gt;0, "S",IF(COUNTIF('Tage Person4 Aus.4'!$A$3:$O$100, BV24)&gt;0, "U",IF(COUNTIF('Tage Person4 Aus.4'!$AE$3:$AI$100, BV24)&gt;0, "h", "")))</f>
        <v/>
      </c>
      <c r="CA24" s="8" t="str">
        <f>IF(COUNTIF('Tage ferien Aus.'!$A$3:$O$100, BV24)&gt;0, "E", "")</f>
        <v/>
      </c>
      <c r="CB24" s="8" t="str">
        <f>IF(COUNTIF('Tage feiertage Aus.'!$A$3:$O$100, BV24)&gt;0, "f", "")</f>
        <v/>
      </c>
      <c r="CC24" s="7">
        <f t="shared" si="11"/>
        <v>46379</v>
      </c>
      <c r="CD24" s="10" t="str">
        <f>IF(COUNTIF('Tage Person1 Aus.'!$V$3:$AA$100, CC24)&gt;0, "S",IF(COUNTIF('Tage Person1 Aus.'!$A$3:$O$100, CC24)&gt;0, "U",IF(COUNTIF('Tage Person1 Aus.'!$AE$3:$AI$100, CC24)&gt;0, "h", "")))</f>
        <v/>
      </c>
      <c r="CE24" s="11" t="str">
        <f>IF(COUNTIF('Tage Person2 Aus.2'!$V$3:$AA$100, CC24)&gt;0, "S",IF(COUNTIF('Tage Person2 Aus.2'!$A$3:$O$100, CC24)&gt;0, "U",IF(COUNTIF('Tage Person2 Aus.2'!$AE$3:$AI$100, CC24)&gt;0, "h", "")))</f>
        <v/>
      </c>
      <c r="CF24" s="12" t="str">
        <f>IF(COUNTIF('Tage Person3 Aus.3'!$V$3:$AA$100, CC24)&gt;0, "S",IF(COUNTIF('Tage Person3 Aus.3'!$A$3:$O$100, CC24)&gt;0, "U",IF(COUNTIF('Tage Person3 Aus.3'!$AE$3:$AI$100, CC24)&gt;0, "h", "")))</f>
        <v/>
      </c>
      <c r="CG24" s="10" t="str">
        <f>IF(COUNTIF('Tage Person4 Aus.4'!$V$3:$AA$100, CC24)&gt;0, "S",IF(COUNTIF('Tage Person4 Aus.4'!$A$3:$O$100, CC24)&gt;0, "U",IF(COUNTIF('Tage Person4 Aus.4'!$AE$3:$AI$100, CC24)&gt;0, "h", "")))</f>
        <v/>
      </c>
      <c r="CH24" s="11" t="str">
        <f>IF(COUNTIF('Tage ferien Aus.'!$A$3:$O$100, CC24)&gt;0, "E", "")</f>
        <v>E</v>
      </c>
      <c r="CI24" s="12" t="str">
        <f>IF(COUNTIF('Tage feiertage Aus.'!$A$3:$O$100, CC24)&gt;0, "f", "")</f>
        <v/>
      </c>
      <c r="CJ24" s="4"/>
      <c r="CK24" s="4"/>
      <c r="CL24" s="6"/>
      <c r="CM24" s="4"/>
      <c r="CN24" s="2"/>
      <c r="CO24" s="3"/>
      <c r="CP24" s="4"/>
      <c r="CQ24" s="2"/>
      <c r="CR24" s="3"/>
      <c r="CS24" s="4"/>
      <c r="CT24" s="4"/>
      <c r="CU24" s="6"/>
      <c r="CV24" s="4"/>
      <c r="CW24" s="4"/>
      <c r="CX24" s="6"/>
      <c r="CY24" s="4"/>
    </row>
    <row r="25" spans="1:103" x14ac:dyDescent="0.3">
      <c r="A25" s="67"/>
      <c r="B25" s="58"/>
      <c r="C25" s="57"/>
      <c r="D25" s="7">
        <f t="shared" si="0"/>
        <v>46046</v>
      </c>
      <c r="E25" s="8" t="str">
        <f>IF(COUNTIF('Tage Person1 Aus.'!$V$3:$AA$100, D25)&gt;0, "S",IF(COUNTIF('Tage Person1 Aus.'!$A$3:$O$100, D25)&gt;0, "U",IF(COUNTIF('Tage Person1 Aus.'!$AE$3:$AI$100, D25)&gt;0, "h", "")))</f>
        <v/>
      </c>
      <c r="F25" s="8" t="str">
        <f>IF(COUNTIF('Tage Person2 Aus.2'!$V$3:$AA$100, D25)&gt;0, "S",IF(COUNTIF('Tage Person2 Aus.2'!$A$3:$O$100, D25)&gt;0, "U",IF(COUNTIF('Tage Person2 Aus.2'!$AE$3:$AI$100, D25)&gt;0, "h", "")))</f>
        <v/>
      </c>
      <c r="G25" s="8" t="str">
        <f>IF(COUNTIF('Tage Person3 Aus.3'!$V$3:$AA$100, D25)&gt;0, "S",IF(COUNTIF('Tage Person3 Aus.3'!$A$3:$O$100, D25)&gt;0, "U",IF(COUNTIF('Tage Person3 Aus.3'!$AE$3:$AI$100, D25)&gt;0, "h", "")))</f>
        <v/>
      </c>
      <c r="H25" s="8" t="str">
        <f>IF(COUNTIF('Tage Person4 Aus.4'!$V$3:$AA$100, D25)&gt;0, "S",IF(COUNTIF('Tage Person4 Aus.4'!$A$3:$O$100, D25)&gt;0, "U",IF(COUNTIF('Tage Person4 Aus.4'!$AE$3:$AI$100, D25)&gt;0, "h", "")))</f>
        <v/>
      </c>
      <c r="I25" s="8" t="str">
        <f>IF(COUNTIF('Tage ferien Aus.'!$A$3:$O$100, D25)&gt;0, "E", "")</f>
        <v/>
      </c>
      <c r="J25" s="8" t="str">
        <f>IF(COUNTIF('Tage feiertage Aus.'!$A$3:$O$100, D25)&gt;0, "f", "")</f>
        <v/>
      </c>
      <c r="K25" s="7">
        <f t="shared" si="1"/>
        <v>46077</v>
      </c>
      <c r="L25" s="8" t="str">
        <f>IF(COUNTIF('Tage Person1 Aus.'!$V$3:$AA$100, K25)&gt;0, "S",IF(COUNTIF('Tage Person1 Aus.'!$A$3:$O$100, K25)&gt;0, "U",IF(COUNTIF('Tage Person1 Aus.'!$AE$3:$AI$100, K25)&gt;0, "h", "")))</f>
        <v/>
      </c>
      <c r="M25" s="8" t="str">
        <f>IF(COUNTIF('Tage Person2 Aus.2'!$V$3:$AA$100, K25)&gt;0, "S",IF(COUNTIF('Tage Person2 Aus.2'!$A$3:$O$100, K25)&gt;0, "U",IF(COUNTIF('Tage Person2 Aus.2'!$AE$3:$AI$100, K25)&gt;0, "h", "")))</f>
        <v/>
      </c>
      <c r="N25" s="8" t="str">
        <f>IF(COUNTIF('Tage Person3 Aus.3'!$V$3:$AA$100, K25)&gt;0, "S",IF(COUNTIF('Tage Person3 Aus.3'!$A$3:$O$100, K25)&gt;0, "U",IF(COUNTIF('Tage Person3 Aus.3'!$AE$3:$AI$100, K25)&gt;0, "h", "")))</f>
        <v/>
      </c>
      <c r="O25" s="8" t="str">
        <f>IF(COUNTIF('Tage Person4 Aus.4'!$V$3:$AA$100, K25)&gt;0, "S",IF(COUNTIF('Tage Person4 Aus.4'!$A$3:$O$100, K25)&gt;0, "U",IF(COUNTIF('Tage Person4 Aus.4'!$AE$3:$AI$100, K25)&gt;0, "h", "")))</f>
        <v/>
      </c>
      <c r="P25" s="8" t="str">
        <f>IF(COUNTIF('Tage ferien Aus.'!$A$3:$O$100, K25)&gt;0, "E", "")</f>
        <v/>
      </c>
      <c r="Q25" s="8" t="str">
        <f>IF(COUNTIF('Tage feiertage Aus.'!$A$3:$O$100, K25)&gt;0, "f", "")</f>
        <v/>
      </c>
      <c r="R25" s="7">
        <f t="shared" si="2"/>
        <v>46105</v>
      </c>
      <c r="S25" s="8" t="str">
        <f>IF(COUNTIF('Tage Person1 Aus.'!$V$3:$AA$100, R25)&gt;0, "S",IF(COUNTIF('Tage Person1 Aus.'!$A$3:$O$100, R25)&gt;0, "U",IF(COUNTIF('Tage Person1 Aus.'!$AE$3:$AI$100, R25)&gt;0, "h", "")))</f>
        <v/>
      </c>
      <c r="T25" s="8" t="str">
        <f>IF(COUNTIF('Tage Person2 Aus.2'!$V$3:$AA$100, R25)&gt;0, "S",IF(COUNTIF('Tage Person2 Aus.2'!$A$3:$O$100, R25)&gt;0, "U",IF(COUNTIF('Tage Person2 Aus.2'!$AE$3:$AI$100, R25)&gt;0, "h", "")))</f>
        <v/>
      </c>
      <c r="U25" s="8" t="str">
        <f>IF(COUNTIF('Tage Person3 Aus.3'!$V$3:$AA$100, R25)&gt;0, "S",IF(COUNTIF('Tage Person3 Aus.3'!$A$3:$O$100, R25)&gt;0, "U",IF(COUNTIF('Tage Person3 Aus.3'!$AE$3:$AI$100, R25)&gt;0, "h", "")))</f>
        <v/>
      </c>
      <c r="V25" s="8" t="str">
        <f>IF(COUNTIF('Tage Person4 Aus.4'!$V$3:$AA$100, R25)&gt;0, "S",IF(COUNTIF('Tage Person4 Aus.4'!$A$3:$O$100, R25)&gt;0, "U",IF(COUNTIF('Tage Person4 Aus.4'!$AE$3:$AI$100, R25)&gt;0, "h", "")))</f>
        <v/>
      </c>
      <c r="W25" s="8" t="str">
        <f>IF(COUNTIF('Tage ferien Aus.'!$A$3:$O$100, R25)&gt;0, "E", "")</f>
        <v/>
      </c>
      <c r="X25" s="8" t="str">
        <f>IF(COUNTIF('Tage feiertage Aus.'!$A$3:$O$100, R25)&gt;0, "f", "")</f>
        <v/>
      </c>
      <c r="Y25" s="7">
        <f t="shared" si="3"/>
        <v>46136</v>
      </c>
      <c r="Z25" s="8" t="str">
        <f>IF(COUNTIF('Tage Person1 Aus.'!$V$3:$AA$100, Y25)&gt;0, "S",IF(COUNTIF('Tage Person1 Aus.'!$A$3:$O$100, Y25)&gt;0, "U",IF(COUNTIF('Tage Person1 Aus.'!$AE$3:$AI$100, Y25)&gt;0, "h", "")))</f>
        <v/>
      </c>
      <c r="AA25" s="8" t="str">
        <f>IF(COUNTIF('Tage Person2 Aus.2'!$V$3:$AA$100, Y25)&gt;0, "S",IF(COUNTIF('Tage Person2 Aus.2'!$A$3:$O$100, Y25)&gt;0, "U",IF(COUNTIF('Tage Person2 Aus.2'!$AE$3:$AI$100, Y25)&gt;0, "h", "")))</f>
        <v/>
      </c>
      <c r="AB25" s="8" t="str">
        <f>IF(COUNTIF('Tage Person3 Aus.3'!$V$3:$AA$100, Y25)&gt;0, "S",IF(COUNTIF('Tage Person3 Aus.3'!$A$3:$O$100, Y25)&gt;0, "U",IF(COUNTIF('Tage Person3 Aus.3'!$AE$3:$AI$100, Y25)&gt;0, "h", "")))</f>
        <v/>
      </c>
      <c r="AC25" s="8" t="str">
        <f>IF(COUNTIF('Tage Person4 Aus.4'!$V$3:$AA$100, Y25)&gt;0, "S",IF(COUNTIF('Tage Person4 Aus.4'!$A$3:$O$100, Y25)&gt;0, "U",IF(COUNTIF('Tage Person4 Aus.4'!$AE$3:$AI$100, Y25)&gt;0, "h", "")))</f>
        <v/>
      </c>
      <c r="AD25" s="8" t="str">
        <f>IF(COUNTIF('Tage ferien Aus.'!$A$3:$O$100, Y25)&gt;0, "E", "")</f>
        <v/>
      </c>
      <c r="AE25" s="8" t="str">
        <f>IF(COUNTIF('Tage feiertage Aus.'!$A$3:$O$100, Y25)&gt;0, "f", "")</f>
        <v/>
      </c>
      <c r="AF25" s="7">
        <f t="shared" si="4"/>
        <v>46166</v>
      </c>
      <c r="AG25" s="9" t="str">
        <f>IF(COUNTIF('Tage Person1 Aus.'!$V$3:$AA$100, AF25)&gt;0, "S",IF(COUNTIF('Tage Person1 Aus.'!$A$3:$O$100, AF25)&gt;0, "U",IF(COUNTIF('Tage Person1 Aus.'!$AE$3:$AI$100, AF25)&gt;0, "h", "")))</f>
        <v/>
      </c>
      <c r="AH25" s="8" t="str">
        <f>IF(COUNTIF('Tage Person2 Aus.2'!$V$3:$AA$100, AF25)&gt;0, "S",IF(COUNTIF('Tage Person2 Aus.2'!$A$3:$O$100, AF25)&gt;0, "U",IF(COUNTIF('Tage Person2 Aus.2'!$AE$3:$AI$100, AF25)&gt;0, "h", "")))</f>
        <v/>
      </c>
      <c r="AI25" s="8" t="str">
        <f>IF(COUNTIF('Tage Person3 Aus.3'!$V$3:$AA$100, AF25)&gt;0, "S",IF(COUNTIF('Tage Person3 Aus.3'!$A$3:$O$100, AF25)&gt;0, "U",IF(COUNTIF('Tage Person3 Aus.3'!$AE$3:$AI$100, AF25)&gt;0, "h", "")))</f>
        <v/>
      </c>
      <c r="AJ25" s="8" t="str">
        <f>IF(COUNTIF('Tage Person4 Aus.4'!$V$3:$AA$100, AF25)&gt;0, "S",IF(COUNTIF('Tage Person4 Aus.4'!$A$3:$O$100, AF25)&gt;0, "U",IF(COUNTIF('Tage Person4 Aus.4'!$AE$3:$AI$100, AF25)&gt;0, "h", "")))</f>
        <v/>
      </c>
      <c r="AK25" s="8" t="str">
        <f>IF(COUNTIF('Tage ferien Aus.'!$A$3:$O$100, AF25)&gt;0, "E", "")</f>
        <v/>
      </c>
      <c r="AL25" s="8" t="str">
        <f>IF(COUNTIF('Tage feiertage Aus.'!$A$3:$O$100, AF25)&gt;0, "f", "")</f>
        <v/>
      </c>
      <c r="AM25" s="7">
        <f t="shared" si="5"/>
        <v>46197</v>
      </c>
      <c r="AN25" s="8" t="str">
        <f>IF(COUNTIF('Tage Person1 Aus.'!$V$3:$AA$100, AM25)&gt;0, "S",IF(COUNTIF('Tage Person1 Aus.'!$A$3:$O$100, AM25)&gt;0, "U",IF(COUNTIF('Tage Person1 Aus.'!$AE$3:$AI$100, AM25)&gt;0, "h", "")))</f>
        <v/>
      </c>
      <c r="AO25" s="8" t="str">
        <f>IF(COUNTIF('Tage Person2 Aus.2'!$V$3:$AA$100, AM25)&gt;0, "S",IF(COUNTIF('Tage Person2 Aus.2'!$A$3:$O$100, AM25)&gt;0, "U",IF(COUNTIF('Tage Person2 Aus.2'!$AE$3:$AI$100, AM25)&gt;0, "h", "")))</f>
        <v/>
      </c>
      <c r="AP25" s="8" t="str">
        <f>IF(COUNTIF('Tage Person3 Aus.3'!$V$3:$AA$100, AM25)&gt;0, "S",IF(COUNTIF('Tage Person3 Aus.3'!$A$3:$O$100, AM25)&gt;0, "U",IF(COUNTIF('Tage Person3 Aus.3'!$AE$3:$AI$100, AM25)&gt;0, "h", "")))</f>
        <v/>
      </c>
      <c r="AQ25" s="8" t="str">
        <f>IF(COUNTIF('Tage Person4 Aus.4'!$V$3:$AA$100, AM25)&gt;0, "S",IF(COUNTIF('Tage Person4 Aus.4'!$A$3:$O$100, AM25)&gt;0, "U",IF(COUNTIF('Tage Person4 Aus.4'!$AE$3:$AI$100, AM25)&gt;0, "h", "")))</f>
        <v/>
      </c>
      <c r="AR25" s="8" t="str">
        <f>IF(COUNTIF('Tage ferien Aus.'!$A$3:$O$100, AM25)&gt;0, "E", "")</f>
        <v/>
      </c>
      <c r="AS25" s="8" t="str">
        <f>IF(COUNTIF('Tage feiertage Aus.'!$A$3:$O$100, AM25)&gt;0, "f", "")</f>
        <v/>
      </c>
      <c r="AT25" s="7">
        <f t="shared" si="6"/>
        <v>46227</v>
      </c>
      <c r="AU25" s="8" t="str">
        <f>IF(COUNTIF('Tage Person1 Aus.'!$V$3:$AA$100, AT25)&gt;0, "S",IF(COUNTIF('Tage Person1 Aus.'!$A$3:$O$100, AT25)&gt;0, "U",IF(COUNTIF('Tage Person1 Aus.'!$AE$3:$AI$100, AT25)&gt;0, "h", "")))</f>
        <v/>
      </c>
      <c r="AV25" s="8" t="str">
        <f>IF(COUNTIF('Tage Person2 Aus.2'!$V$3:$AA$100, AT25)&gt;0, "S",IF(COUNTIF('Tage Person2 Aus.2'!$A$3:$O$100, AT25)&gt;0, "U",IF(COUNTIF('Tage Person2 Aus.2'!$AE$3:$AI$100, AT25)&gt;0, "h", "")))</f>
        <v/>
      </c>
      <c r="AW25" s="8" t="str">
        <f>IF(COUNTIF('Tage Person3 Aus.3'!$V$3:$AA$100, AT25)&gt;0, "S",IF(COUNTIF('Tage Person3 Aus.3'!$A$3:$O$100, AT25)&gt;0, "U",IF(COUNTIF('Tage Person3 Aus.3'!$AE$3:$AI$100, AT25)&gt;0, "h", "")))</f>
        <v/>
      </c>
      <c r="AX25" s="8" t="str">
        <f>IF(COUNTIF('Tage Person4 Aus.4'!$V$3:$AA$100, AT25)&gt;0, "S",IF(COUNTIF('Tage Person4 Aus.4'!$A$3:$O$100, AT25)&gt;0, "U",IF(COUNTIF('Tage Person4 Aus.4'!$AE$3:$AI$100, AT25)&gt;0, "h", "")))</f>
        <v/>
      </c>
      <c r="AY25" s="8" t="str">
        <f>IF(COUNTIF('Tage ferien Aus.'!$A$3:$O$100, AT25)&gt;0, "E", "")</f>
        <v>E</v>
      </c>
      <c r="AZ25" s="8" t="str">
        <f>IF(COUNTIF('Tage feiertage Aus.'!$A$3:$O$100, AT25)&gt;0, "f", "")</f>
        <v/>
      </c>
      <c r="BA25" s="7">
        <f t="shared" si="7"/>
        <v>46258</v>
      </c>
      <c r="BB25" s="8" t="str">
        <f>IF(COUNTIF('Tage Person1 Aus.'!$V$3:$AA$100, BA25)&gt;0, "S",IF(COUNTIF('Tage Person1 Aus.'!$A$3:$O$100, BA25)&gt;0, "U",IF(COUNTIF('Tage Person1 Aus.'!$AE$3:$AI$100, BA25)&gt;0, "h", "")))</f>
        <v/>
      </c>
      <c r="BC25" s="8" t="str">
        <f>IF(COUNTIF('Tage Person2 Aus.2'!$V$3:$AA$100, BA25)&gt;0, "S",IF(COUNTIF('Tage Person2 Aus.2'!$A$3:$O$100, BA25)&gt;0, "U",IF(COUNTIF('Tage Person2 Aus.2'!$AE$3:$AI$100, BA25)&gt;0, "h", "")))</f>
        <v/>
      </c>
      <c r="BD25" s="8" t="str">
        <f>IF(COUNTIF('Tage Person3 Aus.3'!$V$3:$AA$100, BA25)&gt;0, "S",IF(COUNTIF('Tage Person3 Aus.3'!$A$3:$O$100, BA25)&gt;0, "U",IF(COUNTIF('Tage Person3 Aus.3'!$AE$3:$AI$100, BA25)&gt;0, "h", "")))</f>
        <v/>
      </c>
      <c r="BE25" s="8" t="str">
        <f>IF(COUNTIF('Tage Person4 Aus.4'!$V$3:$AA$100, BA25)&gt;0, "S",IF(COUNTIF('Tage Person4 Aus.4'!$A$3:$O$100, BA25)&gt;0, "U",IF(COUNTIF('Tage Person4 Aus.4'!$AE$3:$AI$100, BA25)&gt;0, "h", "")))</f>
        <v/>
      </c>
      <c r="BF25" s="8" t="str">
        <f>IF(COUNTIF('Tage ferien Aus.'!$A$3:$O$100, BA25)&gt;0, "E", "")</f>
        <v>E</v>
      </c>
      <c r="BG25" s="8" t="str">
        <f>IF(COUNTIF('Tage feiertage Aus.'!$A$3:$O$100, BA25)&gt;0, "f", "")</f>
        <v/>
      </c>
      <c r="BH25" s="7">
        <f t="shared" si="8"/>
        <v>46289</v>
      </c>
      <c r="BI25" s="8" t="str">
        <f>IF(COUNTIF('Tage Person1 Aus.'!$V$3:$AA$100, BH25)&gt;0, "S",IF(COUNTIF('Tage Person1 Aus.'!$A$3:$O$100, BH25)&gt;0, "U",IF(COUNTIF('Tage Person1 Aus.'!$AE$3:$AI$100, BH25)&gt;0, "h", "")))</f>
        <v/>
      </c>
      <c r="BJ25" s="8" t="str">
        <f>IF(COUNTIF('Tage Person2 Aus.2'!$V$3:$AA$100, BH25)&gt;0, "S",IF(COUNTIF('Tage Person2 Aus.2'!$A$3:$O$100, BH25)&gt;0, "U",IF(COUNTIF('Tage Person2 Aus.2'!$AE$3:$AI$100, BH25)&gt;0, "h", "")))</f>
        <v/>
      </c>
      <c r="BK25" s="8" t="str">
        <f>IF(COUNTIF('Tage Person3 Aus.3'!$V$3:$AA$100, BH25)&gt;0, "S",IF(COUNTIF('Tage Person3 Aus.3'!$A$3:$O$100, BH25)&gt;0, "U",IF(COUNTIF('Tage Person3 Aus.3'!$AE$3:$AI$100, BH25)&gt;0, "h", "")))</f>
        <v/>
      </c>
      <c r="BL25" s="8" t="str">
        <f>IF(COUNTIF('Tage Person4 Aus.4'!$V$3:$AA$100, BH25)&gt;0, "S",IF(COUNTIF('Tage Person4 Aus.4'!$A$3:$O$100, BH25)&gt;0, "U",IF(COUNTIF('Tage Person4 Aus.4'!$AE$3:$AI$100, BH25)&gt;0, "h", "")))</f>
        <v/>
      </c>
      <c r="BM25" s="8" t="str">
        <f>IF(COUNTIF('Tage ferien Aus.'!$A$3:$O$100, BH25)&gt;0, "E", "")</f>
        <v/>
      </c>
      <c r="BN25" s="8" t="str">
        <f>IF(COUNTIF('Tage feiertage Aus.'!$A$3:$O$100, BH25)&gt;0, "f", "")</f>
        <v/>
      </c>
      <c r="BO25" s="7">
        <f t="shared" si="9"/>
        <v>46319</v>
      </c>
      <c r="BP25" s="8" t="str">
        <f>IF(COUNTIF('Tage Person1 Aus.'!$V$3:$AA$100, BO25)&gt;0, "S",IF(COUNTIF('Tage Person1 Aus.'!$A$3:$O$100, BO25)&gt;0, "U",IF(COUNTIF('Tage Person1 Aus.'!$AE$3:$AI$100, BO25)&gt;0, "h", "")))</f>
        <v/>
      </c>
      <c r="BQ25" s="8" t="str">
        <f>IF(COUNTIF('Tage Person2 Aus.2'!$V$3:$AA$100, BO25)&gt;0, "S",IF(COUNTIF('Tage Person2 Aus.2'!$A$3:$O$100, BO25)&gt;0, "U",IF(COUNTIF('Tage Person2 Aus.2'!$AE$3:$AI$100, BO25)&gt;0, "h", "")))</f>
        <v/>
      </c>
      <c r="BR25" s="8" t="str">
        <f>IF(COUNTIF('Tage Person3 Aus.3'!$V$3:$AA$100, BO25)&gt;0, "S",IF(COUNTIF('Tage Person3 Aus.3'!$A$3:$O$100, BO25)&gt;0, "U",IF(COUNTIF('Tage Person3 Aus.3'!$AE$3:$AI$100, BO25)&gt;0, "h", "")))</f>
        <v/>
      </c>
      <c r="BS25" s="8" t="str">
        <f>IF(COUNTIF('Tage Person4 Aus.4'!$V$3:$AA$100, BO25)&gt;0, "S",IF(COUNTIF('Tage Person4 Aus.4'!$A$3:$O$100, BO25)&gt;0, "U",IF(COUNTIF('Tage Person4 Aus.4'!$AE$3:$AI$100, BO25)&gt;0, "h", "")))</f>
        <v/>
      </c>
      <c r="BT25" s="8" t="str">
        <f>IF(COUNTIF('Tage ferien Aus.'!$A$3:$O$100, BO25)&gt;0, "E", "")</f>
        <v>E</v>
      </c>
      <c r="BU25" s="8" t="str">
        <f>IF(COUNTIF('Tage feiertage Aus.'!$A$3:$O$100, BO25)&gt;0, "f", "")</f>
        <v/>
      </c>
      <c r="BV25" s="7">
        <f t="shared" si="10"/>
        <v>46350</v>
      </c>
      <c r="BW25" s="8" t="str">
        <f>IF(COUNTIF('Tage Person1 Aus.'!$V$3:$AA$100, BV25)&gt;0, "S",IF(COUNTIF('Tage Person1 Aus.'!$A$3:$O$100, BV25)&gt;0, "U",IF(COUNTIF('Tage Person1 Aus.'!$AE$3:$AI$100, BV25)&gt;0, "h", "")))</f>
        <v/>
      </c>
      <c r="BX25" s="8" t="str">
        <f>IF(COUNTIF('Tage Person2 Aus.2'!$V$3:$AA$100, BV25)&gt;0, "S",IF(COUNTIF('Tage Person2 Aus.2'!$A$3:$O$100, BV25)&gt;0, "U",IF(COUNTIF('Tage Person2 Aus.2'!$AE$3:$AI$100, BV25)&gt;0, "h", "")))</f>
        <v/>
      </c>
      <c r="BY25" s="8" t="str">
        <f>IF(COUNTIF('Tage Person3 Aus.3'!$V$3:$AA$100, BV25)&gt;0, "S",IF(COUNTIF('Tage Person3 Aus.3'!$A$3:$O$100, BV25)&gt;0, "U",IF(COUNTIF('Tage Person3 Aus.3'!$AE$3:$AI$100, BV25)&gt;0, "h", "")))</f>
        <v/>
      </c>
      <c r="BZ25" s="8" t="str">
        <f>IF(COUNTIF('Tage Person4 Aus.4'!$V$3:$AA$100, BV25)&gt;0, "S",IF(COUNTIF('Tage Person4 Aus.4'!$A$3:$O$100, BV25)&gt;0, "U",IF(COUNTIF('Tage Person4 Aus.4'!$AE$3:$AI$100, BV25)&gt;0, "h", "")))</f>
        <v/>
      </c>
      <c r="CA25" s="8" t="str">
        <f>IF(COUNTIF('Tage ferien Aus.'!$A$3:$O$100, BV25)&gt;0, "E", "")</f>
        <v/>
      </c>
      <c r="CB25" s="8" t="str">
        <f>IF(COUNTIF('Tage feiertage Aus.'!$A$3:$O$100, BV25)&gt;0, "f", "")</f>
        <v/>
      </c>
      <c r="CC25" s="7">
        <f t="shared" si="11"/>
        <v>46380</v>
      </c>
      <c r="CD25" s="10" t="str">
        <f>IF(COUNTIF('Tage Person1 Aus.'!$V$3:$AA$100, CC25)&gt;0, "S",IF(COUNTIF('Tage Person1 Aus.'!$A$3:$O$100, CC25)&gt;0, "U",IF(COUNTIF('Tage Person1 Aus.'!$AE$3:$AI$100, CC25)&gt;0, "h", "")))</f>
        <v>h</v>
      </c>
      <c r="CE25" s="11" t="str">
        <f>IF(COUNTIF('Tage Person2 Aus.2'!$V$3:$AA$100, CC25)&gt;0, "S",IF(COUNTIF('Tage Person2 Aus.2'!$A$3:$O$100, CC25)&gt;0, "U",IF(COUNTIF('Tage Person2 Aus.2'!$AE$3:$AI$100, CC25)&gt;0, "h", "")))</f>
        <v/>
      </c>
      <c r="CF25" s="12" t="str">
        <f>IF(COUNTIF('Tage Person3 Aus.3'!$V$3:$AA$100, CC25)&gt;0, "S",IF(COUNTIF('Tage Person3 Aus.3'!$A$3:$O$100, CC25)&gt;0, "U",IF(COUNTIF('Tage Person3 Aus.3'!$AE$3:$AI$100, CC25)&gt;0, "h", "")))</f>
        <v/>
      </c>
      <c r="CG25" s="10" t="str">
        <f>IF(COUNTIF('Tage Person4 Aus.4'!$V$3:$AA$100, CC25)&gt;0, "S",IF(COUNTIF('Tage Person4 Aus.4'!$A$3:$O$100, CC25)&gt;0, "U",IF(COUNTIF('Tage Person4 Aus.4'!$AE$3:$AI$100, CC25)&gt;0, "h", "")))</f>
        <v/>
      </c>
      <c r="CH25" s="11" t="str">
        <f>IF(COUNTIF('Tage ferien Aus.'!$A$3:$O$100, CC25)&gt;0, "E", "")</f>
        <v>E</v>
      </c>
      <c r="CI25" s="12" t="str">
        <f>IF(COUNTIF('Tage feiertage Aus.'!$A$3:$O$100, CC25)&gt;0, "f", "")</f>
        <v/>
      </c>
      <c r="CJ25" s="4"/>
      <c r="CK25" s="4"/>
      <c r="CL25" s="6"/>
      <c r="CM25" s="4"/>
      <c r="CN25" s="2"/>
      <c r="CO25" s="3"/>
      <c r="CP25" s="4"/>
      <c r="CQ25" s="2"/>
      <c r="CR25" s="3"/>
      <c r="CS25" s="4"/>
      <c r="CT25" s="4"/>
      <c r="CU25" s="6"/>
      <c r="CV25" s="4"/>
      <c r="CW25" s="4"/>
      <c r="CX25" s="6"/>
      <c r="CY25" s="4"/>
    </row>
    <row r="26" spans="1:103" x14ac:dyDescent="0.3">
      <c r="A26" s="67"/>
      <c r="B26" s="58"/>
      <c r="C26" s="57"/>
      <c r="D26" s="7">
        <f t="shared" si="0"/>
        <v>46047</v>
      </c>
      <c r="E26" s="8" t="str">
        <f>IF(COUNTIF('Tage Person1 Aus.'!$V$3:$AA$100, D26)&gt;0, "S",IF(COUNTIF('Tage Person1 Aus.'!$A$3:$O$100, D26)&gt;0, "U",IF(COUNTIF('Tage Person1 Aus.'!$AE$3:$AI$100, D26)&gt;0, "h", "")))</f>
        <v/>
      </c>
      <c r="F26" s="8" t="str">
        <f>IF(COUNTIF('Tage Person2 Aus.2'!$V$3:$AA$100, D26)&gt;0, "S",IF(COUNTIF('Tage Person2 Aus.2'!$A$3:$O$100, D26)&gt;0, "U",IF(COUNTIF('Tage Person2 Aus.2'!$AE$3:$AI$100, D26)&gt;0, "h", "")))</f>
        <v/>
      </c>
      <c r="G26" s="8" t="str">
        <f>IF(COUNTIF('Tage Person3 Aus.3'!$V$3:$AA$100, D26)&gt;0, "S",IF(COUNTIF('Tage Person3 Aus.3'!$A$3:$O$100, D26)&gt;0, "U",IF(COUNTIF('Tage Person3 Aus.3'!$AE$3:$AI$100, D26)&gt;0, "h", "")))</f>
        <v/>
      </c>
      <c r="H26" s="8" t="str">
        <f>IF(COUNTIF('Tage Person4 Aus.4'!$V$3:$AA$100, D26)&gt;0, "S",IF(COUNTIF('Tage Person4 Aus.4'!$A$3:$O$100, D26)&gt;0, "U",IF(COUNTIF('Tage Person4 Aus.4'!$AE$3:$AI$100, D26)&gt;0, "h", "")))</f>
        <v/>
      </c>
      <c r="I26" s="8" t="str">
        <f>IF(COUNTIF('Tage ferien Aus.'!$A$3:$O$100, D26)&gt;0, "E", "")</f>
        <v/>
      </c>
      <c r="J26" s="8" t="str">
        <f>IF(COUNTIF('Tage feiertage Aus.'!$A$3:$O$100, D26)&gt;0, "f", "")</f>
        <v/>
      </c>
      <c r="K26" s="7">
        <f t="shared" si="1"/>
        <v>46078</v>
      </c>
      <c r="L26" s="8" t="str">
        <f>IF(COUNTIF('Tage Person1 Aus.'!$V$3:$AA$100, K26)&gt;0, "S",IF(COUNTIF('Tage Person1 Aus.'!$A$3:$O$100, K26)&gt;0, "U",IF(COUNTIF('Tage Person1 Aus.'!$AE$3:$AI$100, K26)&gt;0, "h", "")))</f>
        <v/>
      </c>
      <c r="M26" s="8" t="str">
        <f>IF(COUNTIF('Tage Person2 Aus.2'!$V$3:$AA$100, K26)&gt;0, "S",IF(COUNTIF('Tage Person2 Aus.2'!$A$3:$O$100, K26)&gt;0, "U",IF(COUNTIF('Tage Person2 Aus.2'!$AE$3:$AI$100, K26)&gt;0, "h", "")))</f>
        <v/>
      </c>
      <c r="N26" s="8" t="str">
        <f>IF(COUNTIF('Tage Person3 Aus.3'!$V$3:$AA$100, K26)&gt;0, "S",IF(COUNTIF('Tage Person3 Aus.3'!$A$3:$O$100, K26)&gt;0, "U",IF(COUNTIF('Tage Person3 Aus.3'!$AE$3:$AI$100, K26)&gt;0, "h", "")))</f>
        <v/>
      </c>
      <c r="O26" s="8" t="str">
        <f>IF(COUNTIF('Tage Person4 Aus.4'!$V$3:$AA$100, K26)&gt;0, "S",IF(COUNTIF('Tage Person4 Aus.4'!$A$3:$O$100, K26)&gt;0, "U",IF(COUNTIF('Tage Person4 Aus.4'!$AE$3:$AI$100, K26)&gt;0, "h", "")))</f>
        <v/>
      </c>
      <c r="P26" s="8" t="str">
        <f>IF(COUNTIF('Tage ferien Aus.'!$A$3:$O$100, K26)&gt;0, "E", "")</f>
        <v/>
      </c>
      <c r="Q26" s="8" t="str">
        <f>IF(COUNTIF('Tage feiertage Aus.'!$A$3:$O$100, K26)&gt;0, "f", "")</f>
        <v/>
      </c>
      <c r="R26" s="7">
        <f t="shared" si="2"/>
        <v>46106</v>
      </c>
      <c r="S26" s="8" t="str">
        <f>IF(COUNTIF('Tage Person1 Aus.'!$V$3:$AA$100, R26)&gt;0, "S",IF(COUNTIF('Tage Person1 Aus.'!$A$3:$O$100, R26)&gt;0, "U",IF(COUNTIF('Tage Person1 Aus.'!$AE$3:$AI$100, R26)&gt;0, "h", "")))</f>
        <v/>
      </c>
      <c r="T26" s="8" t="str">
        <f>IF(COUNTIF('Tage Person2 Aus.2'!$V$3:$AA$100, R26)&gt;0, "S",IF(COUNTIF('Tage Person2 Aus.2'!$A$3:$O$100, R26)&gt;0, "U",IF(COUNTIF('Tage Person2 Aus.2'!$AE$3:$AI$100, R26)&gt;0, "h", "")))</f>
        <v/>
      </c>
      <c r="U26" s="8" t="str">
        <f>IF(COUNTIF('Tage Person3 Aus.3'!$V$3:$AA$100, R26)&gt;0, "S",IF(COUNTIF('Tage Person3 Aus.3'!$A$3:$O$100, R26)&gt;0, "U",IF(COUNTIF('Tage Person3 Aus.3'!$AE$3:$AI$100, R26)&gt;0, "h", "")))</f>
        <v/>
      </c>
      <c r="V26" s="8" t="str">
        <f>IF(COUNTIF('Tage Person4 Aus.4'!$V$3:$AA$100, R26)&gt;0, "S",IF(COUNTIF('Tage Person4 Aus.4'!$A$3:$O$100, R26)&gt;0, "U",IF(COUNTIF('Tage Person4 Aus.4'!$AE$3:$AI$100, R26)&gt;0, "h", "")))</f>
        <v/>
      </c>
      <c r="W26" s="8" t="str">
        <f>IF(COUNTIF('Tage ferien Aus.'!$A$3:$O$100, R26)&gt;0, "E", "")</f>
        <v/>
      </c>
      <c r="X26" s="8" t="str">
        <f>IF(COUNTIF('Tage feiertage Aus.'!$A$3:$O$100, R26)&gt;0, "f", "")</f>
        <v/>
      </c>
      <c r="Y26" s="7">
        <f t="shared" si="3"/>
        <v>46137</v>
      </c>
      <c r="Z26" s="8" t="str">
        <f>IF(COUNTIF('Tage Person1 Aus.'!$V$3:$AA$100, Y26)&gt;0, "S",IF(COUNTIF('Tage Person1 Aus.'!$A$3:$O$100, Y26)&gt;0, "U",IF(COUNTIF('Tage Person1 Aus.'!$AE$3:$AI$100, Y26)&gt;0, "h", "")))</f>
        <v/>
      </c>
      <c r="AA26" s="8" t="str">
        <f>IF(COUNTIF('Tage Person2 Aus.2'!$V$3:$AA$100, Y26)&gt;0, "S",IF(COUNTIF('Tage Person2 Aus.2'!$A$3:$O$100, Y26)&gt;0, "U",IF(COUNTIF('Tage Person2 Aus.2'!$AE$3:$AI$100, Y26)&gt;0, "h", "")))</f>
        <v/>
      </c>
      <c r="AB26" s="8" t="str">
        <f>IF(COUNTIF('Tage Person3 Aus.3'!$V$3:$AA$100, Y26)&gt;0, "S",IF(COUNTIF('Tage Person3 Aus.3'!$A$3:$O$100, Y26)&gt;0, "U",IF(COUNTIF('Tage Person3 Aus.3'!$AE$3:$AI$100, Y26)&gt;0, "h", "")))</f>
        <v/>
      </c>
      <c r="AC26" s="8" t="str">
        <f>IF(COUNTIF('Tage Person4 Aus.4'!$V$3:$AA$100, Y26)&gt;0, "S",IF(COUNTIF('Tage Person4 Aus.4'!$A$3:$O$100, Y26)&gt;0, "U",IF(COUNTIF('Tage Person4 Aus.4'!$AE$3:$AI$100, Y26)&gt;0, "h", "")))</f>
        <v/>
      </c>
      <c r="AD26" s="8" t="str">
        <f>IF(COUNTIF('Tage ferien Aus.'!$A$3:$O$100, Y26)&gt;0, "E", "")</f>
        <v/>
      </c>
      <c r="AE26" s="8" t="str">
        <f>IF(COUNTIF('Tage feiertage Aus.'!$A$3:$O$100, Y26)&gt;0, "f", "")</f>
        <v/>
      </c>
      <c r="AF26" s="7">
        <f t="shared" si="4"/>
        <v>46167</v>
      </c>
      <c r="AG26" s="9" t="str">
        <f>IF(COUNTIF('Tage Person1 Aus.'!$V$3:$AA$100, AF26)&gt;0, "S",IF(COUNTIF('Tage Person1 Aus.'!$A$3:$O$100, AF26)&gt;0, "U",IF(COUNTIF('Tage Person1 Aus.'!$AE$3:$AI$100, AF26)&gt;0, "h", "")))</f>
        <v/>
      </c>
      <c r="AH26" s="8" t="str">
        <f>IF(COUNTIF('Tage Person2 Aus.2'!$V$3:$AA$100, AF26)&gt;0, "S",IF(COUNTIF('Tage Person2 Aus.2'!$A$3:$O$100, AF26)&gt;0, "U",IF(COUNTIF('Tage Person2 Aus.2'!$AE$3:$AI$100, AF26)&gt;0, "h", "")))</f>
        <v/>
      </c>
      <c r="AI26" s="8" t="str">
        <f>IF(COUNTIF('Tage Person3 Aus.3'!$V$3:$AA$100, AF26)&gt;0, "S",IF(COUNTIF('Tage Person3 Aus.3'!$A$3:$O$100, AF26)&gt;0, "U",IF(COUNTIF('Tage Person3 Aus.3'!$AE$3:$AI$100, AF26)&gt;0, "h", "")))</f>
        <v/>
      </c>
      <c r="AJ26" s="8" t="str">
        <f>IF(COUNTIF('Tage Person4 Aus.4'!$V$3:$AA$100, AF26)&gt;0, "S",IF(COUNTIF('Tage Person4 Aus.4'!$A$3:$O$100, AF26)&gt;0, "U",IF(COUNTIF('Tage Person4 Aus.4'!$AE$3:$AI$100, AF26)&gt;0, "h", "")))</f>
        <v/>
      </c>
      <c r="AK26" s="8" t="str">
        <f>IF(COUNTIF('Tage ferien Aus.'!$A$3:$O$100, AF26)&gt;0, "E", "")</f>
        <v/>
      </c>
      <c r="AL26" s="8" t="str">
        <f>IF(COUNTIF('Tage feiertage Aus.'!$A$3:$O$100, AF26)&gt;0, "f", "")</f>
        <v>f</v>
      </c>
      <c r="AM26" s="7">
        <f t="shared" si="5"/>
        <v>46198</v>
      </c>
      <c r="AN26" s="8" t="str">
        <f>IF(COUNTIF('Tage Person1 Aus.'!$V$3:$AA$100, AM26)&gt;0, "S",IF(COUNTIF('Tage Person1 Aus.'!$A$3:$O$100, AM26)&gt;0, "U",IF(COUNTIF('Tage Person1 Aus.'!$AE$3:$AI$100, AM26)&gt;0, "h", "")))</f>
        <v/>
      </c>
      <c r="AO26" s="8" t="str">
        <f>IF(COUNTIF('Tage Person2 Aus.2'!$V$3:$AA$100, AM26)&gt;0, "S",IF(COUNTIF('Tage Person2 Aus.2'!$A$3:$O$100, AM26)&gt;0, "U",IF(COUNTIF('Tage Person2 Aus.2'!$AE$3:$AI$100, AM26)&gt;0, "h", "")))</f>
        <v/>
      </c>
      <c r="AP26" s="8" t="str">
        <f>IF(COUNTIF('Tage Person3 Aus.3'!$V$3:$AA$100, AM26)&gt;0, "S",IF(COUNTIF('Tage Person3 Aus.3'!$A$3:$O$100, AM26)&gt;0, "U",IF(COUNTIF('Tage Person3 Aus.3'!$AE$3:$AI$100, AM26)&gt;0, "h", "")))</f>
        <v/>
      </c>
      <c r="AQ26" s="8" t="str">
        <f>IF(COUNTIF('Tage Person4 Aus.4'!$V$3:$AA$100, AM26)&gt;0, "S",IF(COUNTIF('Tage Person4 Aus.4'!$A$3:$O$100, AM26)&gt;0, "U",IF(COUNTIF('Tage Person4 Aus.4'!$AE$3:$AI$100, AM26)&gt;0, "h", "")))</f>
        <v/>
      </c>
      <c r="AR26" s="8" t="str">
        <f>IF(COUNTIF('Tage ferien Aus.'!$A$3:$O$100, AM26)&gt;0, "E", "")</f>
        <v/>
      </c>
      <c r="AS26" s="8" t="str">
        <f>IF(COUNTIF('Tage feiertage Aus.'!$A$3:$O$100, AM26)&gt;0, "f", "")</f>
        <v/>
      </c>
      <c r="AT26" s="7">
        <f t="shared" si="6"/>
        <v>46228</v>
      </c>
      <c r="AU26" s="8" t="str">
        <f>IF(COUNTIF('Tage Person1 Aus.'!$V$3:$AA$100, AT26)&gt;0, "S",IF(COUNTIF('Tage Person1 Aus.'!$A$3:$O$100, AT26)&gt;0, "U",IF(COUNTIF('Tage Person1 Aus.'!$AE$3:$AI$100, AT26)&gt;0, "h", "")))</f>
        <v/>
      </c>
      <c r="AV26" s="8" t="str">
        <f>IF(COUNTIF('Tage Person2 Aus.2'!$V$3:$AA$100, AT26)&gt;0, "S",IF(COUNTIF('Tage Person2 Aus.2'!$A$3:$O$100, AT26)&gt;0, "U",IF(COUNTIF('Tage Person2 Aus.2'!$AE$3:$AI$100, AT26)&gt;0, "h", "")))</f>
        <v/>
      </c>
      <c r="AW26" s="8" t="str">
        <f>IF(COUNTIF('Tage Person3 Aus.3'!$V$3:$AA$100, AT26)&gt;0, "S",IF(COUNTIF('Tage Person3 Aus.3'!$A$3:$O$100, AT26)&gt;0, "U",IF(COUNTIF('Tage Person3 Aus.3'!$AE$3:$AI$100, AT26)&gt;0, "h", "")))</f>
        <v/>
      </c>
      <c r="AX26" s="8" t="str">
        <f>IF(COUNTIF('Tage Person4 Aus.4'!$V$3:$AA$100, AT26)&gt;0, "S",IF(COUNTIF('Tage Person4 Aus.4'!$A$3:$O$100, AT26)&gt;0, "U",IF(COUNTIF('Tage Person4 Aus.4'!$AE$3:$AI$100, AT26)&gt;0, "h", "")))</f>
        <v/>
      </c>
      <c r="AY26" s="8" t="str">
        <f>IF(COUNTIF('Tage ferien Aus.'!$A$3:$O$100, AT26)&gt;0, "E", "")</f>
        <v>E</v>
      </c>
      <c r="AZ26" s="8" t="str">
        <f>IF(COUNTIF('Tage feiertage Aus.'!$A$3:$O$100, AT26)&gt;0, "f", "")</f>
        <v/>
      </c>
      <c r="BA26" s="7">
        <f t="shared" si="7"/>
        <v>46259</v>
      </c>
      <c r="BB26" s="8" t="str">
        <f>IF(COUNTIF('Tage Person1 Aus.'!$V$3:$AA$100, BA26)&gt;0, "S",IF(COUNTIF('Tage Person1 Aus.'!$A$3:$O$100, BA26)&gt;0, "U",IF(COUNTIF('Tage Person1 Aus.'!$AE$3:$AI$100, BA26)&gt;0, "h", "")))</f>
        <v/>
      </c>
      <c r="BC26" s="8" t="str">
        <f>IF(COUNTIF('Tage Person2 Aus.2'!$V$3:$AA$100, BA26)&gt;0, "S",IF(COUNTIF('Tage Person2 Aus.2'!$A$3:$O$100, BA26)&gt;0, "U",IF(COUNTIF('Tage Person2 Aus.2'!$AE$3:$AI$100, BA26)&gt;0, "h", "")))</f>
        <v/>
      </c>
      <c r="BD26" s="8" t="str">
        <f>IF(COUNTIF('Tage Person3 Aus.3'!$V$3:$AA$100, BA26)&gt;0, "S",IF(COUNTIF('Tage Person3 Aus.3'!$A$3:$O$100, BA26)&gt;0, "U",IF(COUNTIF('Tage Person3 Aus.3'!$AE$3:$AI$100, BA26)&gt;0, "h", "")))</f>
        <v/>
      </c>
      <c r="BE26" s="8" t="str">
        <f>IF(COUNTIF('Tage Person4 Aus.4'!$V$3:$AA$100, BA26)&gt;0, "S",IF(COUNTIF('Tage Person4 Aus.4'!$A$3:$O$100, BA26)&gt;0, "U",IF(COUNTIF('Tage Person4 Aus.4'!$AE$3:$AI$100, BA26)&gt;0, "h", "")))</f>
        <v/>
      </c>
      <c r="BF26" s="8" t="str">
        <f>IF(COUNTIF('Tage ferien Aus.'!$A$3:$O$100, BA26)&gt;0, "E", "")</f>
        <v>E</v>
      </c>
      <c r="BG26" s="8" t="str">
        <f>IF(COUNTIF('Tage feiertage Aus.'!$A$3:$O$100, BA26)&gt;0, "f", "")</f>
        <v/>
      </c>
      <c r="BH26" s="7">
        <f t="shared" si="8"/>
        <v>46290</v>
      </c>
      <c r="BI26" s="8" t="str">
        <f>IF(COUNTIF('Tage Person1 Aus.'!$V$3:$AA$100, BH26)&gt;0, "S",IF(COUNTIF('Tage Person1 Aus.'!$A$3:$O$100, BH26)&gt;0, "U",IF(COUNTIF('Tage Person1 Aus.'!$AE$3:$AI$100, BH26)&gt;0, "h", "")))</f>
        <v/>
      </c>
      <c r="BJ26" s="8" t="str">
        <f>IF(COUNTIF('Tage Person2 Aus.2'!$V$3:$AA$100, BH26)&gt;0, "S",IF(COUNTIF('Tage Person2 Aus.2'!$A$3:$O$100, BH26)&gt;0, "U",IF(COUNTIF('Tage Person2 Aus.2'!$AE$3:$AI$100, BH26)&gt;0, "h", "")))</f>
        <v/>
      </c>
      <c r="BK26" s="8" t="str">
        <f>IF(COUNTIF('Tage Person3 Aus.3'!$V$3:$AA$100, BH26)&gt;0, "S",IF(COUNTIF('Tage Person3 Aus.3'!$A$3:$O$100, BH26)&gt;0, "U",IF(COUNTIF('Tage Person3 Aus.3'!$AE$3:$AI$100, BH26)&gt;0, "h", "")))</f>
        <v/>
      </c>
      <c r="BL26" s="8" t="str">
        <f>IF(COUNTIF('Tage Person4 Aus.4'!$V$3:$AA$100, BH26)&gt;0, "S",IF(COUNTIF('Tage Person4 Aus.4'!$A$3:$O$100, BH26)&gt;0, "U",IF(COUNTIF('Tage Person4 Aus.4'!$AE$3:$AI$100, BH26)&gt;0, "h", "")))</f>
        <v/>
      </c>
      <c r="BM26" s="8" t="str">
        <f>IF(COUNTIF('Tage ferien Aus.'!$A$3:$O$100, BH26)&gt;0, "E", "")</f>
        <v/>
      </c>
      <c r="BN26" s="8" t="str">
        <f>IF(COUNTIF('Tage feiertage Aus.'!$A$3:$O$100, BH26)&gt;0, "f", "")</f>
        <v/>
      </c>
      <c r="BO26" s="7">
        <f t="shared" si="9"/>
        <v>46320</v>
      </c>
      <c r="BP26" s="8" t="str">
        <f>IF(COUNTIF('Tage Person1 Aus.'!$V$3:$AA$100, BO26)&gt;0, "S",IF(COUNTIF('Tage Person1 Aus.'!$A$3:$O$100, BO26)&gt;0, "U",IF(COUNTIF('Tage Person1 Aus.'!$AE$3:$AI$100, BO26)&gt;0, "h", "")))</f>
        <v/>
      </c>
      <c r="BQ26" s="8" t="str">
        <f>IF(COUNTIF('Tage Person2 Aus.2'!$V$3:$AA$100, BO26)&gt;0, "S",IF(COUNTIF('Tage Person2 Aus.2'!$A$3:$O$100, BO26)&gt;0, "U",IF(COUNTIF('Tage Person2 Aus.2'!$AE$3:$AI$100, BO26)&gt;0, "h", "")))</f>
        <v/>
      </c>
      <c r="BR26" s="8" t="str">
        <f>IF(COUNTIF('Tage Person3 Aus.3'!$V$3:$AA$100, BO26)&gt;0, "S",IF(COUNTIF('Tage Person3 Aus.3'!$A$3:$O$100, BO26)&gt;0, "U",IF(COUNTIF('Tage Person3 Aus.3'!$AE$3:$AI$100, BO26)&gt;0, "h", "")))</f>
        <v/>
      </c>
      <c r="BS26" s="8" t="str">
        <f>IF(COUNTIF('Tage Person4 Aus.4'!$V$3:$AA$100, BO26)&gt;0, "S",IF(COUNTIF('Tage Person4 Aus.4'!$A$3:$O$100, BO26)&gt;0, "U",IF(COUNTIF('Tage Person4 Aus.4'!$AE$3:$AI$100, BO26)&gt;0, "h", "")))</f>
        <v/>
      </c>
      <c r="BT26" s="8" t="str">
        <f>IF(COUNTIF('Tage ferien Aus.'!$A$3:$O$100, BO26)&gt;0, "E", "")</f>
        <v>E</v>
      </c>
      <c r="BU26" s="8" t="str">
        <f>IF(COUNTIF('Tage feiertage Aus.'!$A$3:$O$100, BO26)&gt;0, "f", "")</f>
        <v/>
      </c>
      <c r="BV26" s="7">
        <f t="shared" si="10"/>
        <v>46351</v>
      </c>
      <c r="BW26" s="8" t="str">
        <f>IF(COUNTIF('Tage Person1 Aus.'!$V$3:$AA$100, BV26)&gt;0, "S",IF(COUNTIF('Tage Person1 Aus.'!$A$3:$O$100, BV26)&gt;0, "U",IF(COUNTIF('Tage Person1 Aus.'!$AE$3:$AI$100, BV26)&gt;0, "h", "")))</f>
        <v/>
      </c>
      <c r="BX26" s="8" t="str">
        <f>IF(COUNTIF('Tage Person2 Aus.2'!$V$3:$AA$100, BV26)&gt;0, "S",IF(COUNTIF('Tage Person2 Aus.2'!$A$3:$O$100, BV26)&gt;0, "U",IF(COUNTIF('Tage Person2 Aus.2'!$AE$3:$AI$100, BV26)&gt;0, "h", "")))</f>
        <v/>
      </c>
      <c r="BY26" s="8" t="str">
        <f>IF(COUNTIF('Tage Person3 Aus.3'!$V$3:$AA$100, BV26)&gt;0, "S",IF(COUNTIF('Tage Person3 Aus.3'!$A$3:$O$100, BV26)&gt;0, "U",IF(COUNTIF('Tage Person3 Aus.3'!$AE$3:$AI$100, BV26)&gt;0, "h", "")))</f>
        <v/>
      </c>
      <c r="BZ26" s="8" t="str">
        <f>IF(COUNTIF('Tage Person4 Aus.4'!$V$3:$AA$100, BV26)&gt;0, "S",IF(COUNTIF('Tage Person4 Aus.4'!$A$3:$O$100, BV26)&gt;0, "U",IF(COUNTIF('Tage Person4 Aus.4'!$AE$3:$AI$100, BV26)&gt;0, "h", "")))</f>
        <v/>
      </c>
      <c r="CA26" s="8" t="str">
        <f>IF(COUNTIF('Tage ferien Aus.'!$A$3:$O$100, BV26)&gt;0, "E", "")</f>
        <v/>
      </c>
      <c r="CB26" s="8" t="str">
        <f>IF(COUNTIF('Tage feiertage Aus.'!$A$3:$O$100, BV26)&gt;0, "f", "")</f>
        <v/>
      </c>
      <c r="CC26" s="7">
        <f t="shared" si="11"/>
        <v>46381</v>
      </c>
      <c r="CD26" s="10" t="str">
        <f>IF(COUNTIF('Tage Person1 Aus.'!$V$3:$AA$100, CC26)&gt;0, "S",IF(COUNTIF('Tage Person1 Aus.'!$A$3:$O$100, CC26)&gt;0, "U",IF(COUNTIF('Tage Person1 Aus.'!$AE$3:$AI$100, CC26)&gt;0, "h", "")))</f>
        <v/>
      </c>
      <c r="CE26" s="11" t="str">
        <f>IF(COUNTIF('Tage Person2 Aus.2'!$V$3:$AA$100, CC26)&gt;0, "S",IF(COUNTIF('Tage Person2 Aus.2'!$A$3:$O$100, CC26)&gt;0, "U",IF(COUNTIF('Tage Person2 Aus.2'!$AE$3:$AI$100, CC26)&gt;0, "h", "")))</f>
        <v/>
      </c>
      <c r="CF26" s="12" t="str">
        <f>IF(COUNTIF('Tage Person3 Aus.3'!$V$3:$AA$100, CC26)&gt;0, "S",IF(COUNTIF('Tage Person3 Aus.3'!$A$3:$O$100, CC26)&gt;0, "U",IF(COUNTIF('Tage Person3 Aus.3'!$AE$3:$AI$100, CC26)&gt;0, "h", "")))</f>
        <v/>
      </c>
      <c r="CG26" s="10" t="str">
        <f>IF(COUNTIF('Tage Person4 Aus.4'!$V$3:$AA$100, CC26)&gt;0, "S",IF(COUNTIF('Tage Person4 Aus.4'!$A$3:$O$100, CC26)&gt;0, "U",IF(COUNTIF('Tage Person4 Aus.4'!$AE$3:$AI$100, CC26)&gt;0, "h", "")))</f>
        <v/>
      </c>
      <c r="CH26" s="11" t="str">
        <f>IF(COUNTIF('Tage ferien Aus.'!$A$3:$O$100, CC26)&gt;0, "E", "")</f>
        <v>E</v>
      </c>
      <c r="CI26" s="12" t="str">
        <f>IF(COUNTIF('Tage feiertage Aus.'!$A$3:$O$100, CC26)&gt;0, "f", "")</f>
        <v>f</v>
      </c>
      <c r="CJ26" s="4"/>
      <c r="CK26" s="4"/>
      <c r="CL26" s="6"/>
      <c r="CM26" s="4"/>
      <c r="CN26" s="2"/>
      <c r="CO26" s="3"/>
      <c r="CP26" s="4"/>
      <c r="CQ26" s="2"/>
      <c r="CR26" s="3"/>
      <c r="CS26" s="4"/>
      <c r="CT26" s="4"/>
      <c r="CU26" s="6"/>
      <c r="CV26" s="4"/>
      <c r="CW26" s="4"/>
      <c r="CX26" s="6"/>
      <c r="CY26" s="4"/>
    </row>
    <row r="27" spans="1:103" x14ac:dyDescent="0.3">
      <c r="A27" s="57" t="s">
        <v>14</v>
      </c>
      <c r="B27" s="58" t="str">
        <f>Person3!A1</f>
        <v>Person3</v>
      </c>
      <c r="C27" s="57" t="str">
        <f>Person4!A1</f>
        <v>Person4</v>
      </c>
      <c r="D27" s="7">
        <f t="shared" si="0"/>
        <v>46048</v>
      </c>
      <c r="E27" s="8" t="str">
        <f>IF(COUNTIF('Tage Person1 Aus.'!$V$3:$AA$100, D27)&gt;0, "S",IF(COUNTIF('Tage Person1 Aus.'!$A$3:$O$100, D27)&gt;0, "U",IF(COUNTIF('Tage Person1 Aus.'!$AE$3:$AI$100, D27)&gt;0, "h", "")))</f>
        <v/>
      </c>
      <c r="F27" s="8" t="str">
        <f>IF(COUNTIF('Tage Person2 Aus.2'!$V$3:$AA$100, D27)&gt;0, "S",IF(COUNTIF('Tage Person2 Aus.2'!$A$3:$O$100, D27)&gt;0, "U",IF(COUNTIF('Tage Person2 Aus.2'!$AE$3:$AI$100, D27)&gt;0, "h", "")))</f>
        <v/>
      </c>
      <c r="G27" s="8" t="str">
        <f>IF(COUNTIF('Tage Person3 Aus.3'!$V$3:$AA$100, D27)&gt;0, "S",IF(COUNTIF('Tage Person3 Aus.3'!$A$3:$O$100, D27)&gt;0, "U",IF(COUNTIF('Tage Person3 Aus.3'!$AE$3:$AI$100, D27)&gt;0, "h", "")))</f>
        <v/>
      </c>
      <c r="H27" s="8" t="str">
        <f>IF(COUNTIF('Tage Person4 Aus.4'!$V$3:$AA$100, D27)&gt;0, "S",IF(COUNTIF('Tage Person4 Aus.4'!$A$3:$O$100, D27)&gt;0, "U",IF(COUNTIF('Tage Person4 Aus.4'!$AE$3:$AI$100, D27)&gt;0, "h", "")))</f>
        <v/>
      </c>
      <c r="I27" s="8" t="str">
        <f>IF(COUNTIF('Tage ferien Aus.'!$A$3:$O$100, D27)&gt;0, "E", "")</f>
        <v/>
      </c>
      <c r="J27" s="8" t="str">
        <f>IF(COUNTIF('Tage feiertage Aus.'!$A$3:$O$100, D27)&gt;0, "f", "")</f>
        <v/>
      </c>
      <c r="K27" s="7">
        <f t="shared" si="1"/>
        <v>46079</v>
      </c>
      <c r="L27" s="8" t="str">
        <f>IF(COUNTIF('Tage Person1 Aus.'!$V$3:$AA$100, K27)&gt;0, "S",IF(COUNTIF('Tage Person1 Aus.'!$A$3:$O$100, K27)&gt;0, "U",IF(COUNTIF('Tage Person1 Aus.'!$AE$3:$AI$100, K27)&gt;0, "h", "")))</f>
        <v/>
      </c>
      <c r="M27" s="8" t="str">
        <f>IF(COUNTIF('Tage Person2 Aus.2'!$V$3:$AA$100, K27)&gt;0, "S",IF(COUNTIF('Tage Person2 Aus.2'!$A$3:$O$100, K27)&gt;0, "U",IF(COUNTIF('Tage Person2 Aus.2'!$AE$3:$AI$100, K27)&gt;0, "h", "")))</f>
        <v/>
      </c>
      <c r="N27" s="8" t="str">
        <f>IF(COUNTIF('Tage Person3 Aus.3'!$V$3:$AA$100, K27)&gt;0, "S",IF(COUNTIF('Tage Person3 Aus.3'!$A$3:$O$100, K27)&gt;0, "U",IF(COUNTIF('Tage Person3 Aus.3'!$AE$3:$AI$100, K27)&gt;0, "h", "")))</f>
        <v/>
      </c>
      <c r="O27" s="8" t="str">
        <f>IF(COUNTIF('Tage Person4 Aus.4'!$V$3:$AA$100, K27)&gt;0, "S",IF(COUNTIF('Tage Person4 Aus.4'!$A$3:$O$100, K27)&gt;0, "U",IF(COUNTIF('Tage Person4 Aus.4'!$AE$3:$AI$100, K27)&gt;0, "h", "")))</f>
        <v/>
      </c>
      <c r="P27" s="8" t="str">
        <f>IF(COUNTIF('Tage ferien Aus.'!$A$3:$O$100, K27)&gt;0, "E", "")</f>
        <v/>
      </c>
      <c r="Q27" s="8" t="str">
        <f>IF(COUNTIF('Tage feiertage Aus.'!$A$3:$O$100, K27)&gt;0, "f", "")</f>
        <v/>
      </c>
      <c r="R27" s="7">
        <f t="shared" si="2"/>
        <v>46107</v>
      </c>
      <c r="S27" s="8" t="str">
        <f>IF(COUNTIF('Tage Person1 Aus.'!$V$3:$AA$100, R27)&gt;0, "S",IF(COUNTIF('Tage Person1 Aus.'!$A$3:$O$100, R27)&gt;0, "U",IF(COUNTIF('Tage Person1 Aus.'!$AE$3:$AI$100, R27)&gt;0, "h", "")))</f>
        <v/>
      </c>
      <c r="T27" s="8" t="str">
        <f>IF(COUNTIF('Tage Person2 Aus.2'!$V$3:$AA$100, R27)&gt;0, "S",IF(COUNTIF('Tage Person2 Aus.2'!$A$3:$O$100, R27)&gt;0, "U",IF(COUNTIF('Tage Person2 Aus.2'!$AE$3:$AI$100, R27)&gt;0, "h", "")))</f>
        <v/>
      </c>
      <c r="U27" s="8" t="str">
        <f>IF(COUNTIF('Tage Person3 Aus.3'!$V$3:$AA$100, R27)&gt;0, "S",IF(COUNTIF('Tage Person3 Aus.3'!$A$3:$O$100, R27)&gt;0, "U",IF(COUNTIF('Tage Person3 Aus.3'!$AE$3:$AI$100, R27)&gt;0, "h", "")))</f>
        <v/>
      </c>
      <c r="V27" s="8" t="str">
        <f>IF(COUNTIF('Tage Person4 Aus.4'!$V$3:$AA$100, R27)&gt;0, "S",IF(COUNTIF('Tage Person4 Aus.4'!$A$3:$O$100, R27)&gt;0, "U",IF(COUNTIF('Tage Person4 Aus.4'!$AE$3:$AI$100, R27)&gt;0, "h", "")))</f>
        <v/>
      </c>
      <c r="W27" s="8" t="str">
        <f>IF(COUNTIF('Tage ferien Aus.'!$A$3:$O$100, R27)&gt;0, "E", "")</f>
        <v/>
      </c>
      <c r="X27" s="8" t="str">
        <f>IF(COUNTIF('Tage feiertage Aus.'!$A$3:$O$100, R27)&gt;0, "f", "")</f>
        <v/>
      </c>
      <c r="Y27" s="7">
        <f t="shared" si="3"/>
        <v>46138</v>
      </c>
      <c r="Z27" s="8" t="str">
        <f>IF(COUNTIF('Tage Person1 Aus.'!$V$3:$AA$100, Y27)&gt;0, "S",IF(COUNTIF('Tage Person1 Aus.'!$A$3:$O$100, Y27)&gt;0, "U",IF(COUNTIF('Tage Person1 Aus.'!$AE$3:$AI$100, Y27)&gt;0, "h", "")))</f>
        <v/>
      </c>
      <c r="AA27" s="8" t="str">
        <f>IF(COUNTIF('Tage Person2 Aus.2'!$V$3:$AA$100, Y27)&gt;0, "S",IF(COUNTIF('Tage Person2 Aus.2'!$A$3:$O$100, Y27)&gt;0, "U",IF(COUNTIF('Tage Person2 Aus.2'!$AE$3:$AI$100, Y27)&gt;0, "h", "")))</f>
        <v/>
      </c>
      <c r="AB27" s="8" t="str">
        <f>IF(COUNTIF('Tage Person3 Aus.3'!$V$3:$AA$100, Y27)&gt;0, "S",IF(COUNTIF('Tage Person3 Aus.3'!$A$3:$O$100, Y27)&gt;0, "U",IF(COUNTIF('Tage Person3 Aus.3'!$AE$3:$AI$100, Y27)&gt;0, "h", "")))</f>
        <v/>
      </c>
      <c r="AC27" s="8" t="str">
        <f>IF(COUNTIF('Tage Person4 Aus.4'!$V$3:$AA$100, Y27)&gt;0, "S",IF(COUNTIF('Tage Person4 Aus.4'!$A$3:$O$100, Y27)&gt;0, "U",IF(COUNTIF('Tage Person4 Aus.4'!$AE$3:$AI$100, Y27)&gt;0, "h", "")))</f>
        <v/>
      </c>
      <c r="AD27" s="8" t="str">
        <f>IF(COUNTIF('Tage ferien Aus.'!$A$3:$O$100, Y27)&gt;0, "E", "")</f>
        <v/>
      </c>
      <c r="AE27" s="8" t="str">
        <f>IF(COUNTIF('Tage feiertage Aus.'!$A$3:$O$100, Y27)&gt;0, "f", "")</f>
        <v/>
      </c>
      <c r="AF27" s="7">
        <f t="shared" si="4"/>
        <v>46168</v>
      </c>
      <c r="AG27" s="9" t="str">
        <f>IF(COUNTIF('Tage Person1 Aus.'!$V$3:$AA$100, AF27)&gt;0, "S",IF(COUNTIF('Tage Person1 Aus.'!$A$3:$O$100, AF27)&gt;0, "U",IF(COUNTIF('Tage Person1 Aus.'!$AE$3:$AI$100, AF27)&gt;0, "h", "")))</f>
        <v/>
      </c>
      <c r="AH27" s="8" t="str">
        <f>IF(COUNTIF('Tage Person2 Aus.2'!$V$3:$AA$100, AF27)&gt;0, "S",IF(COUNTIF('Tage Person2 Aus.2'!$A$3:$O$100, AF27)&gt;0, "U",IF(COUNTIF('Tage Person2 Aus.2'!$AE$3:$AI$100, AF27)&gt;0, "h", "")))</f>
        <v/>
      </c>
      <c r="AI27" s="8" t="str">
        <f>IF(COUNTIF('Tage Person3 Aus.3'!$V$3:$AA$100, AF27)&gt;0, "S",IF(COUNTIF('Tage Person3 Aus.3'!$A$3:$O$100, AF27)&gt;0, "U",IF(COUNTIF('Tage Person3 Aus.3'!$AE$3:$AI$100, AF27)&gt;0, "h", "")))</f>
        <v/>
      </c>
      <c r="AJ27" s="8" t="str">
        <f>IF(COUNTIF('Tage Person4 Aus.4'!$V$3:$AA$100, AF27)&gt;0, "S",IF(COUNTIF('Tage Person4 Aus.4'!$A$3:$O$100, AF27)&gt;0, "U",IF(COUNTIF('Tage Person4 Aus.4'!$AE$3:$AI$100, AF27)&gt;0, "h", "")))</f>
        <v/>
      </c>
      <c r="AK27" s="8" t="str">
        <f>IF(COUNTIF('Tage ferien Aus.'!$A$3:$O$100, AF27)&gt;0, "E", "")</f>
        <v>E</v>
      </c>
      <c r="AL27" s="8" t="str">
        <f>IF(COUNTIF('Tage feiertage Aus.'!$A$3:$O$100, AF27)&gt;0, "f", "")</f>
        <v/>
      </c>
      <c r="AM27" s="7">
        <f t="shared" si="5"/>
        <v>46199</v>
      </c>
      <c r="AN27" s="8" t="str">
        <f>IF(COUNTIF('Tage Person1 Aus.'!$V$3:$AA$100, AM27)&gt;0, "S",IF(COUNTIF('Tage Person1 Aus.'!$A$3:$O$100, AM27)&gt;0, "U",IF(COUNTIF('Tage Person1 Aus.'!$AE$3:$AI$100, AM27)&gt;0, "h", "")))</f>
        <v/>
      </c>
      <c r="AO27" s="8" t="str">
        <f>IF(COUNTIF('Tage Person2 Aus.2'!$V$3:$AA$100, AM27)&gt;0, "S",IF(COUNTIF('Tage Person2 Aus.2'!$A$3:$O$100, AM27)&gt;0, "U",IF(COUNTIF('Tage Person2 Aus.2'!$AE$3:$AI$100, AM27)&gt;0, "h", "")))</f>
        <v/>
      </c>
      <c r="AP27" s="8" t="str">
        <f>IF(COUNTIF('Tage Person3 Aus.3'!$V$3:$AA$100, AM27)&gt;0, "S",IF(COUNTIF('Tage Person3 Aus.3'!$A$3:$O$100, AM27)&gt;0, "U",IF(COUNTIF('Tage Person3 Aus.3'!$AE$3:$AI$100, AM27)&gt;0, "h", "")))</f>
        <v/>
      </c>
      <c r="AQ27" s="8" t="str">
        <f>IF(COUNTIF('Tage Person4 Aus.4'!$V$3:$AA$100, AM27)&gt;0, "S",IF(COUNTIF('Tage Person4 Aus.4'!$A$3:$O$100, AM27)&gt;0, "U",IF(COUNTIF('Tage Person4 Aus.4'!$AE$3:$AI$100, AM27)&gt;0, "h", "")))</f>
        <v/>
      </c>
      <c r="AR27" s="8" t="str">
        <f>IF(COUNTIF('Tage ferien Aus.'!$A$3:$O$100, AM27)&gt;0, "E", "")</f>
        <v/>
      </c>
      <c r="AS27" s="8" t="str">
        <f>IF(COUNTIF('Tage feiertage Aus.'!$A$3:$O$100, AM27)&gt;0, "f", "")</f>
        <v/>
      </c>
      <c r="AT27" s="7">
        <f t="shared" si="6"/>
        <v>46229</v>
      </c>
      <c r="AU27" s="8" t="str">
        <f>IF(COUNTIF('Tage Person1 Aus.'!$V$3:$AA$100, AT27)&gt;0, "S",IF(COUNTIF('Tage Person1 Aus.'!$A$3:$O$100, AT27)&gt;0, "U",IF(COUNTIF('Tage Person1 Aus.'!$AE$3:$AI$100, AT27)&gt;0, "h", "")))</f>
        <v/>
      </c>
      <c r="AV27" s="8" t="str">
        <f>IF(COUNTIF('Tage Person2 Aus.2'!$V$3:$AA$100, AT27)&gt;0, "S",IF(COUNTIF('Tage Person2 Aus.2'!$A$3:$O$100, AT27)&gt;0, "U",IF(COUNTIF('Tage Person2 Aus.2'!$AE$3:$AI$100, AT27)&gt;0, "h", "")))</f>
        <v/>
      </c>
      <c r="AW27" s="8" t="str">
        <f>IF(COUNTIF('Tage Person3 Aus.3'!$V$3:$AA$100, AT27)&gt;0, "S",IF(COUNTIF('Tage Person3 Aus.3'!$A$3:$O$100, AT27)&gt;0, "U",IF(COUNTIF('Tage Person3 Aus.3'!$AE$3:$AI$100, AT27)&gt;0, "h", "")))</f>
        <v/>
      </c>
      <c r="AX27" s="8" t="str">
        <f>IF(COUNTIF('Tage Person4 Aus.4'!$V$3:$AA$100, AT27)&gt;0, "S",IF(COUNTIF('Tage Person4 Aus.4'!$A$3:$O$100, AT27)&gt;0, "U",IF(COUNTIF('Tage Person4 Aus.4'!$AE$3:$AI$100, AT27)&gt;0, "h", "")))</f>
        <v/>
      </c>
      <c r="AY27" s="8" t="str">
        <f>IF(COUNTIF('Tage ferien Aus.'!$A$3:$O$100, AT27)&gt;0, "E", "")</f>
        <v>E</v>
      </c>
      <c r="AZ27" s="8" t="str">
        <f>IF(COUNTIF('Tage feiertage Aus.'!$A$3:$O$100, AT27)&gt;0, "f", "")</f>
        <v/>
      </c>
      <c r="BA27" s="7">
        <f t="shared" si="7"/>
        <v>46260</v>
      </c>
      <c r="BB27" s="8" t="str">
        <f>IF(COUNTIF('Tage Person1 Aus.'!$V$3:$AA$100, BA27)&gt;0, "S",IF(COUNTIF('Tage Person1 Aus.'!$A$3:$O$100, BA27)&gt;0, "U",IF(COUNTIF('Tage Person1 Aus.'!$AE$3:$AI$100, BA27)&gt;0, "h", "")))</f>
        <v/>
      </c>
      <c r="BC27" s="8" t="str">
        <f>IF(COUNTIF('Tage Person2 Aus.2'!$V$3:$AA$100, BA27)&gt;0, "S",IF(COUNTIF('Tage Person2 Aus.2'!$A$3:$O$100, BA27)&gt;0, "U",IF(COUNTIF('Tage Person2 Aus.2'!$AE$3:$AI$100, BA27)&gt;0, "h", "")))</f>
        <v/>
      </c>
      <c r="BD27" s="8" t="str">
        <f>IF(COUNTIF('Tage Person3 Aus.3'!$V$3:$AA$100, BA27)&gt;0, "S",IF(COUNTIF('Tage Person3 Aus.3'!$A$3:$O$100, BA27)&gt;0, "U",IF(COUNTIF('Tage Person3 Aus.3'!$AE$3:$AI$100, BA27)&gt;0, "h", "")))</f>
        <v/>
      </c>
      <c r="BE27" s="8" t="str">
        <f>IF(COUNTIF('Tage Person4 Aus.4'!$V$3:$AA$100, BA27)&gt;0, "S",IF(COUNTIF('Tage Person4 Aus.4'!$A$3:$O$100, BA27)&gt;0, "U",IF(COUNTIF('Tage Person4 Aus.4'!$AE$3:$AI$100, BA27)&gt;0, "h", "")))</f>
        <v/>
      </c>
      <c r="BF27" s="8" t="str">
        <f>IF(COUNTIF('Tage ferien Aus.'!$A$3:$O$100, BA27)&gt;0, "E", "")</f>
        <v>E</v>
      </c>
      <c r="BG27" s="8" t="str">
        <f>IF(COUNTIF('Tage feiertage Aus.'!$A$3:$O$100, BA27)&gt;0, "f", "")</f>
        <v/>
      </c>
      <c r="BH27" s="7">
        <f t="shared" si="8"/>
        <v>46291</v>
      </c>
      <c r="BI27" s="8" t="str">
        <f>IF(COUNTIF('Tage Person1 Aus.'!$V$3:$AA$100, BH27)&gt;0, "S",IF(COUNTIF('Tage Person1 Aus.'!$A$3:$O$100, BH27)&gt;0, "U",IF(COUNTIF('Tage Person1 Aus.'!$AE$3:$AI$100, BH27)&gt;0, "h", "")))</f>
        <v/>
      </c>
      <c r="BJ27" s="8" t="str">
        <f>IF(COUNTIF('Tage Person2 Aus.2'!$V$3:$AA$100, BH27)&gt;0, "S",IF(COUNTIF('Tage Person2 Aus.2'!$A$3:$O$100, BH27)&gt;0, "U",IF(COUNTIF('Tage Person2 Aus.2'!$AE$3:$AI$100, BH27)&gt;0, "h", "")))</f>
        <v/>
      </c>
      <c r="BK27" s="8" t="str">
        <f>IF(COUNTIF('Tage Person3 Aus.3'!$V$3:$AA$100, BH27)&gt;0, "S",IF(COUNTIF('Tage Person3 Aus.3'!$A$3:$O$100, BH27)&gt;0, "U",IF(COUNTIF('Tage Person3 Aus.3'!$AE$3:$AI$100, BH27)&gt;0, "h", "")))</f>
        <v/>
      </c>
      <c r="BL27" s="8" t="str">
        <f>IF(COUNTIF('Tage Person4 Aus.4'!$V$3:$AA$100, BH27)&gt;0, "S",IF(COUNTIF('Tage Person4 Aus.4'!$A$3:$O$100, BH27)&gt;0, "U",IF(COUNTIF('Tage Person4 Aus.4'!$AE$3:$AI$100, BH27)&gt;0, "h", "")))</f>
        <v/>
      </c>
      <c r="BM27" s="8" t="str">
        <f>IF(COUNTIF('Tage ferien Aus.'!$A$3:$O$100, BH27)&gt;0, "E", "")</f>
        <v/>
      </c>
      <c r="BN27" s="8" t="str">
        <f>IF(COUNTIF('Tage feiertage Aus.'!$A$3:$O$100, BH27)&gt;0, "f", "")</f>
        <v/>
      </c>
      <c r="BO27" s="7">
        <f t="shared" si="9"/>
        <v>46321</v>
      </c>
      <c r="BP27" s="8" t="str">
        <f>IF(COUNTIF('Tage Person1 Aus.'!$V$3:$AA$100, BO27)&gt;0, "S",IF(COUNTIF('Tage Person1 Aus.'!$A$3:$O$100, BO27)&gt;0, "U",IF(COUNTIF('Tage Person1 Aus.'!$AE$3:$AI$100, BO27)&gt;0, "h", "")))</f>
        <v/>
      </c>
      <c r="BQ27" s="8" t="str">
        <f>IF(COUNTIF('Tage Person2 Aus.2'!$V$3:$AA$100, BO27)&gt;0, "S",IF(COUNTIF('Tage Person2 Aus.2'!$A$3:$O$100, BO27)&gt;0, "U",IF(COUNTIF('Tage Person2 Aus.2'!$AE$3:$AI$100, BO27)&gt;0, "h", "")))</f>
        <v/>
      </c>
      <c r="BR27" s="8" t="str">
        <f>IF(COUNTIF('Tage Person3 Aus.3'!$V$3:$AA$100, BO27)&gt;0, "S",IF(COUNTIF('Tage Person3 Aus.3'!$A$3:$O$100, BO27)&gt;0, "U",IF(COUNTIF('Tage Person3 Aus.3'!$AE$3:$AI$100, BO27)&gt;0, "h", "")))</f>
        <v/>
      </c>
      <c r="BS27" s="8" t="str">
        <f>IF(COUNTIF('Tage Person4 Aus.4'!$V$3:$AA$100, BO27)&gt;0, "S",IF(COUNTIF('Tage Person4 Aus.4'!$A$3:$O$100, BO27)&gt;0, "U",IF(COUNTIF('Tage Person4 Aus.4'!$AE$3:$AI$100, BO27)&gt;0, "h", "")))</f>
        <v/>
      </c>
      <c r="BT27" s="8" t="str">
        <f>IF(COUNTIF('Tage ferien Aus.'!$A$3:$O$100, BO27)&gt;0, "E", "")</f>
        <v>E</v>
      </c>
      <c r="BU27" s="8" t="str">
        <f>IF(COUNTIF('Tage feiertage Aus.'!$A$3:$O$100, BO27)&gt;0, "f", "")</f>
        <v/>
      </c>
      <c r="BV27" s="7">
        <f t="shared" si="10"/>
        <v>46352</v>
      </c>
      <c r="BW27" s="8" t="str">
        <f>IF(COUNTIF('Tage Person1 Aus.'!$V$3:$AA$100, BV27)&gt;0, "S",IF(COUNTIF('Tage Person1 Aus.'!$A$3:$O$100, BV27)&gt;0, "U",IF(COUNTIF('Tage Person1 Aus.'!$AE$3:$AI$100, BV27)&gt;0, "h", "")))</f>
        <v/>
      </c>
      <c r="BX27" s="8" t="str">
        <f>IF(COUNTIF('Tage Person2 Aus.2'!$V$3:$AA$100, BV27)&gt;0, "S",IF(COUNTIF('Tage Person2 Aus.2'!$A$3:$O$100, BV27)&gt;0, "U",IF(COUNTIF('Tage Person2 Aus.2'!$AE$3:$AI$100, BV27)&gt;0, "h", "")))</f>
        <v/>
      </c>
      <c r="BY27" s="8" t="str">
        <f>IF(COUNTIF('Tage Person3 Aus.3'!$V$3:$AA$100, BV27)&gt;0, "S",IF(COUNTIF('Tage Person3 Aus.3'!$A$3:$O$100, BV27)&gt;0, "U",IF(COUNTIF('Tage Person3 Aus.3'!$AE$3:$AI$100, BV27)&gt;0, "h", "")))</f>
        <v/>
      </c>
      <c r="BZ27" s="8" t="str">
        <f>IF(COUNTIF('Tage Person4 Aus.4'!$V$3:$AA$100, BV27)&gt;0, "S",IF(COUNTIF('Tage Person4 Aus.4'!$A$3:$O$100, BV27)&gt;0, "U",IF(COUNTIF('Tage Person4 Aus.4'!$AE$3:$AI$100, BV27)&gt;0, "h", "")))</f>
        <v/>
      </c>
      <c r="CA27" s="8" t="str">
        <f>IF(COUNTIF('Tage ferien Aus.'!$A$3:$O$100, BV27)&gt;0, "E", "")</f>
        <v/>
      </c>
      <c r="CB27" s="8" t="str">
        <f>IF(COUNTIF('Tage feiertage Aus.'!$A$3:$O$100, BV27)&gt;0, "f", "")</f>
        <v/>
      </c>
      <c r="CC27" s="7">
        <f t="shared" si="11"/>
        <v>46382</v>
      </c>
      <c r="CD27" s="10" t="str">
        <f>IF(COUNTIF('Tage Person1 Aus.'!$V$3:$AA$100, CC27)&gt;0, "S",IF(COUNTIF('Tage Person1 Aus.'!$A$3:$O$100, CC27)&gt;0, "U",IF(COUNTIF('Tage Person1 Aus.'!$AE$3:$AI$100, CC27)&gt;0, "h", "")))</f>
        <v/>
      </c>
      <c r="CE27" s="11" t="str">
        <f>IF(COUNTIF('Tage Person2 Aus.2'!$V$3:$AA$100, CC27)&gt;0, "S",IF(COUNTIF('Tage Person2 Aus.2'!$A$3:$O$100, CC27)&gt;0, "U",IF(COUNTIF('Tage Person2 Aus.2'!$AE$3:$AI$100, CC27)&gt;0, "h", "")))</f>
        <v/>
      </c>
      <c r="CF27" s="12" t="str">
        <f>IF(COUNTIF('Tage Person3 Aus.3'!$V$3:$AA$100, CC27)&gt;0, "S",IF(COUNTIF('Tage Person3 Aus.3'!$A$3:$O$100, CC27)&gt;0, "U",IF(COUNTIF('Tage Person3 Aus.3'!$AE$3:$AI$100, CC27)&gt;0, "h", "")))</f>
        <v/>
      </c>
      <c r="CG27" s="10" t="str">
        <f>IF(COUNTIF('Tage Person4 Aus.4'!$V$3:$AA$100, CC27)&gt;0, "S",IF(COUNTIF('Tage Person4 Aus.4'!$A$3:$O$100, CC27)&gt;0, "U",IF(COUNTIF('Tage Person4 Aus.4'!$AE$3:$AI$100, CC27)&gt;0, "h", "")))</f>
        <v/>
      </c>
      <c r="CH27" s="11" t="str">
        <f>IF(COUNTIF('Tage ferien Aus.'!$A$3:$O$100, CC27)&gt;0, "E", "")</f>
        <v>E</v>
      </c>
      <c r="CI27" s="12" t="str">
        <f>IF(COUNTIF('Tage feiertage Aus.'!$A$3:$O$100, CC27)&gt;0, "f", "")</f>
        <v>f</v>
      </c>
      <c r="CJ27" s="4"/>
      <c r="CK27" s="4"/>
      <c r="CL27" s="6"/>
      <c r="CM27" s="4"/>
      <c r="CN27" s="2"/>
      <c r="CO27" s="3"/>
      <c r="CP27" s="4"/>
      <c r="CQ27" s="2"/>
      <c r="CR27" s="3"/>
      <c r="CS27" s="4"/>
      <c r="CT27" s="4"/>
      <c r="CU27" s="6"/>
      <c r="CV27" s="4"/>
      <c r="CW27" s="4"/>
      <c r="CX27" s="6"/>
      <c r="CY27" s="4"/>
    </row>
    <row r="28" spans="1:103" x14ac:dyDescent="0.3">
      <c r="A28" s="57"/>
      <c r="B28" s="58"/>
      <c r="C28" s="57"/>
      <c r="D28" s="7">
        <f t="shared" si="0"/>
        <v>46049</v>
      </c>
      <c r="E28" s="8" t="str">
        <f>IF(COUNTIF('Tage Person1 Aus.'!$V$3:$AA$100, D28)&gt;0, "S",IF(COUNTIF('Tage Person1 Aus.'!$A$3:$O$100, D28)&gt;0, "U",IF(COUNTIF('Tage Person1 Aus.'!$AE$3:$AI$100, D28)&gt;0, "h", "")))</f>
        <v/>
      </c>
      <c r="F28" s="8" t="str">
        <f>IF(COUNTIF('Tage Person2 Aus.2'!$V$3:$AA$100, D28)&gt;0, "S",IF(COUNTIF('Tage Person2 Aus.2'!$A$3:$O$100, D28)&gt;0, "U",IF(COUNTIF('Tage Person2 Aus.2'!$AE$3:$AI$100, D28)&gt;0, "h", "")))</f>
        <v/>
      </c>
      <c r="G28" s="8" t="str">
        <f>IF(COUNTIF('Tage Person3 Aus.3'!$V$3:$AA$100, D28)&gt;0, "S",IF(COUNTIF('Tage Person3 Aus.3'!$A$3:$O$100, D28)&gt;0, "U",IF(COUNTIF('Tage Person3 Aus.3'!$AE$3:$AI$100, D28)&gt;0, "h", "")))</f>
        <v/>
      </c>
      <c r="H28" s="8" t="str">
        <f>IF(COUNTIF('Tage Person4 Aus.4'!$V$3:$AA$100, D28)&gt;0, "S",IF(COUNTIF('Tage Person4 Aus.4'!$A$3:$O$100, D28)&gt;0, "U",IF(COUNTIF('Tage Person4 Aus.4'!$AE$3:$AI$100, D28)&gt;0, "h", "")))</f>
        <v/>
      </c>
      <c r="I28" s="8" t="str">
        <f>IF(COUNTIF('Tage ferien Aus.'!$A$3:$O$100, D28)&gt;0, "E", "")</f>
        <v/>
      </c>
      <c r="J28" s="8" t="str">
        <f>IF(COUNTIF('Tage feiertage Aus.'!$A$3:$O$100, D28)&gt;0, "f", "")</f>
        <v/>
      </c>
      <c r="K28" s="7">
        <f t="shared" si="1"/>
        <v>46080</v>
      </c>
      <c r="L28" s="8" t="str">
        <f>IF(COUNTIF('Tage Person1 Aus.'!$V$3:$AA$100, K28)&gt;0, "S",IF(COUNTIF('Tage Person1 Aus.'!$A$3:$O$100, K28)&gt;0, "U",IF(COUNTIF('Tage Person1 Aus.'!$AE$3:$AI$100, K28)&gt;0, "h", "")))</f>
        <v/>
      </c>
      <c r="M28" s="8" t="str">
        <f>IF(COUNTIF('Tage Person2 Aus.2'!$V$3:$AA$100, K28)&gt;0, "S",IF(COUNTIF('Tage Person2 Aus.2'!$A$3:$O$100, K28)&gt;0, "U",IF(COUNTIF('Tage Person2 Aus.2'!$AE$3:$AI$100, K28)&gt;0, "h", "")))</f>
        <v/>
      </c>
      <c r="N28" s="8" t="str">
        <f>IF(COUNTIF('Tage Person3 Aus.3'!$V$3:$AA$100, K28)&gt;0, "S",IF(COUNTIF('Tage Person3 Aus.3'!$A$3:$O$100, K28)&gt;0, "U",IF(COUNTIF('Tage Person3 Aus.3'!$AE$3:$AI$100, K28)&gt;0, "h", "")))</f>
        <v/>
      </c>
      <c r="O28" s="8" t="str">
        <f>IF(COUNTIF('Tage Person4 Aus.4'!$V$3:$AA$100, K28)&gt;0, "S",IF(COUNTIF('Tage Person4 Aus.4'!$A$3:$O$100, K28)&gt;0, "U",IF(COUNTIF('Tage Person4 Aus.4'!$AE$3:$AI$100, K28)&gt;0, "h", "")))</f>
        <v/>
      </c>
      <c r="P28" s="8" t="str">
        <f>IF(COUNTIF('Tage ferien Aus.'!$A$3:$O$100, K28)&gt;0, "E", "")</f>
        <v/>
      </c>
      <c r="Q28" s="8" t="str">
        <f>IF(COUNTIF('Tage feiertage Aus.'!$A$3:$O$100, K28)&gt;0, "f", "")</f>
        <v/>
      </c>
      <c r="R28" s="7">
        <f t="shared" si="2"/>
        <v>46108</v>
      </c>
      <c r="S28" s="8" t="str">
        <f>IF(COUNTIF('Tage Person1 Aus.'!$V$3:$AA$100, R28)&gt;0, "S",IF(COUNTIF('Tage Person1 Aus.'!$A$3:$O$100, R28)&gt;0, "U",IF(COUNTIF('Tage Person1 Aus.'!$AE$3:$AI$100, R28)&gt;0, "h", "")))</f>
        <v/>
      </c>
      <c r="T28" s="8" t="str">
        <f>IF(COUNTIF('Tage Person2 Aus.2'!$V$3:$AA$100, R28)&gt;0, "S",IF(COUNTIF('Tage Person2 Aus.2'!$A$3:$O$100, R28)&gt;0, "U",IF(COUNTIF('Tage Person2 Aus.2'!$AE$3:$AI$100, R28)&gt;0, "h", "")))</f>
        <v/>
      </c>
      <c r="U28" s="8" t="str">
        <f>IF(COUNTIF('Tage Person3 Aus.3'!$V$3:$AA$100, R28)&gt;0, "S",IF(COUNTIF('Tage Person3 Aus.3'!$A$3:$O$100, R28)&gt;0, "U",IF(COUNTIF('Tage Person3 Aus.3'!$AE$3:$AI$100, R28)&gt;0, "h", "")))</f>
        <v/>
      </c>
      <c r="V28" s="8" t="str">
        <f>IF(COUNTIF('Tage Person4 Aus.4'!$V$3:$AA$100, R28)&gt;0, "S",IF(COUNTIF('Tage Person4 Aus.4'!$A$3:$O$100, R28)&gt;0, "U",IF(COUNTIF('Tage Person4 Aus.4'!$AE$3:$AI$100, R28)&gt;0, "h", "")))</f>
        <v/>
      </c>
      <c r="W28" s="8" t="str">
        <f>IF(COUNTIF('Tage ferien Aus.'!$A$3:$O$100, R28)&gt;0, "E", "")</f>
        <v/>
      </c>
      <c r="X28" s="8" t="str">
        <f>IF(COUNTIF('Tage feiertage Aus.'!$A$3:$O$100, R28)&gt;0, "f", "")</f>
        <v/>
      </c>
      <c r="Y28" s="7">
        <f t="shared" si="3"/>
        <v>46139</v>
      </c>
      <c r="Z28" s="8" t="str">
        <f>IF(COUNTIF('Tage Person1 Aus.'!$V$3:$AA$100, Y28)&gt;0, "S",IF(COUNTIF('Tage Person1 Aus.'!$A$3:$O$100, Y28)&gt;0, "U",IF(COUNTIF('Tage Person1 Aus.'!$AE$3:$AI$100, Y28)&gt;0, "h", "")))</f>
        <v/>
      </c>
      <c r="AA28" s="8" t="str">
        <f>IF(COUNTIF('Tage Person2 Aus.2'!$V$3:$AA$100, Y28)&gt;0, "S",IF(COUNTIF('Tage Person2 Aus.2'!$A$3:$O$100, Y28)&gt;0, "U",IF(COUNTIF('Tage Person2 Aus.2'!$AE$3:$AI$100, Y28)&gt;0, "h", "")))</f>
        <v/>
      </c>
      <c r="AB28" s="8" t="str">
        <f>IF(COUNTIF('Tage Person3 Aus.3'!$V$3:$AA$100, Y28)&gt;0, "S",IF(COUNTIF('Tage Person3 Aus.3'!$A$3:$O$100, Y28)&gt;0, "U",IF(COUNTIF('Tage Person3 Aus.3'!$AE$3:$AI$100, Y28)&gt;0, "h", "")))</f>
        <v/>
      </c>
      <c r="AC28" s="8" t="str">
        <f>IF(COUNTIF('Tage Person4 Aus.4'!$V$3:$AA$100, Y28)&gt;0, "S",IF(COUNTIF('Tage Person4 Aus.4'!$A$3:$O$100, Y28)&gt;0, "U",IF(COUNTIF('Tage Person4 Aus.4'!$AE$3:$AI$100, Y28)&gt;0, "h", "")))</f>
        <v/>
      </c>
      <c r="AD28" s="8" t="str">
        <f>IF(COUNTIF('Tage ferien Aus.'!$A$3:$O$100, Y28)&gt;0, "E", "")</f>
        <v/>
      </c>
      <c r="AE28" s="8" t="str">
        <f>IF(COUNTIF('Tage feiertage Aus.'!$A$3:$O$100, Y28)&gt;0, "f", "")</f>
        <v/>
      </c>
      <c r="AF28" s="7">
        <f t="shared" si="4"/>
        <v>46169</v>
      </c>
      <c r="AG28" s="9" t="str">
        <f>IF(COUNTIF('Tage Person1 Aus.'!$V$3:$AA$100, AF28)&gt;0, "S",IF(COUNTIF('Tage Person1 Aus.'!$A$3:$O$100, AF28)&gt;0, "U",IF(COUNTIF('Tage Person1 Aus.'!$AE$3:$AI$100, AF28)&gt;0, "h", "")))</f>
        <v/>
      </c>
      <c r="AH28" s="8" t="str">
        <f>IF(COUNTIF('Tage Person2 Aus.2'!$V$3:$AA$100, AF28)&gt;0, "S",IF(COUNTIF('Tage Person2 Aus.2'!$A$3:$O$100, AF28)&gt;0, "U",IF(COUNTIF('Tage Person2 Aus.2'!$AE$3:$AI$100, AF28)&gt;0, "h", "")))</f>
        <v/>
      </c>
      <c r="AI28" s="8" t="str">
        <f>IF(COUNTIF('Tage Person3 Aus.3'!$V$3:$AA$100, AF28)&gt;0, "S",IF(COUNTIF('Tage Person3 Aus.3'!$A$3:$O$100, AF28)&gt;0, "U",IF(COUNTIF('Tage Person3 Aus.3'!$AE$3:$AI$100, AF28)&gt;0, "h", "")))</f>
        <v/>
      </c>
      <c r="AJ28" s="8" t="str">
        <f>IF(COUNTIF('Tage Person4 Aus.4'!$V$3:$AA$100, AF28)&gt;0, "S",IF(COUNTIF('Tage Person4 Aus.4'!$A$3:$O$100, AF28)&gt;0, "U",IF(COUNTIF('Tage Person4 Aus.4'!$AE$3:$AI$100, AF28)&gt;0, "h", "")))</f>
        <v/>
      </c>
      <c r="AK28" s="8" t="str">
        <f>IF(COUNTIF('Tage ferien Aus.'!$A$3:$O$100, AF28)&gt;0, "E", "")</f>
        <v/>
      </c>
      <c r="AL28" s="8" t="str">
        <f>IF(COUNTIF('Tage feiertage Aus.'!$A$3:$O$100, AF28)&gt;0, "f", "")</f>
        <v/>
      </c>
      <c r="AM28" s="7">
        <f t="shared" si="5"/>
        <v>46200</v>
      </c>
      <c r="AN28" s="8" t="str">
        <f>IF(COUNTIF('Tage Person1 Aus.'!$V$3:$AA$100, AM28)&gt;0, "S",IF(COUNTIF('Tage Person1 Aus.'!$A$3:$O$100, AM28)&gt;0, "U",IF(COUNTIF('Tage Person1 Aus.'!$AE$3:$AI$100, AM28)&gt;0, "h", "")))</f>
        <v/>
      </c>
      <c r="AO28" s="8" t="str">
        <f>IF(COUNTIF('Tage Person2 Aus.2'!$V$3:$AA$100, AM28)&gt;0, "S",IF(COUNTIF('Tage Person2 Aus.2'!$A$3:$O$100, AM28)&gt;0, "U",IF(COUNTIF('Tage Person2 Aus.2'!$AE$3:$AI$100, AM28)&gt;0, "h", "")))</f>
        <v/>
      </c>
      <c r="AP28" s="8" t="str">
        <f>IF(COUNTIF('Tage Person3 Aus.3'!$V$3:$AA$100, AM28)&gt;0, "S",IF(COUNTIF('Tage Person3 Aus.3'!$A$3:$O$100, AM28)&gt;0, "U",IF(COUNTIF('Tage Person3 Aus.3'!$AE$3:$AI$100, AM28)&gt;0, "h", "")))</f>
        <v/>
      </c>
      <c r="AQ28" s="8" t="str">
        <f>IF(COUNTIF('Tage Person4 Aus.4'!$V$3:$AA$100, AM28)&gt;0, "S",IF(COUNTIF('Tage Person4 Aus.4'!$A$3:$O$100, AM28)&gt;0, "U",IF(COUNTIF('Tage Person4 Aus.4'!$AE$3:$AI$100, AM28)&gt;0, "h", "")))</f>
        <v/>
      </c>
      <c r="AR28" s="8" t="str">
        <f>IF(COUNTIF('Tage ferien Aus.'!$A$3:$O$100, AM28)&gt;0, "E", "")</f>
        <v/>
      </c>
      <c r="AS28" s="8" t="str">
        <f>IF(COUNTIF('Tage feiertage Aus.'!$A$3:$O$100, AM28)&gt;0, "f", "")</f>
        <v/>
      </c>
      <c r="AT28" s="7">
        <f t="shared" si="6"/>
        <v>46230</v>
      </c>
      <c r="AU28" s="8" t="str">
        <f>IF(COUNTIF('Tage Person1 Aus.'!$V$3:$AA$100, AT28)&gt;0, "S",IF(COUNTIF('Tage Person1 Aus.'!$A$3:$O$100, AT28)&gt;0, "U",IF(COUNTIF('Tage Person1 Aus.'!$AE$3:$AI$100, AT28)&gt;0, "h", "")))</f>
        <v/>
      </c>
      <c r="AV28" s="8" t="str">
        <f>IF(COUNTIF('Tage Person2 Aus.2'!$V$3:$AA$100, AT28)&gt;0, "S",IF(COUNTIF('Tage Person2 Aus.2'!$A$3:$O$100, AT28)&gt;0, "U",IF(COUNTIF('Tage Person2 Aus.2'!$AE$3:$AI$100, AT28)&gt;0, "h", "")))</f>
        <v/>
      </c>
      <c r="AW28" s="8" t="str">
        <f>IF(COUNTIF('Tage Person3 Aus.3'!$V$3:$AA$100, AT28)&gt;0, "S",IF(COUNTIF('Tage Person3 Aus.3'!$A$3:$O$100, AT28)&gt;0, "U",IF(COUNTIF('Tage Person3 Aus.3'!$AE$3:$AI$100, AT28)&gt;0, "h", "")))</f>
        <v/>
      </c>
      <c r="AX28" s="8" t="str">
        <f>IF(COUNTIF('Tage Person4 Aus.4'!$V$3:$AA$100, AT28)&gt;0, "S",IF(COUNTIF('Tage Person4 Aus.4'!$A$3:$O$100, AT28)&gt;0, "U",IF(COUNTIF('Tage Person4 Aus.4'!$AE$3:$AI$100, AT28)&gt;0, "h", "")))</f>
        <v/>
      </c>
      <c r="AY28" s="8" t="str">
        <f>IF(COUNTIF('Tage ferien Aus.'!$A$3:$O$100, AT28)&gt;0, "E", "")</f>
        <v>E</v>
      </c>
      <c r="AZ28" s="8" t="str">
        <f>IF(COUNTIF('Tage feiertage Aus.'!$A$3:$O$100, AT28)&gt;0, "f", "")</f>
        <v/>
      </c>
      <c r="BA28" s="7">
        <f t="shared" si="7"/>
        <v>46261</v>
      </c>
      <c r="BB28" s="8" t="str">
        <f>IF(COUNTIF('Tage Person1 Aus.'!$V$3:$AA$100, BA28)&gt;0, "S",IF(COUNTIF('Tage Person1 Aus.'!$A$3:$O$100, BA28)&gt;0, "U",IF(COUNTIF('Tage Person1 Aus.'!$AE$3:$AI$100, BA28)&gt;0, "h", "")))</f>
        <v/>
      </c>
      <c r="BC28" s="8" t="str">
        <f>IF(COUNTIF('Tage Person2 Aus.2'!$V$3:$AA$100, BA28)&gt;0, "S",IF(COUNTIF('Tage Person2 Aus.2'!$A$3:$O$100, BA28)&gt;0, "U",IF(COUNTIF('Tage Person2 Aus.2'!$AE$3:$AI$100, BA28)&gt;0, "h", "")))</f>
        <v/>
      </c>
      <c r="BD28" s="8" t="str">
        <f>IF(COUNTIF('Tage Person3 Aus.3'!$V$3:$AA$100, BA28)&gt;0, "S",IF(COUNTIF('Tage Person3 Aus.3'!$A$3:$O$100, BA28)&gt;0, "U",IF(COUNTIF('Tage Person3 Aus.3'!$AE$3:$AI$100, BA28)&gt;0, "h", "")))</f>
        <v/>
      </c>
      <c r="BE28" s="8" t="str">
        <f>IF(COUNTIF('Tage Person4 Aus.4'!$V$3:$AA$100, BA28)&gt;0, "S",IF(COUNTIF('Tage Person4 Aus.4'!$A$3:$O$100, BA28)&gt;0, "U",IF(COUNTIF('Tage Person4 Aus.4'!$AE$3:$AI$100, BA28)&gt;0, "h", "")))</f>
        <v/>
      </c>
      <c r="BF28" s="8" t="str">
        <f>IF(COUNTIF('Tage ferien Aus.'!$A$3:$O$100, BA28)&gt;0, "E", "")</f>
        <v>E</v>
      </c>
      <c r="BG28" s="8" t="str">
        <f>IF(COUNTIF('Tage feiertage Aus.'!$A$3:$O$100, BA28)&gt;0, "f", "")</f>
        <v/>
      </c>
      <c r="BH28" s="7">
        <f t="shared" si="8"/>
        <v>46292</v>
      </c>
      <c r="BI28" s="8" t="str">
        <f>IF(COUNTIF('Tage Person1 Aus.'!$V$3:$AA$100, BH28)&gt;0, "S",IF(COUNTIF('Tage Person1 Aus.'!$A$3:$O$100, BH28)&gt;0, "U",IF(COUNTIF('Tage Person1 Aus.'!$AE$3:$AI$100, BH28)&gt;0, "h", "")))</f>
        <v/>
      </c>
      <c r="BJ28" s="8" t="str">
        <f>IF(COUNTIF('Tage Person2 Aus.2'!$V$3:$AA$100, BH28)&gt;0, "S",IF(COUNTIF('Tage Person2 Aus.2'!$A$3:$O$100, BH28)&gt;0, "U",IF(COUNTIF('Tage Person2 Aus.2'!$AE$3:$AI$100, BH28)&gt;0, "h", "")))</f>
        <v/>
      </c>
      <c r="BK28" s="8" t="str">
        <f>IF(COUNTIF('Tage Person3 Aus.3'!$V$3:$AA$100, BH28)&gt;0, "S",IF(COUNTIF('Tage Person3 Aus.3'!$A$3:$O$100, BH28)&gt;0, "U",IF(COUNTIF('Tage Person3 Aus.3'!$AE$3:$AI$100, BH28)&gt;0, "h", "")))</f>
        <v/>
      </c>
      <c r="BL28" s="8" t="str">
        <f>IF(COUNTIF('Tage Person4 Aus.4'!$V$3:$AA$100, BH28)&gt;0, "S",IF(COUNTIF('Tage Person4 Aus.4'!$A$3:$O$100, BH28)&gt;0, "U",IF(COUNTIF('Tage Person4 Aus.4'!$AE$3:$AI$100, BH28)&gt;0, "h", "")))</f>
        <v/>
      </c>
      <c r="BM28" s="8" t="str">
        <f>IF(COUNTIF('Tage ferien Aus.'!$A$3:$O$100, BH28)&gt;0, "E", "")</f>
        <v/>
      </c>
      <c r="BN28" s="8" t="str">
        <f>IF(COUNTIF('Tage feiertage Aus.'!$A$3:$O$100, BH28)&gt;0, "f", "")</f>
        <v/>
      </c>
      <c r="BO28" s="7">
        <f t="shared" si="9"/>
        <v>46322</v>
      </c>
      <c r="BP28" s="8" t="str">
        <f>IF(COUNTIF('Tage Person1 Aus.'!$V$3:$AA$100, BO28)&gt;0, "S",IF(COUNTIF('Tage Person1 Aus.'!$A$3:$O$100, BO28)&gt;0, "U",IF(COUNTIF('Tage Person1 Aus.'!$AE$3:$AI$100, BO28)&gt;0, "h", "")))</f>
        <v/>
      </c>
      <c r="BQ28" s="8" t="str">
        <f>IF(COUNTIF('Tage Person2 Aus.2'!$V$3:$AA$100, BO28)&gt;0, "S",IF(COUNTIF('Tage Person2 Aus.2'!$A$3:$O$100, BO28)&gt;0, "U",IF(COUNTIF('Tage Person2 Aus.2'!$AE$3:$AI$100, BO28)&gt;0, "h", "")))</f>
        <v/>
      </c>
      <c r="BR28" s="8" t="str">
        <f>IF(COUNTIF('Tage Person3 Aus.3'!$V$3:$AA$100, BO28)&gt;0, "S",IF(COUNTIF('Tage Person3 Aus.3'!$A$3:$O$100, BO28)&gt;0, "U",IF(COUNTIF('Tage Person3 Aus.3'!$AE$3:$AI$100, BO28)&gt;0, "h", "")))</f>
        <v/>
      </c>
      <c r="BS28" s="8" t="str">
        <f>IF(COUNTIF('Tage Person4 Aus.4'!$V$3:$AA$100, BO28)&gt;0, "S",IF(COUNTIF('Tage Person4 Aus.4'!$A$3:$O$100, BO28)&gt;0, "U",IF(COUNTIF('Tage Person4 Aus.4'!$AE$3:$AI$100, BO28)&gt;0, "h", "")))</f>
        <v/>
      </c>
      <c r="BT28" s="8" t="str">
        <f>IF(COUNTIF('Tage ferien Aus.'!$A$3:$O$100, BO28)&gt;0, "E", "")</f>
        <v>E</v>
      </c>
      <c r="BU28" s="8" t="str">
        <f>IF(COUNTIF('Tage feiertage Aus.'!$A$3:$O$100, BO28)&gt;0, "f", "")</f>
        <v/>
      </c>
      <c r="BV28" s="7">
        <f t="shared" si="10"/>
        <v>46353</v>
      </c>
      <c r="BW28" s="8" t="str">
        <f>IF(COUNTIF('Tage Person1 Aus.'!$V$3:$AA$100, BV28)&gt;0, "S",IF(COUNTIF('Tage Person1 Aus.'!$A$3:$O$100, BV28)&gt;0, "U",IF(COUNTIF('Tage Person1 Aus.'!$AE$3:$AI$100, BV28)&gt;0, "h", "")))</f>
        <v/>
      </c>
      <c r="BX28" s="8" t="str">
        <f>IF(COUNTIF('Tage Person2 Aus.2'!$V$3:$AA$100, BV28)&gt;0, "S",IF(COUNTIF('Tage Person2 Aus.2'!$A$3:$O$100, BV28)&gt;0, "U",IF(COUNTIF('Tage Person2 Aus.2'!$AE$3:$AI$100, BV28)&gt;0, "h", "")))</f>
        <v/>
      </c>
      <c r="BY28" s="8" t="str">
        <f>IF(COUNTIF('Tage Person3 Aus.3'!$V$3:$AA$100, BV28)&gt;0, "S",IF(COUNTIF('Tage Person3 Aus.3'!$A$3:$O$100, BV28)&gt;0, "U",IF(COUNTIF('Tage Person3 Aus.3'!$AE$3:$AI$100, BV28)&gt;0, "h", "")))</f>
        <v/>
      </c>
      <c r="BZ28" s="8" t="str">
        <f>IF(COUNTIF('Tage Person4 Aus.4'!$V$3:$AA$100, BV28)&gt;0, "S",IF(COUNTIF('Tage Person4 Aus.4'!$A$3:$O$100, BV28)&gt;0, "U",IF(COUNTIF('Tage Person4 Aus.4'!$AE$3:$AI$100, BV28)&gt;0, "h", "")))</f>
        <v/>
      </c>
      <c r="CA28" s="8" t="str">
        <f>IF(COUNTIF('Tage ferien Aus.'!$A$3:$O$100, BV28)&gt;0, "E", "")</f>
        <v/>
      </c>
      <c r="CB28" s="8" t="str">
        <f>IF(COUNTIF('Tage feiertage Aus.'!$A$3:$O$100, BV28)&gt;0, "f", "")</f>
        <v/>
      </c>
      <c r="CC28" s="7">
        <f t="shared" si="11"/>
        <v>46383</v>
      </c>
      <c r="CD28" s="10" t="str">
        <f>IF(COUNTIF('Tage Person1 Aus.'!$V$3:$AA$100, CC28)&gt;0, "S",IF(COUNTIF('Tage Person1 Aus.'!$A$3:$O$100, CC28)&gt;0, "U",IF(COUNTIF('Tage Person1 Aus.'!$AE$3:$AI$100, CC28)&gt;0, "h", "")))</f>
        <v/>
      </c>
      <c r="CE28" s="11" t="str">
        <f>IF(COUNTIF('Tage Person2 Aus.2'!$V$3:$AA$100, CC28)&gt;0, "S",IF(COUNTIF('Tage Person2 Aus.2'!$A$3:$O$100, CC28)&gt;0, "U",IF(COUNTIF('Tage Person2 Aus.2'!$AE$3:$AI$100, CC28)&gt;0, "h", "")))</f>
        <v/>
      </c>
      <c r="CF28" s="12" t="str">
        <f>IF(COUNTIF('Tage Person3 Aus.3'!$V$3:$AA$100, CC28)&gt;0, "S",IF(COUNTIF('Tage Person3 Aus.3'!$A$3:$O$100, CC28)&gt;0, "U",IF(COUNTIF('Tage Person3 Aus.3'!$AE$3:$AI$100, CC28)&gt;0, "h", "")))</f>
        <v/>
      </c>
      <c r="CG28" s="10" t="str">
        <f>IF(COUNTIF('Tage Person4 Aus.4'!$V$3:$AA$100, CC28)&gt;0, "S",IF(COUNTIF('Tage Person4 Aus.4'!$A$3:$O$100, CC28)&gt;0, "U",IF(COUNTIF('Tage Person4 Aus.4'!$AE$3:$AI$100, CC28)&gt;0, "h", "")))</f>
        <v/>
      </c>
      <c r="CH28" s="11" t="str">
        <f>IF(COUNTIF('Tage ferien Aus.'!$A$3:$O$100, CC28)&gt;0, "E", "")</f>
        <v>E</v>
      </c>
      <c r="CI28" s="12" t="str">
        <f>IF(COUNTIF('Tage feiertage Aus.'!$A$3:$O$100, CC28)&gt;0, "f", "")</f>
        <v/>
      </c>
      <c r="CJ28" s="4"/>
      <c r="CK28" s="4"/>
      <c r="CL28" s="6"/>
      <c r="CM28" s="4"/>
      <c r="CN28" s="2"/>
      <c r="CO28" s="3"/>
      <c r="CP28" s="4"/>
      <c r="CQ28" s="2"/>
      <c r="CR28" s="3"/>
      <c r="CS28" s="4"/>
      <c r="CT28" s="4"/>
      <c r="CU28" s="6"/>
      <c r="CV28" s="4"/>
      <c r="CW28" s="4"/>
      <c r="CX28" s="6"/>
      <c r="CY28" s="4"/>
    </row>
    <row r="29" spans="1:103" x14ac:dyDescent="0.3">
      <c r="A29" s="57"/>
      <c r="B29" s="58"/>
      <c r="C29" s="57"/>
      <c r="D29" s="7">
        <f t="shared" si="0"/>
        <v>46050</v>
      </c>
      <c r="E29" s="8" t="str">
        <f>IF(COUNTIF('Tage Person1 Aus.'!$V$3:$AA$100, D29)&gt;0, "S",IF(COUNTIF('Tage Person1 Aus.'!$A$3:$O$100, D29)&gt;0, "U",IF(COUNTIF('Tage Person1 Aus.'!$AE$3:$AI$100, D29)&gt;0, "h", "")))</f>
        <v/>
      </c>
      <c r="F29" s="8" t="str">
        <f>IF(COUNTIF('Tage Person2 Aus.2'!$V$3:$AA$100, D29)&gt;0, "S",IF(COUNTIF('Tage Person2 Aus.2'!$A$3:$O$100, D29)&gt;0, "U",IF(COUNTIF('Tage Person2 Aus.2'!$AE$3:$AI$100, D29)&gt;0, "h", "")))</f>
        <v/>
      </c>
      <c r="G29" s="8" t="str">
        <f>IF(COUNTIF('Tage Person3 Aus.3'!$V$3:$AA$100, D29)&gt;0, "S",IF(COUNTIF('Tage Person3 Aus.3'!$A$3:$O$100, D29)&gt;0, "U",IF(COUNTIF('Tage Person3 Aus.3'!$AE$3:$AI$100, D29)&gt;0, "h", "")))</f>
        <v/>
      </c>
      <c r="H29" s="8" t="str">
        <f>IF(COUNTIF('Tage Person4 Aus.4'!$V$3:$AA$100, D29)&gt;0, "S",IF(COUNTIF('Tage Person4 Aus.4'!$A$3:$O$100, D29)&gt;0, "U",IF(COUNTIF('Tage Person4 Aus.4'!$AE$3:$AI$100, D29)&gt;0, "h", "")))</f>
        <v/>
      </c>
      <c r="I29" s="8" t="str">
        <f>IF(COUNTIF('Tage ferien Aus.'!$A$3:$O$100, D29)&gt;0, "E", "")</f>
        <v/>
      </c>
      <c r="J29" s="8" t="str">
        <f>IF(COUNTIF('Tage feiertage Aus.'!$A$3:$O$100, D29)&gt;0, "f", "")</f>
        <v/>
      </c>
      <c r="K29" s="7">
        <f t="shared" si="1"/>
        <v>46081</v>
      </c>
      <c r="L29" s="8" t="str">
        <f>IF(COUNTIF('Tage Person1 Aus.'!$V$3:$AA$100, K29)&gt;0, "S",IF(COUNTIF('Tage Person1 Aus.'!$A$3:$O$100, K29)&gt;0, "U",IF(COUNTIF('Tage Person1 Aus.'!$AE$3:$AI$100, K29)&gt;0, "h", "")))</f>
        <v/>
      </c>
      <c r="M29" s="8" t="str">
        <f>IF(COUNTIF('Tage Person2 Aus.2'!$V$3:$AA$100, K29)&gt;0, "S",IF(COUNTIF('Tage Person2 Aus.2'!$A$3:$O$100, K29)&gt;0, "U",IF(COUNTIF('Tage Person2 Aus.2'!$AE$3:$AI$100, K29)&gt;0, "h", "")))</f>
        <v/>
      </c>
      <c r="N29" s="8" t="str">
        <f>IF(COUNTIF('Tage Person3 Aus.3'!$V$3:$AA$100, K29)&gt;0, "S",IF(COUNTIF('Tage Person3 Aus.3'!$A$3:$O$100, K29)&gt;0, "U",IF(COUNTIF('Tage Person3 Aus.3'!$AE$3:$AI$100, K29)&gt;0, "h", "")))</f>
        <v/>
      </c>
      <c r="O29" s="8" t="str">
        <f>IF(COUNTIF('Tage Person4 Aus.4'!$V$3:$AA$100, K29)&gt;0, "S",IF(COUNTIF('Tage Person4 Aus.4'!$A$3:$O$100, K29)&gt;0, "U",IF(COUNTIF('Tage Person4 Aus.4'!$AE$3:$AI$100, K29)&gt;0, "h", "")))</f>
        <v/>
      </c>
      <c r="P29" s="8" t="str">
        <f>IF(COUNTIF('Tage ferien Aus.'!$A$3:$O$100, K29)&gt;0, "E", "")</f>
        <v/>
      </c>
      <c r="Q29" s="8" t="str">
        <f>IF(COUNTIF('Tage feiertage Aus.'!$A$3:$O$100, K29)&gt;0, "f", "")</f>
        <v/>
      </c>
      <c r="R29" s="7">
        <f t="shared" si="2"/>
        <v>46109</v>
      </c>
      <c r="S29" s="8" t="str">
        <f>IF(COUNTIF('Tage Person1 Aus.'!$V$3:$AA$100, R29)&gt;0, "S",IF(COUNTIF('Tage Person1 Aus.'!$A$3:$O$100, R29)&gt;0, "U",IF(COUNTIF('Tage Person1 Aus.'!$AE$3:$AI$100, R29)&gt;0, "h", "")))</f>
        <v/>
      </c>
      <c r="T29" s="8" t="str">
        <f>IF(COUNTIF('Tage Person2 Aus.2'!$V$3:$AA$100, R29)&gt;0, "S",IF(COUNTIF('Tage Person2 Aus.2'!$A$3:$O$100, R29)&gt;0, "U",IF(COUNTIF('Tage Person2 Aus.2'!$AE$3:$AI$100, R29)&gt;0, "h", "")))</f>
        <v/>
      </c>
      <c r="U29" s="8" t="str">
        <f>IF(COUNTIF('Tage Person3 Aus.3'!$V$3:$AA$100, R29)&gt;0, "S",IF(COUNTIF('Tage Person3 Aus.3'!$A$3:$O$100, R29)&gt;0, "U",IF(COUNTIF('Tage Person3 Aus.3'!$AE$3:$AI$100, R29)&gt;0, "h", "")))</f>
        <v/>
      </c>
      <c r="V29" s="8" t="str">
        <f>IF(COUNTIF('Tage Person4 Aus.4'!$V$3:$AA$100, R29)&gt;0, "S",IF(COUNTIF('Tage Person4 Aus.4'!$A$3:$O$100, R29)&gt;0, "U",IF(COUNTIF('Tage Person4 Aus.4'!$AE$3:$AI$100, R29)&gt;0, "h", "")))</f>
        <v/>
      </c>
      <c r="W29" s="8" t="str">
        <f>IF(COUNTIF('Tage ferien Aus.'!$A$3:$O$100, R29)&gt;0, "E", "")</f>
        <v/>
      </c>
      <c r="X29" s="8" t="str">
        <f>IF(COUNTIF('Tage feiertage Aus.'!$A$3:$O$100, R29)&gt;0, "f", "")</f>
        <v/>
      </c>
      <c r="Y29" s="7">
        <f t="shared" si="3"/>
        <v>46140</v>
      </c>
      <c r="Z29" s="8" t="str">
        <f>IF(COUNTIF('Tage Person1 Aus.'!$V$3:$AA$100, Y29)&gt;0, "S",IF(COUNTIF('Tage Person1 Aus.'!$A$3:$O$100, Y29)&gt;0, "U",IF(COUNTIF('Tage Person1 Aus.'!$AE$3:$AI$100, Y29)&gt;0, "h", "")))</f>
        <v/>
      </c>
      <c r="AA29" s="8" t="str">
        <f>IF(COUNTIF('Tage Person2 Aus.2'!$V$3:$AA$100, Y29)&gt;0, "S",IF(COUNTIF('Tage Person2 Aus.2'!$A$3:$O$100, Y29)&gt;0, "U",IF(COUNTIF('Tage Person2 Aus.2'!$AE$3:$AI$100, Y29)&gt;0, "h", "")))</f>
        <v/>
      </c>
      <c r="AB29" s="8" t="str">
        <f>IF(COUNTIF('Tage Person3 Aus.3'!$V$3:$AA$100, Y29)&gt;0, "S",IF(COUNTIF('Tage Person3 Aus.3'!$A$3:$O$100, Y29)&gt;0, "U",IF(COUNTIF('Tage Person3 Aus.3'!$AE$3:$AI$100, Y29)&gt;0, "h", "")))</f>
        <v/>
      </c>
      <c r="AC29" s="8" t="str">
        <f>IF(COUNTIF('Tage Person4 Aus.4'!$V$3:$AA$100, Y29)&gt;0, "S",IF(COUNTIF('Tage Person4 Aus.4'!$A$3:$O$100, Y29)&gt;0, "U",IF(COUNTIF('Tage Person4 Aus.4'!$AE$3:$AI$100, Y29)&gt;0, "h", "")))</f>
        <v/>
      </c>
      <c r="AD29" s="8" t="str">
        <f>IF(COUNTIF('Tage ferien Aus.'!$A$3:$O$100, Y29)&gt;0, "E", "")</f>
        <v/>
      </c>
      <c r="AE29" s="8" t="str">
        <f>IF(COUNTIF('Tage feiertage Aus.'!$A$3:$O$100, Y29)&gt;0, "f", "")</f>
        <v/>
      </c>
      <c r="AF29" s="7">
        <f t="shared" si="4"/>
        <v>46170</v>
      </c>
      <c r="AG29" s="9" t="str">
        <f>IF(COUNTIF('Tage Person1 Aus.'!$V$3:$AA$100, AF29)&gt;0, "S",IF(COUNTIF('Tage Person1 Aus.'!$A$3:$O$100, AF29)&gt;0, "U",IF(COUNTIF('Tage Person1 Aus.'!$AE$3:$AI$100, AF29)&gt;0, "h", "")))</f>
        <v/>
      </c>
      <c r="AH29" s="8" t="str">
        <f>IF(COUNTIF('Tage Person2 Aus.2'!$V$3:$AA$100, AF29)&gt;0, "S",IF(COUNTIF('Tage Person2 Aus.2'!$A$3:$O$100, AF29)&gt;0, "U",IF(COUNTIF('Tage Person2 Aus.2'!$AE$3:$AI$100, AF29)&gt;0, "h", "")))</f>
        <v/>
      </c>
      <c r="AI29" s="8" t="str">
        <f>IF(COUNTIF('Tage Person3 Aus.3'!$V$3:$AA$100, AF29)&gt;0, "S",IF(COUNTIF('Tage Person3 Aus.3'!$A$3:$O$100, AF29)&gt;0, "U",IF(COUNTIF('Tage Person3 Aus.3'!$AE$3:$AI$100, AF29)&gt;0, "h", "")))</f>
        <v/>
      </c>
      <c r="AJ29" s="8" t="str">
        <f>IF(COUNTIF('Tage Person4 Aus.4'!$V$3:$AA$100, AF29)&gt;0, "S",IF(COUNTIF('Tage Person4 Aus.4'!$A$3:$O$100, AF29)&gt;0, "U",IF(COUNTIF('Tage Person4 Aus.4'!$AE$3:$AI$100, AF29)&gt;0, "h", "")))</f>
        <v/>
      </c>
      <c r="AK29" s="8" t="str">
        <f>IF(COUNTIF('Tage ferien Aus.'!$A$3:$O$100, AF29)&gt;0, "E", "")</f>
        <v/>
      </c>
      <c r="AL29" s="8" t="str">
        <f>IF(COUNTIF('Tage feiertage Aus.'!$A$3:$O$100, AF29)&gt;0, "f", "")</f>
        <v/>
      </c>
      <c r="AM29" s="7">
        <f t="shared" si="5"/>
        <v>46201</v>
      </c>
      <c r="AN29" s="8" t="str">
        <f>IF(COUNTIF('Tage Person1 Aus.'!$V$3:$AA$100, AM29)&gt;0, "S",IF(COUNTIF('Tage Person1 Aus.'!$A$3:$O$100, AM29)&gt;0, "U",IF(COUNTIF('Tage Person1 Aus.'!$AE$3:$AI$100, AM29)&gt;0, "h", "")))</f>
        <v/>
      </c>
      <c r="AO29" s="8" t="str">
        <f>IF(COUNTIF('Tage Person2 Aus.2'!$V$3:$AA$100, AM29)&gt;0, "S",IF(COUNTIF('Tage Person2 Aus.2'!$A$3:$O$100, AM29)&gt;0, "U",IF(COUNTIF('Tage Person2 Aus.2'!$AE$3:$AI$100, AM29)&gt;0, "h", "")))</f>
        <v/>
      </c>
      <c r="AP29" s="8" t="str">
        <f>IF(COUNTIF('Tage Person3 Aus.3'!$V$3:$AA$100, AM29)&gt;0, "S",IF(COUNTIF('Tage Person3 Aus.3'!$A$3:$O$100, AM29)&gt;0, "U",IF(COUNTIF('Tage Person3 Aus.3'!$AE$3:$AI$100, AM29)&gt;0, "h", "")))</f>
        <v/>
      </c>
      <c r="AQ29" s="8" t="str">
        <f>IF(COUNTIF('Tage Person4 Aus.4'!$V$3:$AA$100, AM29)&gt;0, "S",IF(COUNTIF('Tage Person4 Aus.4'!$A$3:$O$100, AM29)&gt;0, "U",IF(COUNTIF('Tage Person4 Aus.4'!$AE$3:$AI$100, AM29)&gt;0, "h", "")))</f>
        <v/>
      </c>
      <c r="AR29" s="8" t="str">
        <f>IF(COUNTIF('Tage ferien Aus.'!$A$3:$O$100, AM29)&gt;0, "E", "")</f>
        <v/>
      </c>
      <c r="AS29" s="8" t="str">
        <f>IF(COUNTIF('Tage feiertage Aus.'!$A$3:$O$100, AM29)&gt;0, "f", "")</f>
        <v/>
      </c>
      <c r="AT29" s="7">
        <f t="shared" si="6"/>
        <v>46231</v>
      </c>
      <c r="AU29" s="8" t="str">
        <f>IF(COUNTIF('Tage Person1 Aus.'!$V$3:$AA$100, AT29)&gt;0, "S",IF(COUNTIF('Tage Person1 Aus.'!$A$3:$O$100, AT29)&gt;0, "U",IF(COUNTIF('Tage Person1 Aus.'!$AE$3:$AI$100, AT29)&gt;0, "h", "")))</f>
        <v/>
      </c>
      <c r="AV29" s="8" t="str">
        <f>IF(COUNTIF('Tage Person2 Aus.2'!$V$3:$AA$100, AT29)&gt;0, "S",IF(COUNTIF('Tage Person2 Aus.2'!$A$3:$O$100, AT29)&gt;0, "U",IF(COUNTIF('Tage Person2 Aus.2'!$AE$3:$AI$100, AT29)&gt;0, "h", "")))</f>
        <v/>
      </c>
      <c r="AW29" s="8" t="str">
        <f>IF(COUNTIF('Tage Person3 Aus.3'!$V$3:$AA$100, AT29)&gt;0, "S",IF(COUNTIF('Tage Person3 Aus.3'!$A$3:$O$100, AT29)&gt;0, "U",IF(COUNTIF('Tage Person3 Aus.3'!$AE$3:$AI$100, AT29)&gt;0, "h", "")))</f>
        <v/>
      </c>
      <c r="AX29" s="8" t="str">
        <f>IF(COUNTIF('Tage Person4 Aus.4'!$V$3:$AA$100, AT29)&gt;0, "S",IF(COUNTIF('Tage Person4 Aus.4'!$A$3:$O$100, AT29)&gt;0, "U",IF(COUNTIF('Tage Person4 Aus.4'!$AE$3:$AI$100, AT29)&gt;0, "h", "")))</f>
        <v/>
      </c>
      <c r="AY29" s="8" t="str">
        <f>IF(COUNTIF('Tage ferien Aus.'!$A$3:$O$100, AT29)&gt;0, "E", "")</f>
        <v>E</v>
      </c>
      <c r="AZ29" s="8" t="str">
        <f>IF(COUNTIF('Tage feiertage Aus.'!$A$3:$O$100, AT29)&gt;0, "f", "")</f>
        <v/>
      </c>
      <c r="BA29" s="7">
        <f t="shared" si="7"/>
        <v>46262</v>
      </c>
      <c r="BB29" s="8" t="str">
        <f>IF(COUNTIF('Tage Person1 Aus.'!$V$3:$AA$100, BA29)&gt;0, "S",IF(COUNTIF('Tage Person1 Aus.'!$A$3:$O$100, BA29)&gt;0, "U",IF(COUNTIF('Tage Person1 Aus.'!$AE$3:$AI$100, BA29)&gt;0, "h", "")))</f>
        <v/>
      </c>
      <c r="BC29" s="8" t="str">
        <f>IF(COUNTIF('Tage Person2 Aus.2'!$V$3:$AA$100, BA29)&gt;0, "S",IF(COUNTIF('Tage Person2 Aus.2'!$A$3:$O$100, BA29)&gt;0, "U",IF(COUNTIF('Tage Person2 Aus.2'!$AE$3:$AI$100, BA29)&gt;0, "h", "")))</f>
        <v/>
      </c>
      <c r="BD29" s="8" t="str">
        <f>IF(COUNTIF('Tage Person3 Aus.3'!$V$3:$AA$100, BA29)&gt;0, "S",IF(COUNTIF('Tage Person3 Aus.3'!$A$3:$O$100, BA29)&gt;0, "U",IF(COUNTIF('Tage Person3 Aus.3'!$AE$3:$AI$100, BA29)&gt;0, "h", "")))</f>
        <v/>
      </c>
      <c r="BE29" s="8" t="str">
        <f>IF(COUNTIF('Tage Person4 Aus.4'!$V$3:$AA$100, BA29)&gt;0, "S",IF(COUNTIF('Tage Person4 Aus.4'!$A$3:$O$100, BA29)&gt;0, "U",IF(COUNTIF('Tage Person4 Aus.4'!$AE$3:$AI$100, BA29)&gt;0, "h", "")))</f>
        <v/>
      </c>
      <c r="BF29" s="8" t="str">
        <f>IF(COUNTIF('Tage ferien Aus.'!$A$3:$O$100, BA29)&gt;0, "E", "")</f>
        <v>E</v>
      </c>
      <c r="BG29" s="8" t="str">
        <f>IF(COUNTIF('Tage feiertage Aus.'!$A$3:$O$100, BA29)&gt;0, "f", "")</f>
        <v/>
      </c>
      <c r="BH29" s="7">
        <f t="shared" si="8"/>
        <v>46293</v>
      </c>
      <c r="BI29" s="8" t="str">
        <f>IF(COUNTIF('Tage Person1 Aus.'!$V$3:$AA$100, BH29)&gt;0, "S",IF(COUNTIF('Tage Person1 Aus.'!$A$3:$O$100, BH29)&gt;0, "U",IF(COUNTIF('Tage Person1 Aus.'!$AE$3:$AI$100, BH29)&gt;0, "h", "")))</f>
        <v/>
      </c>
      <c r="BJ29" s="8" t="str">
        <f>IF(COUNTIF('Tage Person2 Aus.2'!$V$3:$AA$100, BH29)&gt;0, "S",IF(COUNTIF('Tage Person2 Aus.2'!$A$3:$O$100, BH29)&gt;0, "U",IF(COUNTIF('Tage Person2 Aus.2'!$AE$3:$AI$100, BH29)&gt;0, "h", "")))</f>
        <v/>
      </c>
      <c r="BK29" s="8" t="str">
        <f>IF(COUNTIF('Tage Person3 Aus.3'!$V$3:$AA$100, BH29)&gt;0, "S",IF(COUNTIF('Tage Person3 Aus.3'!$A$3:$O$100, BH29)&gt;0, "U",IF(COUNTIF('Tage Person3 Aus.3'!$AE$3:$AI$100, BH29)&gt;0, "h", "")))</f>
        <v/>
      </c>
      <c r="BL29" s="8" t="str">
        <f>IF(COUNTIF('Tage Person4 Aus.4'!$V$3:$AA$100, BH29)&gt;0, "S",IF(COUNTIF('Tage Person4 Aus.4'!$A$3:$O$100, BH29)&gt;0, "U",IF(COUNTIF('Tage Person4 Aus.4'!$AE$3:$AI$100, BH29)&gt;0, "h", "")))</f>
        <v/>
      </c>
      <c r="BM29" s="8" t="str">
        <f>IF(COUNTIF('Tage ferien Aus.'!$A$3:$O$100, BH29)&gt;0, "E", "")</f>
        <v/>
      </c>
      <c r="BN29" s="8" t="str">
        <f>IF(COUNTIF('Tage feiertage Aus.'!$A$3:$O$100, BH29)&gt;0, "f", "")</f>
        <v/>
      </c>
      <c r="BO29" s="7">
        <f t="shared" si="9"/>
        <v>46323</v>
      </c>
      <c r="BP29" s="8" t="str">
        <f>IF(COUNTIF('Tage Person1 Aus.'!$V$3:$AA$100, BO29)&gt;0, "S",IF(COUNTIF('Tage Person1 Aus.'!$A$3:$O$100, BO29)&gt;0, "U",IF(COUNTIF('Tage Person1 Aus.'!$AE$3:$AI$100, BO29)&gt;0, "h", "")))</f>
        <v/>
      </c>
      <c r="BQ29" s="8" t="str">
        <f>IF(COUNTIF('Tage Person2 Aus.2'!$V$3:$AA$100, BO29)&gt;0, "S",IF(COUNTIF('Tage Person2 Aus.2'!$A$3:$O$100, BO29)&gt;0, "U",IF(COUNTIF('Tage Person2 Aus.2'!$AE$3:$AI$100, BO29)&gt;0, "h", "")))</f>
        <v/>
      </c>
      <c r="BR29" s="8" t="str">
        <f>IF(COUNTIF('Tage Person3 Aus.3'!$V$3:$AA$100, BO29)&gt;0, "S",IF(COUNTIF('Tage Person3 Aus.3'!$A$3:$O$100, BO29)&gt;0, "U",IF(COUNTIF('Tage Person3 Aus.3'!$AE$3:$AI$100, BO29)&gt;0, "h", "")))</f>
        <v/>
      </c>
      <c r="BS29" s="8" t="str">
        <f>IF(COUNTIF('Tage Person4 Aus.4'!$V$3:$AA$100, BO29)&gt;0, "S",IF(COUNTIF('Tage Person4 Aus.4'!$A$3:$O$100, BO29)&gt;0, "U",IF(COUNTIF('Tage Person4 Aus.4'!$AE$3:$AI$100, BO29)&gt;0, "h", "")))</f>
        <v/>
      </c>
      <c r="BT29" s="8" t="str">
        <f>IF(COUNTIF('Tage ferien Aus.'!$A$3:$O$100, BO29)&gt;0, "E", "")</f>
        <v>E</v>
      </c>
      <c r="BU29" s="8" t="str">
        <f>IF(COUNTIF('Tage feiertage Aus.'!$A$3:$O$100, BO29)&gt;0, "f", "")</f>
        <v/>
      </c>
      <c r="BV29" s="7">
        <f t="shared" si="10"/>
        <v>46354</v>
      </c>
      <c r="BW29" s="8" t="str">
        <f>IF(COUNTIF('Tage Person1 Aus.'!$V$3:$AA$100, BV29)&gt;0, "S",IF(COUNTIF('Tage Person1 Aus.'!$A$3:$O$100, BV29)&gt;0, "U",IF(COUNTIF('Tage Person1 Aus.'!$AE$3:$AI$100, BV29)&gt;0, "h", "")))</f>
        <v/>
      </c>
      <c r="BX29" s="8" t="str">
        <f>IF(COUNTIF('Tage Person2 Aus.2'!$V$3:$AA$100, BV29)&gt;0, "S",IF(COUNTIF('Tage Person2 Aus.2'!$A$3:$O$100, BV29)&gt;0, "U",IF(COUNTIF('Tage Person2 Aus.2'!$AE$3:$AI$100, BV29)&gt;0, "h", "")))</f>
        <v/>
      </c>
      <c r="BY29" s="8" t="str">
        <f>IF(COUNTIF('Tage Person3 Aus.3'!$V$3:$AA$100, BV29)&gt;0, "S",IF(COUNTIF('Tage Person3 Aus.3'!$A$3:$O$100, BV29)&gt;0, "U",IF(COUNTIF('Tage Person3 Aus.3'!$AE$3:$AI$100, BV29)&gt;0, "h", "")))</f>
        <v/>
      </c>
      <c r="BZ29" s="8" t="str">
        <f>IF(COUNTIF('Tage Person4 Aus.4'!$V$3:$AA$100, BV29)&gt;0, "S",IF(COUNTIF('Tage Person4 Aus.4'!$A$3:$O$100, BV29)&gt;0, "U",IF(COUNTIF('Tage Person4 Aus.4'!$AE$3:$AI$100, BV29)&gt;0, "h", "")))</f>
        <v/>
      </c>
      <c r="CA29" s="8" t="str">
        <f>IF(COUNTIF('Tage ferien Aus.'!$A$3:$O$100, BV29)&gt;0, "E", "")</f>
        <v/>
      </c>
      <c r="CB29" s="8" t="str">
        <f>IF(COUNTIF('Tage feiertage Aus.'!$A$3:$O$100, BV29)&gt;0, "f", "")</f>
        <v/>
      </c>
      <c r="CC29" s="7">
        <f t="shared" si="11"/>
        <v>46384</v>
      </c>
      <c r="CD29" s="10" t="str">
        <f>IF(COUNTIF('Tage Person1 Aus.'!$V$3:$AA$100, CC29)&gt;0, "S",IF(COUNTIF('Tage Person1 Aus.'!$A$3:$O$100, CC29)&gt;0, "U",IF(COUNTIF('Tage Person1 Aus.'!$AE$3:$AI$100, CC29)&gt;0, "h", "")))</f>
        <v/>
      </c>
      <c r="CE29" s="11" t="str">
        <f>IF(COUNTIF('Tage Person2 Aus.2'!$V$3:$AA$100, CC29)&gt;0, "S",IF(COUNTIF('Tage Person2 Aus.2'!$A$3:$O$100, CC29)&gt;0, "U",IF(COUNTIF('Tage Person2 Aus.2'!$AE$3:$AI$100, CC29)&gt;0, "h", "")))</f>
        <v/>
      </c>
      <c r="CF29" s="12" t="str">
        <f>IF(COUNTIF('Tage Person3 Aus.3'!$V$3:$AA$100, CC29)&gt;0, "S",IF(COUNTIF('Tage Person3 Aus.3'!$A$3:$O$100, CC29)&gt;0, "U",IF(COUNTIF('Tage Person3 Aus.3'!$AE$3:$AI$100, CC29)&gt;0, "h", "")))</f>
        <v/>
      </c>
      <c r="CG29" s="10" t="str">
        <f>IF(COUNTIF('Tage Person4 Aus.4'!$V$3:$AA$100, CC29)&gt;0, "S",IF(COUNTIF('Tage Person4 Aus.4'!$A$3:$O$100, CC29)&gt;0, "U",IF(COUNTIF('Tage Person4 Aus.4'!$AE$3:$AI$100, CC29)&gt;0, "h", "")))</f>
        <v/>
      </c>
      <c r="CH29" s="11" t="str">
        <f>IF(COUNTIF('Tage ferien Aus.'!$A$3:$O$100, CC29)&gt;0, "E", "")</f>
        <v>E</v>
      </c>
      <c r="CI29" s="12" t="str">
        <f>IF(COUNTIF('Tage feiertage Aus.'!$A$3:$O$100, CC29)&gt;0, "f", "")</f>
        <v/>
      </c>
      <c r="CJ29" s="4"/>
      <c r="CK29" s="4"/>
      <c r="CL29" s="6"/>
      <c r="CM29" s="4"/>
      <c r="CN29" s="2"/>
      <c r="CO29" s="3"/>
      <c r="CP29" s="4"/>
      <c r="CQ29" s="2"/>
      <c r="CR29" s="3"/>
      <c r="CS29" s="4"/>
      <c r="CT29" s="4"/>
      <c r="CU29" s="6"/>
      <c r="CV29" s="4"/>
      <c r="CW29" s="4"/>
      <c r="CX29" s="6"/>
      <c r="CY29" s="4"/>
    </row>
    <row r="30" spans="1:103" x14ac:dyDescent="0.3">
      <c r="A30" s="57"/>
      <c r="B30" s="58"/>
      <c r="C30" s="57"/>
      <c r="D30" s="7">
        <f t="shared" si="0"/>
        <v>46051</v>
      </c>
      <c r="E30" s="8" t="str">
        <f>IF(COUNTIF('Tage Person1 Aus.'!$V$3:$AA$100, D30)&gt;0, "S",IF(COUNTIF('Tage Person1 Aus.'!$A$3:$O$100, D30)&gt;0, "U",IF(COUNTIF('Tage Person1 Aus.'!$AE$3:$AI$100, D30)&gt;0, "h", "")))</f>
        <v/>
      </c>
      <c r="F30" s="8" t="str">
        <f>IF(COUNTIF('Tage Person2 Aus.2'!$V$3:$AA$100, D30)&gt;0, "S",IF(COUNTIF('Tage Person2 Aus.2'!$A$3:$O$100, D30)&gt;0, "U",IF(COUNTIF('Tage Person2 Aus.2'!$AE$3:$AI$100, D30)&gt;0, "h", "")))</f>
        <v/>
      </c>
      <c r="G30" s="8" t="str">
        <f>IF(COUNTIF('Tage Person3 Aus.3'!$V$3:$AA$100, D30)&gt;0, "S",IF(COUNTIF('Tage Person3 Aus.3'!$A$3:$O$100, D30)&gt;0, "U",IF(COUNTIF('Tage Person3 Aus.3'!$AE$3:$AI$100, D30)&gt;0, "h", "")))</f>
        <v/>
      </c>
      <c r="H30" s="8" t="str">
        <f>IF(COUNTIF('Tage Person4 Aus.4'!$V$3:$AA$100, D30)&gt;0, "S",IF(COUNTIF('Tage Person4 Aus.4'!$A$3:$O$100, D30)&gt;0, "U",IF(COUNTIF('Tage Person4 Aus.4'!$AE$3:$AI$100, D30)&gt;0, "h", "")))</f>
        <v/>
      </c>
      <c r="I30" s="8" t="str">
        <f>IF(COUNTIF('Tage ferien Aus.'!$A$3:$O$100, D30)&gt;0, "E", "")</f>
        <v/>
      </c>
      <c r="J30" s="8" t="str">
        <f>IF(COUNTIF('Tage feiertage Aus.'!$A$3:$O$100, D30)&gt;0, "f", "")</f>
        <v/>
      </c>
      <c r="K30" s="7">
        <f t="shared" si="1"/>
        <v>46082</v>
      </c>
      <c r="L30" s="8" t="str">
        <f>IF(COUNTIF('Tage Person1 Aus.'!$V$3:$AA$100, K30)&gt;0, "S",IF(COUNTIF('Tage Person1 Aus.'!$A$3:$O$100, K30)&gt;0, "U",IF(COUNTIF('Tage Person1 Aus.'!$AE$3:$AI$100, K30)&gt;0, "h", "")))</f>
        <v/>
      </c>
      <c r="M30" s="8" t="str">
        <f>IF(COUNTIF('Tage Person2 Aus.2'!$V$3:$AA$100, K30)&gt;0, "S",IF(COUNTIF('Tage Person2 Aus.2'!$A$3:$O$100, K30)&gt;0, "U",IF(COUNTIF('Tage Person2 Aus.2'!$AE$3:$AI$100, K30)&gt;0, "h", "")))</f>
        <v/>
      </c>
      <c r="N30" s="8" t="str">
        <f>IF(COUNTIF('Tage Person3 Aus.3'!$V$3:$AA$100, K30)&gt;0, "S",IF(COUNTIF('Tage Person3 Aus.3'!$A$3:$O$100, K30)&gt;0, "U",IF(COUNTIF('Tage Person3 Aus.3'!$AE$3:$AI$100, K30)&gt;0, "h", "")))</f>
        <v/>
      </c>
      <c r="O30" s="8" t="str">
        <f>IF(COUNTIF('Tage Person4 Aus.4'!$V$3:$AA$100, K30)&gt;0, "S",IF(COUNTIF('Tage Person4 Aus.4'!$A$3:$O$100, K30)&gt;0, "U",IF(COUNTIF('Tage Person4 Aus.4'!$AE$3:$AI$100, K30)&gt;0, "h", "")))</f>
        <v/>
      </c>
      <c r="P30" s="8" t="str">
        <f>IF(COUNTIF('Tage ferien Aus.'!$A$3:$O$100, K30)&gt;0, "E", "")</f>
        <v/>
      </c>
      <c r="Q30" s="8" t="str">
        <f>IF(COUNTIF('Tage feiertage Aus.'!$A$3:$O$100, K30)&gt;0, "f", "")</f>
        <v/>
      </c>
      <c r="R30" s="7">
        <f t="shared" si="2"/>
        <v>46110</v>
      </c>
      <c r="S30" s="8" t="str">
        <f>IF(COUNTIF('Tage Person1 Aus.'!$V$3:$AA$100, R30)&gt;0, "S",IF(COUNTIF('Tage Person1 Aus.'!$A$3:$O$100, R30)&gt;0, "U",IF(COUNTIF('Tage Person1 Aus.'!$AE$3:$AI$100, R30)&gt;0, "h", "")))</f>
        <v/>
      </c>
      <c r="T30" s="8" t="str">
        <f>IF(COUNTIF('Tage Person2 Aus.2'!$V$3:$AA$100, R30)&gt;0, "S",IF(COUNTIF('Tage Person2 Aus.2'!$A$3:$O$100, R30)&gt;0, "U",IF(COUNTIF('Tage Person2 Aus.2'!$AE$3:$AI$100, R30)&gt;0, "h", "")))</f>
        <v/>
      </c>
      <c r="U30" s="8" t="str">
        <f>IF(COUNTIF('Tage Person3 Aus.3'!$V$3:$AA$100, R30)&gt;0, "S",IF(COUNTIF('Tage Person3 Aus.3'!$A$3:$O$100, R30)&gt;0, "U",IF(COUNTIF('Tage Person3 Aus.3'!$AE$3:$AI$100, R30)&gt;0, "h", "")))</f>
        <v/>
      </c>
      <c r="V30" s="8" t="str">
        <f>IF(COUNTIF('Tage Person4 Aus.4'!$V$3:$AA$100, R30)&gt;0, "S",IF(COUNTIF('Tage Person4 Aus.4'!$A$3:$O$100, R30)&gt;0, "U",IF(COUNTIF('Tage Person4 Aus.4'!$AE$3:$AI$100, R30)&gt;0, "h", "")))</f>
        <v/>
      </c>
      <c r="W30" s="8" t="str">
        <f>IF(COUNTIF('Tage ferien Aus.'!$A$3:$O$100, R30)&gt;0, "E", "")</f>
        <v/>
      </c>
      <c r="X30" s="8" t="str">
        <f>IF(COUNTIF('Tage feiertage Aus.'!$A$3:$O$100, R30)&gt;0, "f", "")</f>
        <v/>
      </c>
      <c r="Y30" s="7">
        <f t="shared" si="3"/>
        <v>46141</v>
      </c>
      <c r="Z30" s="8" t="str">
        <f>IF(COUNTIF('Tage Person1 Aus.'!$V$3:$AA$100, Y30)&gt;0, "S",IF(COUNTIF('Tage Person1 Aus.'!$A$3:$O$100, Y30)&gt;0, "U",IF(COUNTIF('Tage Person1 Aus.'!$AE$3:$AI$100, Y30)&gt;0, "h", "")))</f>
        <v/>
      </c>
      <c r="AA30" s="8" t="str">
        <f>IF(COUNTIF('Tage Person2 Aus.2'!$V$3:$AA$100, Y30)&gt;0, "S",IF(COUNTIF('Tage Person2 Aus.2'!$A$3:$O$100, Y30)&gt;0, "U",IF(COUNTIF('Tage Person2 Aus.2'!$AE$3:$AI$100, Y30)&gt;0, "h", "")))</f>
        <v/>
      </c>
      <c r="AB30" s="8" t="str">
        <f>IF(COUNTIF('Tage Person3 Aus.3'!$V$3:$AA$100, Y30)&gt;0, "S",IF(COUNTIF('Tage Person3 Aus.3'!$A$3:$O$100, Y30)&gt;0, "U",IF(COUNTIF('Tage Person3 Aus.3'!$AE$3:$AI$100, Y30)&gt;0, "h", "")))</f>
        <v/>
      </c>
      <c r="AC30" s="8" t="str">
        <f>IF(COUNTIF('Tage Person4 Aus.4'!$V$3:$AA$100, Y30)&gt;0, "S",IF(COUNTIF('Tage Person4 Aus.4'!$A$3:$O$100, Y30)&gt;0, "U",IF(COUNTIF('Tage Person4 Aus.4'!$AE$3:$AI$100, Y30)&gt;0, "h", "")))</f>
        <v/>
      </c>
      <c r="AD30" s="8" t="str">
        <f>IF(COUNTIF('Tage ferien Aus.'!$A$3:$O$100, Y30)&gt;0, "E", "")</f>
        <v/>
      </c>
      <c r="AE30" s="8" t="str">
        <f>IF(COUNTIF('Tage feiertage Aus.'!$A$3:$O$100, Y30)&gt;0, "f", "")</f>
        <v/>
      </c>
      <c r="AF30" s="7">
        <f t="shared" si="4"/>
        <v>46171</v>
      </c>
      <c r="AG30" s="9" t="str">
        <f>IF(COUNTIF('Tage Person1 Aus.'!$V$3:$AA$100, AF30)&gt;0, "S",IF(COUNTIF('Tage Person1 Aus.'!$A$3:$O$100, AF30)&gt;0, "U",IF(COUNTIF('Tage Person1 Aus.'!$AE$3:$AI$100, AF30)&gt;0, "h", "")))</f>
        <v/>
      </c>
      <c r="AH30" s="8" t="str">
        <f>IF(COUNTIF('Tage Person2 Aus.2'!$V$3:$AA$100, AF30)&gt;0, "S",IF(COUNTIF('Tage Person2 Aus.2'!$A$3:$O$100, AF30)&gt;0, "U",IF(COUNTIF('Tage Person2 Aus.2'!$AE$3:$AI$100, AF30)&gt;0, "h", "")))</f>
        <v/>
      </c>
      <c r="AI30" s="8" t="str">
        <f>IF(COUNTIF('Tage Person3 Aus.3'!$V$3:$AA$100, AF30)&gt;0, "S",IF(COUNTIF('Tage Person3 Aus.3'!$A$3:$O$100, AF30)&gt;0, "U",IF(COUNTIF('Tage Person3 Aus.3'!$AE$3:$AI$100, AF30)&gt;0, "h", "")))</f>
        <v/>
      </c>
      <c r="AJ30" s="8" t="str">
        <f>IF(COUNTIF('Tage Person4 Aus.4'!$V$3:$AA$100, AF30)&gt;0, "S",IF(COUNTIF('Tage Person4 Aus.4'!$A$3:$O$100, AF30)&gt;0, "U",IF(COUNTIF('Tage Person4 Aus.4'!$AE$3:$AI$100, AF30)&gt;0, "h", "")))</f>
        <v/>
      </c>
      <c r="AK30" s="8" t="str">
        <f>IF(COUNTIF('Tage ferien Aus.'!$A$3:$O$100, AF30)&gt;0, "E", "")</f>
        <v/>
      </c>
      <c r="AL30" s="8" t="str">
        <f>IF(COUNTIF('Tage feiertage Aus.'!$A$3:$O$100, AF30)&gt;0, "f", "")</f>
        <v/>
      </c>
      <c r="AM30" s="7">
        <f t="shared" si="5"/>
        <v>46202</v>
      </c>
      <c r="AN30" s="8" t="str">
        <f>IF(COUNTIF('Tage Person1 Aus.'!$V$3:$AA$100, AM30)&gt;0, "S",IF(COUNTIF('Tage Person1 Aus.'!$A$3:$O$100, AM30)&gt;0, "U",IF(COUNTIF('Tage Person1 Aus.'!$AE$3:$AI$100, AM30)&gt;0, "h", "")))</f>
        <v/>
      </c>
      <c r="AO30" s="8" t="str">
        <f>IF(COUNTIF('Tage Person2 Aus.2'!$V$3:$AA$100, AM30)&gt;0, "S",IF(COUNTIF('Tage Person2 Aus.2'!$A$3:$O$100, AM30)&gt;0, "U",IF(COUNTIF('Tage Person2 Aus.2'!$AE$3:$AI$100, AM30)&gt;0, "h", "")))</f>
        <v/>
      </c>
      <c r="AP30" s="8" t="str">
        <f>IF(COUNTIF('Tage Person3 Aus.3'!$V$3:$AA$100, AM30)&gt;0, "S",IF(COUNTIF('Tage Person3 Aus.3'!$A$3:$O$100, AM30)&gt;0, "U",IF(COUNTIF('Tage Person3 Aus.3'!$AE$3:$AI$100, AM30)&gt;0, "h", "")))</f>
        <v/>
      </c>
      <c r="AQ30" s="8" t="str">
        <f>IF(COUNTIF('Tage Person4 Aus.4'!$V$3:$AA$100, AM30)&gt;0, "S",IF(COUNTIF('Tage Person4 Aus.4'!$A$3:$O$100, AM30)&gt;0, "U",IF(COUNTIF('Tage Person4 Aus.4'!$AE$3:$AI$100, AM30)&gt;0, "h", "")))</f>
        <v/>
      </c>
      <c r="AR30" s="8" t="str">
        <f>IF(COUNTIF('Tage ferien Aus.'!$A$3:$O$100, AM30)&gt;0, "E", "")</f>
        <v/>
      </c>
      <c r="AS30" s="8" t="str">
        <f>IF(COUNTIF('Tage feiertage Aus.'!$A$3:$O$100, AM30)&gt;0, "f", "")</f>
        <v/>
      </c>
      <c r="AT30" s="7">
        <f t="shared" si="6"/>
        <v>46232</v>
      </c>
      <c r="AU30" s="8" t="str">
        <f>IF(COUNTIF('Tage Person1 Aus.'!$V$3:$AA$100, AT30)&gt;0, "S",IF(COUNTIF('Tage Person1 Aus.'!$A$3:$O$100, AT30)&gt;0, "U",IF(COUNTIF('Tage Person1 Aus.'!$AE$3:$AI$100, AT30)&gt;0, "h", "")))</f>
        <v/>
      </c>
      <c r="AV30" s="8" t="str">
        <f>IF(COUNTIF('Tage Person2 Aus.2'!$V$3:$AA$100, AT30)&gt;0, "S",IF(COUNTIF('Tage Person2 Aus.2'!$A$3:$O$100, AT30)&gt;0, "U",IF(COUNTIF('Tage Person2 Aus.2'!$AE$3:$AI$100, AT30)&gt;0, "h", "")))</f>
        <v/>
      </c>
      <c r="AW30" s="8" t="str">
        <f>IF(COUNTIF('Tage Person3 Aus.3'!$V$3:$AA$100, AT30)&gt;0, "S",IF(COUNTIF('Tage Person3 Aus.3'!$A$3:$O$100, AT30)&gt;0, "U",IF(COUNTIF('Tage Person3 Aus.3'!$AE$3:$AI$100, AT30)&gt;0, "h", "")))</f>
        <v/>
      </c>
      <c r="AX30" s="8" t="str">
        <f>IF(COUNTIF('Tage Person4 Aus.4'!$V$3:$AA$100, AT30)&gt;0, "S",IF(COUNTIF('Tage Person4 Aus.4'!$A$3:$O$100, AT30)&gt;0, "U",IF(COUNTIF('Tage Person4 Aus.4'!$AE$3:$AI$100, AT30)&gt;0, "h", "")))</f>
        <v/>
      </c>
      <c r="AY30" s="8" t="str">
        <f>IF(COUNTIF('Tage ferien Aus.'!$A$3:$O$100, AT30)&gt;0, "E", "")</f>
        <v>E</v>
      </c>
      <c r="AZ30" s="8" t="str">
        <f>IF(COUNTIF('Tage feiertage Aus.'!$A$3:$O$100, AT30)&gt;0, "f", "")</f>
        <v/>
      </c>
      <c r="BA30" s="7">
        <f t="shared" si="7"/>
        <v>46263</v>
      </c>
      <c r="BB30" s="8" t="str">
        <f>IF(COUNTIF('Tage Person1 Aus.'!$V$3:$AA$100, BA30)&gt;0, "S",IF(COUNTIF('Tage Person1 Aus.'!$A$3:$O$100, BA30)&gt;0, "U",IF(COUNTIF('Tage Person1 Aus.'!$AE$3:$AI$100, BA30)&gt;0, "h", "")))</f>
        <v/>
      </c>
      <c r="BC30" s="8" t="str">
        <f>IF(COUNTIF('Tage Person2 Aus.2'!$V$3:$AA$100, BA30)&gt;0, "S",IF(COUNTIF('Tage Person2 Aus.2'!$A$3:$O$100, BA30)&gt;0, "U",IF(COUNTIF('Tage Person2 Aus.2'!$AE$3:$AI$100, BA30)&gt;0, "h", "")))</f>
        <v/>
      </c>
      <c r="BD30" s="8" t="str">
        <f>IF(COUNTIF('Tage Person3 Aus.3'!$V$3:$AA$100, BA30)&gt;0, "S",IF(COUNTIF('Tage Person3 Aus.3'!$A$3:$O$100, BA30)&gt;0, "U",IF(COUNTIF('Tage Person3 Aus.3'!$AE$3:$AI$100, BA30)&gt;0, "h", "")))</f>
        <v/>
      </c>
      <c r="BE30" s="8" t="str">
        <f>IF(COUNTIF('Tage Person4 Aus.4'!$V$3:$AA$100, BA30)&gt;0, "S",IF(COUNTIF('Tage Person4 Aus.4'!$A$3:$O$100, BA30)&gt;0, "U",IF(COUNTIF('Tage Person4 Aus.4'!$AE$3:$AI$100, BA30)&gt;0, "h", "")))</f>
        <v/>
      </c>
      <c r="BF30" s="8" t="str">
        <f>IF(COUNTIF('Tage ferien Aus.'!$A$3:$O$100, BA30)&gt;0, "E", "")</f>
        <v>E</v>
      </c>
      <c r="BG30" s="8" t="str">
        <f>IF(COUNTIF('Tage feiertage Aus.'!$A$3:$O$100, BA30)&gt;0, "f", "")</f>
        <v/>
      </c>
      <c r="BH30" s="7">
        <f t="shared" si="8"/>
        <v>46294</v>
      </c>
      <c r="BI30" s="8" t="str">
        <f>IF(COUNTIF('Tage Person1 Aus.'!$V$3:$AA$100, BH30)&gt;0, "S",IF(COUNTIF('Tage Person1 Aus.'!$A$3:$O$100, BH30)&gt;0, "U",IF(COUNTIF('Tage Person1 Aus.'!$AE$3:$AI$100, BH30)&gt;0, "h", "")))</f>
        <v/>
      </c>
      <c r="BJ30" s="8" t="str">
        <f>IF(COUNTIF('Tage Person2 Aus.2'!$V$3:$AA$100, BH30)&gt;0, "S",IF(COUNTIF('Tage Person2 Aus.2'!$A$3:$O$100, BH30)&gt;0, "U",IF(COUNTIF('Tage Person2 Aus.2'!$AE$3:$AI$100, BH30)&gt;0, "h", "")))</f>
        <v/>
      </c>
      <c r="BK30" s="8" t="str">
        <f>IF(COUNTIF('Tage Person3 Aus.3'!$V$3:$AA$100, BH30)&gt;0, "S",IF(COUNTIF('Tage Person3 Aus.3'!$A$3:$O$100, BH30)&gt;0, "U",IF(COUNTIF('Tage Person3 Aus.3'!$AE$3:$AI$100, BH30)&gt;0, "h", "")))</f>
        <v/>
      </c>
      <c r="BL30" s="8" t="str">
        <f>IF(COUNTIF('Tage Person4 Aus.4'!$V$3:$AA$100, BH30)&gt;0, "S",IF(COUNTIF('Tage Person4 Aus.4'!$A$3:$O$100, BH30)&gt;0, "U",IF(COUNTIF('Tage Person4 Aus.4'!$AE$3:$AI$100, BH30)&gt;0, "h", "")))</f>
        <v/>
      </c>
      <c r="BM30" s="8" t="str">
        <f>IF(COUNTIF('Tage ferien Aus.'!$A$3:$O$100, BH30)&gt;0, "E", "")</f>
        <v/>
      </c>
      <c r="BN30" s="8" t="str">
        <f>IF(COUNTIF('Tage feiertage Aus.'!$A$3:$O$100, BH30)&gt;0, "f", "")</f>
        <v/>
      </c>
      <c r="BO30" s="7">
        <f t="shared" si="9"/>
        <v>46324</v>
      </c>
      <c r="BP30" s="8" t="str">
        <f>IF(COUNTIF('Tage Person1 Aus.'!$V$3:$AA$100, BO30)&gt;0, "S",IF(COUNTIF('Tage Person1 Aus.'!$A$3:$O$100, BO30)&gt;0, "U",IF(COUNTIF('Tage Person1 Aus.'!$AE$3:$AI$100, BO30)&gt;0, "h", "")))</f>
        <v/>
      </c>
      <c r="BQ30" s="8" t="str">
        <f>IF(COUNTIF('Tage Person2 Aus.2'!$V$3:$AA$100, BO30)&gt;0, "S",IF(COUNTIF('Tage Person2 Aus.2'!$A$3:$O$100, BO30)&gt;0, "U",IF(COUNTIF('Tage Person2 Aus.2'!$AE$3:$AI$100, BO30)&gt;0, "h", "")))</f>
        <v/>
      </c>
      <c r="BR30" s="8" t="str">
        <f>IF(COUNTIF('Tage Person3 Aus.3'!$V$3:$AA$100, BO30)&gt;0, "S",IF(COUNTIF('Tage Person3 Aus.3'!$A$3:$O$100, BO30)&gt;0, "U",IF(COUNTIF('Tage Person3 Aus.3'!$AE$3:$AI$100, BO30)&gt;0, "h", "")))</f>
        <v/>
      </c>
      <c r="BS30" s="8" t="str">
        <f>IF(COUNTIF('Tage Person4 Aus.4'!$V$3:$AA$100, BO30)&gt;0, "S",IF(COUNTIF('Tage Person4 Aus.4'!$A$3:$O$100, BO30)&gt;0, "U",IF(COUNTIF('Tage Person4 Aus.4'!$AE$3:$AI$100, BO30)&gt;0, "h", "")))</f>
        <v/>
      </c>
      <c r="BT30" s="8" t="str">
        <f>IF(COUNTIF('Tage ferien Aus.'!$A$3:$O$100, BO30)&gt;0, "E", "")</f>
        <v>E</v>
      </c>
      <c r="BU30" s="8" t="str">
        <f>IF(COUNTIF('Tage feiertage Aus.'!$A$3:$O$100, BO30)&gt;0, "f", "")</f>
        <v/>
      </c>
      <c r="BV30" s="7">
        <f t="shared" si="10"/>
        <v>46355</v>
      </c>
      <c r="BW30" s="8" t="str">
        <f>IF(COUNTIF('Tage Person1 Aus.'!$V$3:$AA$100, BV30)&gt;0, "S",IF(COUNTIF('Tage Person1 Aus.'!$A$3:$O$100, BV30)&gt;0, "U",IF(COUNTIF('Tage Person1 Aus.'!$AE$3:$AI$100, BV30)&gt;0, "h", "")))</f>
        <v/>
      </c>
      <c r="BX30" s="8" t="str">
        <f>IF(COUNTIF('Tage Person2 Aus.2'!$V$3:$AA$100, BV30)&gt;0, "S",IF(COUNTIF('Tage Person2 Aus.2'!$A$3:$O$100, BV30)&gt;0, "U",IF(COUNTIF('Tage Person2 Aus.2'!$AE$3:$AI$100, BV30)&gt;0, "h", "")))</f>
        <v/>
      </c>
      <c r="BY30" s="8" t="str">
        <f>IF(COUNTIF('Tage Person3 Aus.3'!$V$3:$AA$100, BV30)&gt;0, "S",IF(COUNTIF('Tage Person3 Aus.3'!$A$3:$O$100, BV30)&gt;0, "U",IF(COUNTIF('Tage Person3 Aus.3'!$AE$3:$AI$100, BV30)&gt;0, "h", "")))</f>
        <v/>
      </c>
      <c r="BZ30" s="8" t="str">
        <f>IF(COUNTIF('Tage Person4 Aus.4'!$V$3:$AA$100, BV30)&gt;0, "S",IF(COUNTIF('Tage Person4 Aus.4'!$A$3:$O$100, BV30)&gt;0, "U",IF(COUNTIF('Tage Person4 Aus.4'!$AE$3:$AI$100, BV30)&gt;0, "h", "")))</f>
        <v/>
      </c>
      <c r="CA30" s="8" t="str">
        <f>IF(COUNTIF('Tage ferien Aus.'!$A$3:$O$100, BV30)&gt;0, "E", "")</f>
        <v/>
      </c>
      <c r="CB30" s="8" t="str">
        <f>IF(COUNTIF('Tage feiertage Aus.'!$A$3:$O$100, BV30)&gt;0, "f", "")</f>
        <v/>
      </c>
      <c r="CC30" s="7">
        <f t="shared" si="11"/>
        <v>46385</v>
      </c>
      <c r="CD30" s="10" t="str">
        <f>IF(COUNTIF('Tage Person1 Aus.'!$V$3:$AA$100, CC30)&gt;0, "S",IF(COUNTIF('Tage Person1 Aus.'!$A$3:$O$100, CC30)&gt;0, "U",IF(COUNTIF('Tage Person1 Aus.'!$AE$3:$AI$100, CC30)&gt;0, "h", "")))</f>
        <v/>
      </c>
      <c r="CE30" s="11" t="str">
        <f>IF(COUNTIF('Tage Person2 Aus.2'!$V$3:$AA$100, CC30)&gt;0, "S",IF(COUNTIF('Tage Person2 Aus.2'!$A$3:$O$100, CC30)&gt;0, "U",IF(COUNTIF('Tage Person2 Aus.2'!$AE$3:$AI$100, CC30)&gt;0, "h", "")))</f>
        <v/>
      </c>
      <c r="CF30" s="12" t="str">
        <f>IF(COUNTIF('Tage Person3 Aus.3'!$V$3:$AA$100, CC30)&gt;0, "S",IF(COUNTIF('Tage Person3 Aus.3'!$A$3:$O$100, CC30)&gt;0, "U",IF(COUNTIF('Tage Person3 Aus.3'!$AE$3:$AI$100, CC30)&gt;0, "h", "")))</f>
        <v/>
      </c>
      <c r="CG30" s="10" t="str">
        <f>IF(COUNTIF('Tage Person4 Aus.4'!$V$3:$AA$100, CC30)&gt;0, "S",IF(COUNTIF('Tage Person4 Aus.4'!$A$3:$O$100, CC30)&gt;0, "U",IF(COUNTIF('Tage Person4 Aus.4'!$AE$3:$AI$100, CC30)&gt;0, "h", "")))</f>
        <v/>
      </c>
      <c r="CH30" s="11" t="str">
        <f>IF(COUNTIF('Tage ferien Aus.'!$A$3:$O$100, CC30)&gt;0, "E", "")</f>
        <v>E</v>
      </c>
      <c r="CI30" s="12" t="str">
        <f>IF(COUNTIF('Tage feiertage Aus.'!$A$3:$O$100, CC30)&gt;0, "f", "")</f>
        <v/>
      </c>
      <c r="CJ30" s="4"/>
      <c r="CK30" s="4"/>
      <c r="CL30" s="6"/>
      <c r="CM30" s="4"/>
      <c r="CN30" s="2"/>
      <c r="CO30" s="3"/>
      <c r="CP30" s="4"/>
      <c r="CQ30" s="2"/>
      <c r="CR30" s="3"/>
      <c r="CS30" s="4"/>
      <c r="CT30" s="4"/>
      <c r="CU30" s="6"/>
      <c r="CV30" s="4"/>
      <c r="CW30" s="4"/>
      <c r="CX30" s="6"/>
      <c r="CY30" s="4"/>
    </row>
    <row r="31" spans="1:103" x14ac:dyDescent="0.3">
      <c r="A31" s="57"/>
      <c r="B31" s="58"/>
      <c r="C31" s="57"/>
      <c r="D31" s="7">
        <f t="shared" si="0"/>
        <v>46052</v>
      </c>
      <c r="E31" s="8" t="str">
        <f>IF(COUNTIF('Tage Person1 Aus.'!$V$3:$AA$100, D31)&gt;0, "S",IF(COUNTIF('Tage Person1 Aus.'!$A$3:$O$100, D31)&gt;0, "U",IF(COUNTIF('Tage Person1 Aus.'!$AE$3:$AI$100, D31)&gt;0, "h", "")))</f>
        <v/>
      </c>
      <c r="F31" s="8" t="str">
        <f>IF(COUNTIF('Tage Person2 Aus.2'!$V$3:$AA$100, D31)&gt;0, "S",IF(COUNTIF('Tage Person2 Aus.2'!$A$3:$O$100, D31)&gt;0, "U",IF(COUNTIF('Tage Person2 Aus.2'!$AE$3:$AI$100, D31)&gt;0, "h", "")))</f>
        <v/>
      </c>
      <c r="G31" s="8" t="str">
        <f>IF(COUNTIF('Tage Person3 Aus.3'!$V$3:$AA$100, D31)&gt;0, "S",IF(COUNTIF('Tage Person3 Aus.3'!$A$3:$O$100, D31)&gt;0, "U",IF(COUNTIF('Tage Person3 Aus.3'!$AE$3:$AI$100, D31)&gt;0, "h", "")))</f>
        <v/>
      </c>
      <c r="H31" s="8" t="str">
        <f>IF(COUNTIF('Tage Person4 Aus.4'!$V$3:$AA$100, D31)&gt;0, "S",IF(COUNTIF('Tage Person4 Aus.4'!$A$3:$O$100, D31)&gt;0, "U",IF(COUNTIF('Tage Person4 Aus.4'!$AE$3:$AI$100, D31)&gt;0, "h", "")))</f>
        <v/>
      </c>
      <c r="I31" s="8" t="str">
        <f>IF(COUNTIF('Tage ferien Aus.'!$A$3:$O$100, D31)&gt;0, "E", "")</f>
        <v/>
      </c>
      <c r="J31" s="8" t="str">
        <f>IF(COUNTIF('Tage feiertage Aus.'!$A$3:$O$100, D31)&gt;0, "f", "")</f>
        <v/>
      </c>
      <c r="K31" s="7">
        <f t="shared" si="1"/>
        <v>46083</v>
      </c>
      <c r="L31" s="8" t="str">
        <f>IF(COUNTIF('Tage Person1 Aus.'!$V$3:$AA$100, K31)&gt;0, "S",IF(COUNTIF('Tage Person1 Aus.'!$A$3:$O$100, K31)&gt;0, "U",IF(COUNTIF('Tage Person1 Aus.'!$AE$3:$AI$100, K31)&gt;0, "h", "")))</f>
        <v/>
      </c>
      <c r="M31" s="8" t="str">
        <f>IF(COUNTIF('Tage Person2 Aus.2'!$V$3:$AA$100, K31)&gt;0, "S",IF(COUNTIF('Tage Person2 Aus.2'!$A$3:$O$100, K31)&gt;0, "U",IF(COUNTIF('Tage Person2 Aus.2'!$AE$3:$AI$100, K31)&gt;0, "h", "")))</f>
        <v/>
      </c>
      <c r="N31" s="8" t="str">
        <f>IF(COUNTIF('Tage Person3 Aus.3'!$V$3:$AA$100, K31)&gt;0, "S",IF(COUNTIF('Tage Person3 Aus.3'!$A$3:$O$100, K31)&gt;0, "U",IF(COUNTIF('Tage Person3 Aus.3'!$AE$3:$AI$100, K31)&gt;0, "h", "")))</f>
        <v/>
      </c>
      <c r="O31" s="8" t="str">
        <f>IF(COUNTIF('Tage Person4 Aus.4'!$V$3:$AA$100, K31)&gt;0, "S",IF(COUNTIF('Tage Person4 Aus.4'!$A$3:$O$100, K31)&gt;0, "U",IF(COUNTIF('Tage Person4 Aus.4'!$AE$3:$AI$100, K31)&gt;0, "h", "")))</f>
        <v/>
      </c>
      <c r="P31" s="8" t="str">
        <f>IF(COUNTIF('Tage ferien Aus.'!$A$3:$O$100, K31)&gt;0, "E", "")</f>
        <v/>
      </c>
      <c r="Q31" s="8" t="str">
        <f>IF(COUNTIF('Tage feiertage Aus.'!$A$3:$O$100, K31)&gt;0, "f", "")</f>
        <v/>
      </c>
      <c r="R31" s="7">
        <f t="shared" si="2"/>
        <v>46111</v>
      </c>
      <c r="S31" s="8" t="str">
        <f>IF(COUNTIF('Tage Person1 Aus.'!$V$3:$AA$100, R31)&gt;0, "S",IF(COUNTIF('Tage Person1 Aus.'!$A$3:$O$100, R31)&gt;0, "U",IF(COUNTIF('Tage Person1 Aus.'!$AE$3:$AI$100, R31)&gt;0, "h", "")))</f>
        <v/>
      </c>
      <c r="T31" s="8" t="str">
        <f>IF(COUNTIF('Tage Person2 Aus.2'!$V$3:$AA$100, R31)&gt;0, "S",IF(COUNTIF('Tage Person2 Aus.2'!$A$3:$O$100, R31)&gt;0, "U",IF(COUNTIF('Tage Person2 Aus.2'!$AE$3:$AI$100, R31)&gt;0, "h", "")))</f>
        <v/>
      </c>
      <c r="U31" s="8" t="str">
        <f>IF(COUNTIF('Tage Person3 Aus.3'!$V$3:$AA$100, R31)&gt;0, "S",IF(COUNTIF('Tage Person3 Aus.3'!$A$3:$O$100, R31)&gt;0, "U",IF(COUNTIF('Tage Person3 Aus.3'!$AE$3:$AI$100, R31)&gt;0, "h", "")))</f>
        <v/>
      </c>
      <c r="V31" s="8" t="str">
        <f>IF(COUNTIF('Tage Person4 Aus.4'!$V$3:$AA$100, R31)&gt;0, "S",IF(COUNTIF('Tage Person4 Aus.4'!$A$3:$O$100, R31)&gt;0, "U",IF(COUNTIF('Tage Person4 Aus.4'!$AE$3:$AI$100, R31)&gt;0, "h", "")))</f>
        <v/>
      </c>
      <c r="W31" s="8" t="str">
        <f>IF(COUNTIF('Tage ferien Aus.'!$A$3:$O$100, R31)&gt;0, "E", "")</f>
        <v>E</v>
      </c>
      <c r="X31" s="8" t="str">
        <f>IF(COUNTIF('Tage feiertage Aus.'!$A$3:$O$100, R31)&gt;0, "f", "")</f>
        <v/>
      </c>
      <c r="Y31" s="7">
        <f t="shared" si="3"/>
        <v>46142</v>
      </c>
      <c r="Z31" s="8" t="str">
        <f>IF(COUNTIF('Tage Person1 Aus.'!$V$3:$AA$100, Y31)&gt;0, "S",IF(COUNTIF('Tage Person1 Aus.'!$A$3:$O$100, Y31)&gt;0, "U",IF(COUNTIF('Tage Person1 Aus.'!$AE$3:$AI$100, Y31)&gt;0, "h", "")))</f>
        <v/>
      </c>
      <c r="AA31" s="8" t="str">
        <f>IF(COUNTIF('Tage Person2 Aus.2'!$V$3:$AA$100, Y31)&gt;0, "S",IF(COUNTIF('Tage Person2 Aus.2'!$A$3:$O$100, Y31)&gt;0, "U",IF(COUNTIF('Tage Person2 Aus.2'!$AE$3:$AI$100, Y31)&gt;0, "h", "")))</f>
        <v/>
      </c>
      <c r="AB31" s="8" t="str">
        <f>IF(COUNTIF('Tage Person3 Aus.3'!$V$3:$AA$100, Y31)&gt;0, "S",IF(COUNTIF('Tage Person3 Aus.3'!$A$3:$O$100, Y31)&gt;0, "U",IF(COUNTIF('Tage Person3 Aus.3'!$AE$3:$AI$100, Y31)&gt;0, "h", "")))</f>
        <v/>
      </c>
      <c r="AC31" s="8" t="str">
        <f>IF(COUNTIF('Tage Person4 Aus.4'!$V$3:$AA$100, Y31)&gt;0, "S",IF(COUNTIF('Tage Person4 Aus.4'!$A$3:$O$100, Y31)&gt;0, "U",IF(COUNTIF('Tage Person4 Aus.4'!$AE$3:$AI$100, Y31)&gt;0, "h", "")))</f>
        <v/>
      </c>
      <c r="AD31" s="8" t="str">
        <f>IF(COUNTIF('Tage ferien Aus.'!$A$3:$O$100, Y31)&gt;0, "E", "")</f>
        <v/>
      </c>
      <c r="AE31" s="8" t="str">
        <f>IF(COUNTIF('Tage feiertage Aus.'!$A$3:$O$100, Y31)&gt;0, "f", "")</f>
        <v/>
      </c>
      <c r="AF31" s="7">
        <f t="shared" si="4"/>
        <v>46172</v>
      </c>
      <c r="AG31" s="9" t="str">
        <f>IF(COUNTIF('Tage Person1 Aus.'!$V$3:$AA$100, AF31)&gt;0, "S",IF(COUNTIF('Tage Person1 Aus.'!$A$3:$O$100, AF31)&gt;0, "U",IF(COUNTIF('Tage Person1 Aus.'!$AE$3:$AI$100, AF31)&gt;0, "h", "")))</f>
        <v/>
      </c>
      <c r="AH31" s="8" t="str">
        <f>IF(COUNTIF('Tage Person2 Aus.2'!$V$3:$AA$100, AF31)&gt;0, "S",IF(COUNTIF('Tage Person2 Aus.2'!$A$3:$O$100, AF31)&gt;0, "U",IF(COUNTIF('Tage Person2 Aus.2'!$AE$3:$AI$100, AF31)&gt;0, "h", "")))</f>
        <v/>
      </c>
      <c r="AI31" s="8" t="str">
        <f>IF(COUNTIF('Tage Person3 Aus.3'!$V$3:$AA$100, AF31)&gt;0, "S",IF(COUNTIF('Tage Person3 Aus.3'!$A$3:$O$100, AF31)&gt;0, "U",IF(COUNTIF('Tage Person3 Aus.3'!$AE$3:$AI$100, AF31)&gt;0, "h", "")))</f>
        <v/>
      </c>
      <c r="AJ31" s="8" t="str">
        <f>IF(COUNTIF('Tage Person4 Aus.4'!$V$3:$AA$100, AF31)&gt;0, "S",IF(COUNTIF('Tage Person4 Aus.4'!$A$3:$O$100, AF31)&gt;0, "U",IF(COUNTIF('Tage Person4 Aus.4'!$AE$3:$AI$100, AF31)&gt;0, "h", "")))</f>
        <v/>
      </c>
      <c r="AK31" s="8" t="str">
        <f>IF(COUNTIF('Tage ferien Aus.'!$A$3:$O$100, AF31)&gt;0, "E", "")</f>
        <v/>
      </c>
      <c r="AL31" s="8" t="str">
        <f>IF(COUNTIF('Tage feiertage Aus.'!$A$3:$O$100, AF31)&gt;0, "f", "")</f>
        <v/>
      </c>
      <c r="AM31" s="7">
        <f t="shared" si="5"/>
        <v>46203</v>
      </c>
      <c r="AN31" s="8" t="str">
        <f>IF(COUNTIF('Tage Person1 Aus.'!$V$3:$AA$100, AM31)&gt;0, "S",IF(COUNTIF('Tage Person1 Aus.'!$A$3:$O$100, AM31)&gt;0, "U",IF(COUNTIF('Tage Person1 Aus.'!$AE$3:$AI$100, AM31)&gt;0, "h", "")))</f>
        <v/>
      </c>
      <c r="AO31" s="8" t="str">
        <f>IF(COUNTIF('Tage Person2 Aus.2'!$V$3:$AA$100, AM31)&gt;0, "S",IF(COUNTIF('Tage Person2 Aus.2'!$A$3:$O$100, AM31)&gt;0, "U",IF(COUNTIF('Tage Person2 Aus.2'!$AE$3:$AI$100, AM31)&gt;0, "h", "")))</f>
        <v/>
      </c>
      <c r="AP31" s="8" t="str">
        <f>IF(COUNTIF('Tage Person3 Aus.3'!$V$3:$AA$100, AM31)&gt;0, "S",IF(COUNTIF('Tage Person3 Aus.3'!$A$3:$O$100, AM31)&gt;0, "U",IF(COUNTIF('Tage Person3 Aus.3'!$AE$3:$AI$100, AM31)&gt;0, "h", "")))</f>
        <v/>
      </c>
      <c r="AQ31" s="8" t="str">
        <f>IF(COUNTIF('Tage Person4 Aus.4'!$V$3:$AA$100, AM31)&gt;0, "S",IF(COUNTIF('Tage Person4 Aus.4'!$A$3:$O$100, AM31)&gt;0, "U",IF(COUNTIF('Tage Person4 Aus.4'!$AE$3:$AI$100, AM31)&gt;0, "h", "")))</f>
        <v/>
      </c>
      <c r="AR31" s="8" t="str">
        <f>IF(COUNTIF('Tage ferien Aus.'!$A$3:$O$100, AM31)&gt;0, "E", "")</f>
        <v/>
      </c>
      <c r="AS31" s="8" t="str">
        <f>IF(COUNTIF('Tage feiertage Aus.'!$A$3:$O$100, AM31)&gt;0, "f", "")</f>
        <v/>
      </c>
      <c r="AT31" s="7">
        <f t="shared" si="6"/>
        <v>46233</v>
      </c>
      <c r="AU31" s="8" t="str">
        <f>IF(COUNTIF('Tage Person1 Aus.'!$V$3:$AA$100, AT31)&gt;0, "S",IF(COUNTIF('Tage Person1 Aus.'!$A$3:$O$100, AT31)&gt;0, "U",IF(COUNTIF('Tage Person1 Aus.'!$AE$3:$AI$100, AT31)&gt;0, "h", "")))</f>
        <v/>
      </c>
      <c r="AV31" s="8" t="str">
        <f>IF(COUNTIF('Tage Person2 Aus.2'!$V$3:$AA$100, AT31)&gt;0, "S",IF(COUNTIF('Tage Person2 Aus.2'!$A$3:$O$100, AT31)&gt;0, "U",IF(COUNTIF('Tage Person2 Aus.2'!$AE$3:$AI$100, AT31)&gt;0, "h", "")))</f>
        <v/>
      </c>
      <c r="AW31" s="8" t="str">
        <f>IF(COUNTIF('Tage Person3 Aus.3'!$V$3:$AA$100, AT31)&gt;0, "S",IF(COUNTIF('Tage Person3 Aus.3'!$A$3:$O$100, AT31)&gt;0, "U",IF(COUNTIF('Tage Person3 Aus.3'!$AE$3:$AI$100, AT31)&gt;0, "h", "")))</f>
        <v/>
      </c>
      <c r="AX31" s="8" t="str">
        <f>IF(COUNTIF('Tage Person4 Aus.4'!$V$3:$AA$100, AT31)&gt;0, "S",IF(COUNTIF('Tage Person4 Aus.4'!$A$3:$O$100, AT31)&gt;0, "U",IF(COUNTIF('Tage Person4 Aus.4'!$AE$3:$AI$100, AT31)&gt;0, "h", "")))</f>
        <v/>
      </c>
      <c r="AY31" s="8" t="str">
        <f>IF(COUNTIF('Tage ferien Aus.'!$A$3:$O$100, AT31)&gt;0, "E", "")</f>
        <v>E</v>
      </c>
      <c r="AZ31" s="8" t="str">
        <f>IF(COUNTIF('Tage feiertage Aus.'!$A$3:$O$100, AT31)&gt;0, "f", "")</f>
        <v/>
      </c>
      <c r="BA31" s="7">
        <f t="shared" si="7"/>
        <v>46264</v>
      </c>
      <c r="BB31" s="8" t="str">
        <f>IF(COUNTIF('Tage Person1 Aus.'!$V$3:$AA$100, BA31)&gt;0, "S",IF(COUNTIF('Tage Person1 Aus.'!$A$3:$O$100, BA31)&gt;0, "U",IF(COUNTIF('Tage Person1 Aus.'!$AE$3:$AI$100, BA31)&gt;0, "h", "")))</f>
        <v/>
      </c>
      <c r="BC31" s="8" t="str">
        <f>IF(COUNTIF('Tage Person2 Aus.2'!$V$3:$AA$100, BA31)&gt;0, "S",IF(COUNTIF('Tage Person2 Aus.2'!$A$3:$O$100, BA31)&gt;0, "U",IF(COUNTIF('Tage Person2 Aus.2'!$AE$3:$AI$100, BA31)&gt;0, "h", "")))</f>
        <v/>
      </c>
      <c r="BD31" s="8" t="str">
        <f>IF(COUNTIF('Tage Person3 Aus.3'!$V$3:$AA$100, BA31)&gt;0, "S",IF(COUNTIF('Tage Person3 Aus.3'!$A$3:$O$100, BA31)&gt;0, "U",IF(COUNTIF('Tage Person3 Aus.3'!$AE$3:$AI$100, BA31)&gt;0, "h", "")))</f>
        <v/>
      </c>
      <c r="BE31" s="8" t="str">
        <f>IF(COUNTIF('Tage Person4 Aus.4'!$V$3:$AA$100, BA31)&gt;0, "S",IF(COUNTIF('Tage Person4 Aus.4'!$A$3:$O$100, BA31)&gt;0, "U",IF(COUNTIF('Tage Person4 Aus.4'!$AE$3:$AI$100, BA31)&gt;0, "h", "")))</f>
        <v/>
      </c>
      <c r="BF31" s="8" t="str">
        <f>IF(COUNTIF('Tage ferien Aus.'!$A$3:$O$100, BA31)&gt;0, "E", "")</f>
        <v>E</v>
      </c>
      <c r="BG31" s="8" t="str">
        <f>IF(COUNTIF('Tage feiertage Aus.'!$A$3:$O$100, BA31)&gt;0, "f", "")</f>
        <v/>
      </c>
      <c r="BH31" s="7">
        <f t="shared" si="8"/>
        <v>46295</v>
      </c>
      <c r="BI31" s="8" t="str">
        <f>IF(COUNTIF('Tage Person1 Aus.'!$V$3:$AA$100, BH31)&gt;0, "S",IF(COUNTIF('Tage Person1 Aus.'!$A$3:$O$100, BH31)&gt;0, "U",IF(COUNTIF('Tage Person1 Aus.'!$AE$3:$AI$100, BH31)&gt;0, "h", "")))</f>
        <v/>
      </c>
      <c r="BJ31" s="8" t="str">
        <f>IF(COUNTIF('Tage Person2 Aus.2'!$V$3:$AA$100, BH31)&gt;0, "S",IF(COUNTIF('Tage Person2 Aus.2'!$A$3:$O$100, BH31)&gt;0, "U",IF(COUNTIF('Tage Person2 Aus.2'!$AE$3:$AI$100, BH31)&gt;0, "h", "")))</f>
        <v/>
      </c>
      <c r="BK31" s="8" t="str">
        <f>IF(COUNTIF('Tage Person3 Aus.3'!$V$3:$AA$100, BH31)&gt;0, "S",IF(COUNTIF('Tage Person3 Aus.3'!$A$3:$O$100, BH31)&gt;0, "U",IF(COUNTIF('Tage Person3 Aus.3'!$AE$3:$AI$100, BH31)&gt;0, "h", "")))</f>
        <v/>
      </c>
      <c r="BL31" s="8" t="str">
        <f>IF(COUNTIF('Tage Person4 Aus.4'!$V$3:$AA$100, BH31)&gt;0, "S",IF(COUNTIF('Tage Person4 Aus.4'!$A$3:$O$100, BH31)&gt;0, "U",IF(COUNTIF('Tage Person4 Aus.4'!$AE$3:$AI$100, BH31)&gt;0, "h", "")))</f>
        <v/>
      </c>
      <c r="BM31" s="8" t="str">
        <f>IF(COUNTIF('Tage ferien Aus.'!$A$3:$O$100, BH31)&gt;0, "E", "")</f>
        <v/>
      </c>
      <c r="BN31" s="8" t="str">
        <f>IF(COUNTIF('Tage feiertage Aus.'!$A$3:$O$100, BH31)&gt;0, "f", "")</f>
        <v/>
      </c>
      <c r="BO31" s="7">
        <f t="shared" si="9"/>
        <v>46325</v>
      </c>
      <c r="BP31" s="8" t="str">
        <f>IF(COUNTIF('Tage Person1 Aus.'!$V$3:$AA$100, BO31)&gt;0, "S",IF(COUNTIF('Tage Person1 Aus.'!$A$3:$O$100, BO31)&gt;0, "U",IF(COUNTIF('Tage Person1 Aus.'!$AE$3:$AI$100, BO31)&gt;0, "h", "")))</f>
        <v/>
      </c>
      <c r="BQ31" s="8" t="str">
        <f>IF(COUNTIF('Tage Person2 Aus.2'!$V$3:$AA$100, BO31)&gt;0, "S",IF(COUNTIF('Tage Person2 Aus.2'!$A$3:$O$100, BO31)&gt;0, "U",IF(COUNTIF('Tage Person2 Aus.2'!$AE$3:$AI$100, BO31)&gt;0, "h", "")))</f>
        <v/>
      </c>
      <c r="BR31" s="8" t="str">
        <f>IF(COUNTIF('Tage Person3 Aus.3'!$V$3:$AA$100, BO31)&gt;0, "S",IF(COUNTIF('Tage Person3 Aus.3'!$A$3:$O$100, BO31)&gt;0, "U",IF(COUNTIF('Tage Person3 Aus.3'!$AE$3:$AI$100, BO31)&gt;0, "h", "")))</f>
        <v/>
      </c>
      <c r="BS31" s="8" t="str">
        <f>IF(COUNTIF('Tage Person4 Aus.4'!$V$3:$AA$100, BO31)&gt;0, "S",IF(COUNTIF('Tage Person4 Aus.4'!$A$3:$O$100, BO31)&gt;0, "U",IF(COUNTIF('Tage Person4 Aus.4'!$AE$3:$AI$100, BO31)&gt;0, "h", "")))</f>
        <v/>
      </c>
      <c r="BT31" s="8" t="str">
        <f>IF(COUNTIF('Tage ferien Aus.'!$A$3:$O$100, BO31)&gt;0, "E", "")</f>
        <v>E</v>
      </c>
      <c r="BU31" s="8" t="str">
        <f>IF(COUNTIF('Tage feiertage Aus.'!$A$3:$O$100, BO31)&gt;0, "f", "")</f>
        <v/>
      </c>
      <c r="BV31" s="7">
        <f t="shared" si="10"/>
        <v>46356</v>
      </c>
      <c r="BW31" s="8" t="str">
        <f>IF(COUNTIF('Tage Person1 Aus.'!$V$3:$AA$100, BV31)&gt;0, "S",IF(COUNTIF('Tage Person1 Aus.'!$A$3:$O$100, BV31)&gt;0, "U",IF(COUNTIF('Tage Person1 Aus.'!$AE$3:$AI$100, BV31)&gt;0, "h", "")))</f>
        <v/>
      </c>
      <c r="BX31" s="8" t="str">
        <f>IF(COUNTIF('Tage Person2 Aus.2'!$V$3:$AA$100, BV31)&gt;0, "S",IF(COUNTIF('Tage Person2 Aus.2'!$A$3:$O$100, BV31)&gt;0, "U",IF(COUNTIF('Tage Person2 Aus.2'!$AE$3:$AI$100, BV31)&gt;0, "h", "")))</f>
        <v/>
      </c>
      <c r="BY31" s="8" t="str">
        <f>IF(COUNTIF('Tage Person3 Aus.3'!$V$3:$AA$100, BV31)&gt;0, "S",IF(COUNTIF('Tage Person3 Aus.3'!$A$3:$O$100, BV31)&gt;0, "U",IF(COUNTIF('Tage Person3 Aus.3'!$AE$3:$AI$100, BV31)&gt;0, "h", "")))</f>
        <v/>
      </c>
      <c r="BZ31" s="8" t="str">
        <f>IF(COUNTIF('Tage Person4 Aus.4'!$V$3:$AA$100, BV31)&gt;0, "S",IF(COUNTIF('Tage Person4 Aus.4'!$A$3:$O$100, BV31)&gt;0, "U",IF(COUNTIF('Tage Person4 Aus.4'!$AE$3:$AI$100, BV31)&gt;0, "h", "")))</f>
        <v/>
      </c>
      <c r="CA31" s="8" t="str">
        <f>IF(COUNTIF('Tage ferien Aus.'!$A$3:$O$100, BV31)&gt;0, "E", "")</f>
        <v/>
      </c>
      <c r="CB31" s="8" t="str">
        <f>IF(COUNTIF('Tage feiertage Aus.'!$A$3:$O$100, BV31)&gt;0, "f", "")</f>
        <v/>
      </c>
      <c r="CC31" s="7">
        <f t="shared" si="11"/>
        <v>46386</v>
      </c>
      <c r="CD31" s="10" t="str">
        <f>IF(COUNTIF('Tage Person1 Aus.'!$V$3:$AA$100, CC31)&gt;0, "S",IF(COUNTIF('Tage Person1 Aus.'!$A$3:$O$100, CC31)&gt;0, "U",IF(COUNTIF('Tage Person1 Aus.'!$AE$3:$AI$100, CC31)&gt;0, "h", "")))</f>
        <v/>
      </c>
      <c r="CE31" s="11" t="str">
        <f>IF(COUNTIF('Tage Person2 Aus.2'!$V$3:$AA$100, CC31)&gt;0, "S",IF(COUNTIF('Tage Person2 Aus.2'!$A$3:$O$100, CC31)&gt;0, "U",IF(COUNTIF('Tage Person2 Aus.2'!$AE$3:$AI$100, CC31)&gt;0, "h", "")))</f>
        <v/>
      </c>
      <c r="CF31" s="12" t="str">
        <f>IF(COUNTIF('Tage Person3 Aus.3'!$V$3:$AA$100, CC31)&gt;0, "S",IF(COUNTIF('Tage Person3 Aus.3'!$A$3:$O$100, CC31)&gt;0, "U",IF(COUNTIF('Tage Person3 Aus.3'!$AE$3:$AI$100, CC31)&gt;0, "h", "")))</f>
        <v/>
      </c>
      <c r="CG31" s="10" t="str">
        <f>IF(COUNTIF('Tage Person4 Aus.4'!$V$3:$AA$100, CC31)&gt;0, "S",IF(COUNTIF('Tage Person4 Aus.4'!$A$3:$O$100, CC31)&gt;0, "U",IF(COUNTIF('Tage Person4 Aus.4'!$AE$3:$AI$100, CC31)&gt;0, "h", "")))</f>
        <v/>
      </c>
      <c r="CH31" s="11" t="str">
        <f>IF(COUNTIF('Tage ferien Aus.'!$A$3:$O$100, CC31)&gt;0, "E", "")</f>
        <v>E</v>
      </c>
      <c r="CI31" s="12" t="str">
        <f>IF(COUNTIF('Tage feiertage Aus.'!$A$3:$O$100, CC31)&gt;0, "f", "")</f>
        <v/>
      </c>
      <c r="CJ31" s="4"/>
      <c r="CK31" s="4"/>
      <c r="CL31" s="6"/>
      <c r="CM31" s="4"/>
      <c r="CN31" s="2"/>
      <c r="CO31" s="3"/>
      <c r="CP31" s="4"/>
      <c r="CQ31" s="2"/>
      <c r="CR31" s="3"/>
      <c r="CS31" s="4"/>
      <c r="CT31" s="4"/>
      <c r="CU31" s="6"/>
      <c r="CV31" s="4"/>
      <c r="CW31" s="4"/>
      <c r="CX31" s="6"/>
      <c r="CY31" s="4"/>
    </row>
    <row r="32" spans="1:103" x14ac:dyDescent="0.3">
      <c r="A32" s="57"/>
      <c r="B32" s="58"/>
      <c r="C32" s="57"/>
      <c r="D32" s="7">
        <f t="shared" si="0"/>
        <v>46053</v>
      </c>
      <c r="E32" s="8" t="str">
        <f>IF(COUNTIF('Tage Person1 Aus.'!$V$3:$AA$100, D32)&gt;0, "S",IF(COUNTIF('Tage Person1 Aus.'!$A$3:$O$100, D32)&gt;0, "U",IF(COUNTIF('Tage Person1 Aus.'!$AE$3:$AI$100, D32)&gt;0, "h", "")))</f>
        <v/>
      </c>
      <c r="F32" s="8" t="str">
        <f>IF(COUNTIF('Tage Person2 Aus.2'!$V$3:$AA$100, D32)&gt;0, "S",IF(COUNTIF('Tage Person2 Aus.2'!$A$3:$O$100, D32)&gt;0, "U",IF(COUNTIF('Tage Person2 Aus.2'!$AE$3:$AI$100, D32)&gt;0, "h", "")))</f>
        <v/>
      </c>
      <c r="G32" s="8" t="str">
        <f>IF(COUNTIF('Tage Person3 Aus.3'!$V$3:$AA$100, D32)&gt;0, "S",IF(COUNTIF('Tage Person3 Aus.3'!$A$3:$O$100, D32)&gt;0, "U",IF(COUNTIF('Tage Person3 Aus.3'!$AE$3:$AI$100, D32)&gt;0, "h", "")))</f>
        <v/>
      </c>
      <c r="H32" s="8" t="str">
        <f>IF(COUNTIF('Tage Person4 Aus.4'!$V$3:$AA$100, D32)&gt;0, "S",IF(COUNTIF('Tage Person4 Aus.4'!$A$3:$O$100, D32)&gt;0, "U",IF(COUNTIF('Tage Person4 Aus.4'!$AE$3:$AI$100, D32)&gt;0, "h", "")))</f>
        <v/>
      </c>
      <c r="I32" s="8" t="str">
        <f>IF(COUNTIF('Tage ferien Aus.'!$A$3:$O$100, D32)&gt;0, "E", "")</f>
        <v/>
      </c>
      <c r="J32" s="8" t="str">
        <f>IF(COUNTIF('Tage feiertage Aus.'!$A$3:$O$100, D32)&gt;0, "f", "")</f>
        <v/>
      </c>
      <c r="K32" s="7">
        <f t="shared" si="1"/>
        <v>46084</v>
      </c>
      <c r="L32" s="8" t="str">
        <f>IF(COUNTIF('Tage Person1 Aus.'!$V$3:$AA$100, K32)&gt;0, "S",IF(COUNTIF('Tage Person1 Aus.'!$A$3:$O$100, K32)&gt;0, "U",IF(COUNTIF('Tage Person1 Aus.'!$AE$3:$AI$100, K32)&gt;0, "h", "")))</f>
        <v/>
      </c>
      <c r="M32" s="8" t="str">
        <f>IF(COUNTIF('Tage Person2 Aus.2'!$V$3:$AA$100, K32)&gt;0, "S",IF(COUNTIF('Tage Person2 Aus.2'!$A$3:$O$100, K32)&gt;0, "U",IF(COUNTIF('Tage Person2 Aus.2'!$AE$3:$AI$100, K32)&gt;0, "h", "")))</f>
        <v/>
      </c>
      <c r="N32" s="8" t="str">
        <f>IF(COUNTIF('Tage Person3 Aus.3'!$V$3:$AA$100, K32)&gt;0, "S",IF(COUNTIF('Tage Person3 Aus.3'!$A$3:$O$100, K32)&gt;0, "U",IF(COUNTIF('Tage Person3 Aus.3'!$AE$3:$AI$100, K32)&gt;0, "h", "")))</f>
        <v/>
      </c>
      <c r="O32" s="8" t="str">
        <f>IF(COUNTIF('Tage Person4 Aus.4'!$V$3:$AA$100, K32)&gt;0, "S",IF(COUNTIF('Tage Person4 Aus.4'!$A$3:$O$100, K32)&gt;0, "U",IF(COUNTIF('Tage Person4 Aus.4'!$AE$3:$AI$100, K32)&gt;0, "h", "")))</f>
        <v/>
      </c>
      <c r="P32" s="8" t="str">
        <f>IF(COUNTIF('Tage ferien Aus.'!$A$3:$O$100, K32)&gt;0, "E", "")</f>
        <v/>
      </c>
      <c r="Q32" s="8" t="str">
        <f>IF(COUNTIF('Tage feiertage Aus.'!$A$3:$O$100, K32)&gt;0, "f", "")</f>
        <v/>
      </c>
      <c r="R32" s="7">
        <f t="shared" si="2"/>
        <v>46112</v>
      </c>
      <c r="S32" s="8" t="str">
        <f>IF(COUNTIF('Tage Person1 Aus.'!$V$3:$AA$100, R32)&gt;0, "S",IF(COUNTIF('Tage Person1 Aus.'!$A$3:$O$100, R32)&gt;0, "U",IF(COUNTIF('Tage Person1 Aus.'!$AE$3:$AI$100, R32)&gt;0, "h", "")))</f>
        <v/>
      </c>
      <c r="T32" s="8" t="str">
        <f>IF(COUNTIF('Tage Person2 Aus.2'!$V$3:$AA$100, R32)&gt;0, "S",IF(COUNTIF('Tage Person2 Aus.2'!$A$3:$O$100, R32)&gt;0, "U",IF(COUNTIF('Tage Person2 Aus.2'!$AE$3:$AI$100, R32)&gt;0, "h", "")))</f>
        <v/>
      </c>
      <c r="U32" s="8" t="str">
        <f>IF(COUNTIF('Tage Person3 Aus.3'!$V$3:$AA$100, R32)&gt;0, "S",IF(COUNTIF('Tage Person3 Aus.3'!$A$3:$O$100, R32)&gt;0, "U",IF(COUNTIF('Tage Person3 Aus.3'!$AE$3:$AI$100, R32)&gt;0, "h", "")))</f>
        <v/>
      </c>
      <c r="V32" s="8" t="str">
        <f>IF(COUNTIF('Tage Person4 Aus.4'!$V$3:$AA$100, R32)&gt;0, "S",IF(COUNTIF('Tage Person4 Aus.4'!$A$3:$O$100, R32)&gt;0, "U",IF(COUNTIF('Tage Person4 Aus.4'!$AE$3:$AI$100, R32)&gt;0, "h", "")))</f>
        <v/>
      </c>
      <c r="W32" s="8" t="str">
        <f>IF(COUNTIF('Tage ferien Aus.'!$A$3:$O$100, R32)&gt;0, "E", "")</f>
        <v>E</v>
      </c>
      <c r="X32" s="8" t="str">
        <f>IF(COUNTIF('Tage feiertage Aus.'!$A$3:$O$100, R32)&gt;0, "f", "")</f>
        <v/>
      </c>
      <c r="Y32" s="7">
        <f t="shared" si="3"/>
        <v>46143</v>
      </c>
      <c r="Z32" s="8" t="str">
        <f>IF(COUNTIF('Tage Person1 Aus.'!$V$3:$AA$100, Y32)&gt;0, "S",IF(COUNTIF('Tage Person1 Aus.'!$A$3:$O$100, Y32)&gt;0, "U",IF(COUNTIF('Tage Person1 Aus.'!$AE$3:$AI$100, Y32)&gt;0, "h", "")))</f>
        <v/>
      </c>
      <c r="AA32" s="8" t="str">
        <f>IF(COUNTIF('Tage Person2 Aus.2'!$V$3:$AA$100, Y32)&gt;0, "S",IF(COUNTIF('Tage Person2 Aus.2'!$A$3:$O$100, Y32)&gt;0, "U",IF(COUNTIF('Tage Person2 Aus.2'!$AE$3:$AI$100, Y32)&gt;0, "h", "")))</f>
        <v/>
      </c>
      <c r="AB32" s="8" t="str">
        <f>IF(COUNTIF('Tage Person3 Aus.3'!$V$3:$AA$100, Y32)&gt;0, "S",IF(COUNTIF('Tage Person3 Aus.3'!$A$3:$O$100, Y32)&gt;0, "U",IF(COUNTIF('Tage Person3 Aus.3'!$AE$3:$AI$100, Y32)&gt;0, "h", "")))</f>
        <v/>
      </c>
      <c r="AC32" s="8" t="str">
        <f>IF(COUNTIF('Tage Person4 Aus.4'!$V$3:$AA$100, Y32)&gt;0, "S",IF(COUNTIF('Tage Person4 Aus.4'!$A$3:$O$100, Y32)&gt;0, "U",IF(COUNTIF('Tage Person4 Aus.4'!$AE$3:$AI$100, Y32)&gt;0, "h", "")))</f>
        <v/>
      </c>
      <c r="AD32" s="8" t="str">
        <f>IF(COUNTIF('Tage ferien Aus.'!$A$3:$O$100, Y32)&gt;0, "E", "")</f>
        <v/>
      </c>
      <c r="AE32" s="8" t="str">
        <f>IF(COUNTIF('Tage feiertage Aus.'!$A$3:$O$100, Y32)&gt;0, "f", "")</f>
        <v>f</v>
      </c>
      <c r="AF32" s="7">
        <f t="shared" si="4"/>
        <v>46173</v>
      </c>
      <c r="AG32" s="9" t="str">
        <f>IF(COUNTIF('Tage Person1 Aus.'!$V$3:$AA$100, AF32)&gt;0, "S",IF(COUNTIF('Tage Person1 Aus.'!$A$3:$O$100, AF32)&gt;0, "U",IF(COUNTIF('Tage Person1 Aus.'!$AE$3:$AI$100, AF32)&gt;0, "h", "")))</f>
        <v/>
      </c>
      <c r="AH32" s="8" t="str">
        <f>IF(COUNTIF('Tage Person2 Aus.2'!$V$3:$AA$100, AF32)&gt;0, "S",IF(COUNTIF('Tage Person2 Aus.2'!$A$3:$O$100, AF32)&gt;0, "U",IF(COUNTIF('Tage Person2 Aus.2'!$AE$3:$AI$100, AF32)&gt;0, "h", "")))</f>
        <v/>
      </c>
      <c r="AI32" s="8" t="str">
        <f>IF(COUNTIF('Tage Person3 Aus.3'!$V$3:$AA$100, AF32)&gt;0, "S",IF(COUNTIF('Tage Person3 Aus.3'!$A$3:$O$100, AF32)&gt;0, "U",IF(COUNTIF('Tage Person3 Aus.3'!$AE$3:$AI$100, AF32)&gt;0, "h", "")))</f>
        <v/>
      </c>
      <c r="AJ32" s="8" t="str">
        <f>IF(COUNTIF('Tage Person4 Aus.4'!$V$3:$AA$100, AF32)&gt;0, "S",IF(COUNTIF('Tage Person4 Aus.4'!$A$3:$O$100, AF32)&gt;0, "U",IF(COUNTIF('Tage Person4 Aus.4'!$AE$3:$AI$100, AF32)&gt;0, "h", "")))</f>
        <v/>
      </c>
      <c r="AK32" s="8" t="str">
        <f>IF(COUNTIF('Tage ferien Aus.'!$A$3:$O$100, AF32)&gt;0, "E", "")</f>
        <v/>
      </c>
      <c r="AL32" s="8" t="str">
        <f>IF(COUNTIF('Tage feiertage Aus.'!$A$3:$O$100, AF32)&gt;0, "f", "")</f>
        <v/>
      </c>
      <c r="AM32" s="7">
        <f t="shared" si="5"/>
        <v>46204</v>
      </c>
      <c r="AN32" s="8" t="str">
        <f>IF(COUNTIF('Tage Person1 Aus.'!$V$3:$AA$100, AM32)&gt;0, "S",IF(COUNTIF('Tage Person1 Aus.'!$A$3:$O$100, AM32)&gt;0, "U",IF(COUNTIF('Tage Person1 Aus.'!$AE$3:$AI$100, AM32)&gt;0, "h", "")))</f>
        <v/>
      </c>
      <c r="AO32" s="8" t="str">
        <f>IF(COUNTIF('Tage Person2 Aus.2'!$V$3:$AA$100, AM32)&gt;0, "S",IF(COUNTIF('Tage Person2 Aus.2'!$A$3:$O$100, AM32)&gt;0, "U",IF(COUNTIF('Tage Person2 Aus.2'!$AE$3:$AI$100, AM32)&gt;0, "h", "")))</f>
        <v/>
      </c>
      <c r="AP32" s="8" t="str">
        <f>IF(COUNTIF('Tage Person3 Aus.3'!$V$3:$AA$100, AM32)&gt;0, "S",IF(COUNTIF('Tage Person3 Aus.3'!$A$3:$O$100, AM32)&gt;0, "U",IF(COUNTIF('Tage Person3 Aus.3'!$AE$3:$AI$100, AM32)&gt;0, "h", "")))</f>
        <v/>
      </c>
      <c r="AQ32" s="8" t="str">
        <f>IF(COUNTIF('Tage Person4 Aus.4'!$V$3:$AA$100, AM32)&gt;0, "S",IF(COUNTIF('Tage Person4 Aus.4'!$A$3:$O$100, AM32)&gt;0, "U",IF(COUNTIF('Tage Person4 Aus.4'!$AE$3:$AI$100, AM32)&gt;0, "h", "")))</f>
        <v/>
      </c>
      <c r="AR32" s="8" t="str">
        <f>IF(COUNTIF('Tage ferien Aus.'!$A$3:$O$100, AM32)&gt;0, "E", "")</f>
        <v/>
      </c>
      <c r="AS32" s="8" t="str">
        <f>IF(COUNTIF('Tage feiertage Aus.'!$A$3:$O$100, AM32)&gt;0, "f", "")</f>
        <v/>
      </c>
      <c r="AT32" s="7">
        <f t="shared" si="6"/>
        <v>46234</v>
      </c>
      <c r="AU32" s="8" t="str">
        <f>IF(COUNTIF('Tage Person1 Aus.'!$V$3:$AA$100, AT32)&gt;0, "S",IF(COUNTIF('Tage Person1 Aus.'!$A$3:$O$100, AT32)&gt;0, "U",IF(COUNTIF('Tage Person1 Aus.'!$AE$3:$AI$100, AT32)&gt;0, "h", "")))</f>
        <v/>
      </c>
      <c r="AV32" s="8" t="str">
        <f>IF(COUNTIF('Tage Person2 Aus.2'!$V$3:$AA$100, AT32)&gt;0, "S",IF(COUNTIF('Tage Person2 Aus.2'!$A$3:$O$100, AT32)&gt;0, "U",IF(COUNTIF('Tage Person2 Aus.2'!$AE$3:$AI$100, AT32)&gt;0, "h", "")))</f>
        <v/>
      </c>
      <c r="AW32" s="8" t="str">
        <f>IF(COUNTIF('Tage Person3 Aus.3'!$V$3:$AA$100, AT32)&gt;0, "S",IF(COUNTIF('Tage Person3 Aus.3'!$A$3:$O$100, AT32)&gt;0, "U",IF(COUNTIF('Tage Person3 Aus.3'!$AE$3:$AI$100, AT32)&gt;0, "h", "")))</f>
        <v/>
      </c>
      <c r="AX32" s="8" t="str">
        <f>IF(COUNTIF('Tage Person4 Aus.4'!$V$3:$AA$100, AT32)&gt;0, "S",IF(COUNTIF('Tage Person4 Aus.4'!$A$3:$O$100, AT32)&gt;0, "U",IF(COUNTIF('Tage Person4 Aus.4'!$AE$3:$AI$100, AT32)&gt;0, "h", "")))</f>
        <v/>
      </c>
      <c r="AY32" s="8" t="str">
        <f>IF(COUNTIF('Tage ferien Aus.'!$A$3:$O$100, AT32)&gt;0, "E", "")</f>
        <v>E</v>
      </c>
      <c r="AZ32" s="8" t="str">
        <f>IF(COUNTIF('Tage feiertage Aus.'!$A$3:$O$100, AT32)&gt;0, "f", "")</f>
        <v/>
      </c>
      <c r="BA32" s="7">
        <f t="shared" si="7"/>
        <v>46265</v>
      </c>
      <c r="BB32" s="8" t="str">
        <f>IF(COUNTIF('Tage Person1 Aus.'!$V$3:$AA$100, BA32)&gt;0, "S",IF(COUNTIF('Tage Person1 Aus.'!$A$3:$O$100, BA32)&gt;0, "U",IF(COUNTIF('Tage Person1 Aus.'!$AE$3:$AI$100, BA32)&gt;0, "h", "")))</f>
        <v/>
      </c>
      <c r="BC32" s="8" t="str">
        <f>IF(COUNTIF('Tage Person2 Aus.2'!$V$3:$AA$100, BA32)&gt;0, "S",IF(COUNTIF('Tage Person2 Aus.2'!$A$3:$O$100, BA32)&gt;0, "U",IF(COUNTIF('Tage Person2 Aus.2'!$AE$3:$AI$100, BA32)&gt;0, "h", "")))</f>
        <v/>
      </c>
      <c r="BD32" s="8" t="str">
        <f>IF(COUNTIF('Tage Person3 Aus.3'!$V$3:$AA$100, BA32)&gt;0, "S",IF(COUNTIF('Tage Person3 Aus.3'!$A$3:$O$100, BA32)&gt;0, "U",IF(COUNTIF('Tage Person3 Aus.3'!$AE$3:$AI$100, BA32)&gt;0, "h", "")))</f>
        <v/>
      </c>
      <c r="BE32" s="8" t="str">
        <f>IF(COUNTIF('Tage Person4 Aus.4'!$V$3:$AA$100, BA32)&gt;0, "S",IF(COUNTIF('Tage Person4 Aus.4'!$A$3:$O$100, BA32)&gt;0, "U",IF(COUNTIF('Tage Person4 Aus.4'!$AE$3:$AI$100, BA32)&gt;0, "h", "")))</f>
        <v/>
      </c>
      <c r="BF32" s="8" t="str">
        <f>IF(COUNTIF('Tage ferien Aus.'!$A$3:$O$100, BA32)&gt;0, "E", "")</f>
        <v>E</v>
      </c>
      <c r="BG32" s="8" t="str">
        <f>IF(COUNTIF('Tage feiertage Aus.'!$A$3:$O$100, BA32)&gt;0, "f", "")</f>
        <v/>
      </c>
      <c r="BH32" s="7">
        <f t="shared" si="8"/>
        <v>46296</v>
      </c>
      <c r="BI32" s="8" t="str">
        <f>IF(COUNTIF('Tage Person1 Aus.'!$V$3:$AA$100, BH32)&gt;0, "S",IF(COUNTIF('Tage Person1 Aus.'!$A$3:$O$100, BH32)&gt;0, "U",IF(COUNTIF('Tage Person1 Aus.'!$AE$3:$AI$100, BH32)&gt;0, "h", "")))</f>
        <v/>
      </c>
      <c r="BJ32" s="8" t="str">
        <f>IF(COUNTIF('Tage Person2 Aus.2'!$V$3:$AA$100, BH32)&gt;0, "S",IF(COUNTIF('Tage Person2 Aus.2'!$A$3:$O$100, BH32)&gt;0, "U",IF(COUNTIF('Tage Person2 Aus.2'!$AE$3:$AI$100, BH32)&gt;0, "h", "")))</f>
        <v/>
      </c>
      <c r="BK32" s="8" t="str">
        <f>IF(COUNTIF('Tage Person3 Aus.3'!$V$3:$AA$100, BH32)&gt;0, "S",IF(COUNTIF('Tage Person3 Aus.3'!$A$3:$O$100, BH32)&gt;0, "U",IF(COUNTIF('Tage Person3 Aus.3'!$AE$3:$AI$100, BH32)&gt;0, "h", "")))</f>
        <v/>
      </c>
      <c r="BL32" s="8" t="str">
        <f>IF(COUNTIF('Tage Person4 Aus.4'!$V$3:$AA$100, BH32)&gt;0, "S",IF(COUNTIF('Tage Person4 Aus.4'!$A$3:$O$100, BH32)&gt;0, "U",IF(COUNTIF('Tage Person4 Aus.4'!$AE$3:$AI$100, BH32)&gt;0, "h", "")))</f>
        <v/>
      </c>
      <c r="BM32" s="8" t="str">
        <f>IF(COUNTIF('Tage ferien Aus.'!$A$3:$O$100, BH32)&gt;0, "E", "")</f>
        <v/>
      </c>
      <c r="BN32" s="8" t="str">
        <f>IF(COUNTIF('Tage feiertage Aus.'!$A$3:$O$100, BH32)&gt;0, "f", "")</f>
        <v/>
      </c>
      <c r="BO32" s="7">
        <f t="shared" si="9"/>
        <v>46326</v>
      </c>
      <c r="BP32" s="8" t="str">
        <f>IF(COUNTIF('Tage Person1 Aus.'!$V$3:$AA$100, BO32)&gt;0, "S",IF(COUNTIF('Tage Person1 Aus.'!$A$3:$O$100, BO32)&gt;0, "U",IF(COUNTIF('Tage Person1 Aus.'!$AE$3:$AI$100, BO32)&gt;0, "h", "")))</f>
        <v/>
      </c>
      <c r="BQ32" s="8" t="str">
        <f>IF(COUNTIF('Tage Person2 Aus.2'!$V$3:$AA$100, BO32)&gt;0, "S",IF(COUNTIF('Tage Person2 Aus.2'!$A$3:$O$100, BO32)&gt;0, "U",IF(COUNTIF('Tage Person2 Aus.2'!$AE$3:$AI$100, BO32)&gt;0, "h", "")))</f>
        <v/>
      </c>
      <c r="BR32" s="8" t="str">
        <f>IF(COUNTIF('Tage Person3 Aus.3'!$V$3:$AA$100, BO32)&gt;0, "S",IF(COUNTIF('Tage Person3 Aus.3'!$A$3:$O$100, BO32)&gt;0, "U",IF(COUNTIF('Tage Person3 Aus.3'!$AE$3:$AI$100, BO32)&gt;0, "h", "")))</f>
        <v/>
      </c>
      <c r="BS32" s="8" t="str">
        <f>IF(COUNTIF('Tage Person4 Aus.4'!$V$3:$AA$100, BO32)&gt;0, "S",IF(COUNTIF('Tage Person4 Aus.4'!$A$3:$O$100, BO32)&gt;0, "U",IF(COUNTIF('Tage Person4 Aus.4'!$AE$3:$AI$100, BO32)&gt;0, "h", "")))</f>
        <v/>
      </c>
      <c r="BT32" s="8" t="str">
        <f>IF(COUNTIF('Tage ferien Aus.'!$A$3:$O$100, BO32)&gt;0, "E", "")</f>
        <v>E</v>
      </c>
      <c r="BU32" s="8" t="str">
        <f>IF(COUNTIF('Tage feiertage Aus.'!$A$3:$O$100, BO32)&gt;0, "f", "")</f>
        <v/>
      </c>
      <c r="BV32" s="7">
        <f t="shared" si="10"/>
        <v>46357</v>
      </c>
      <c r="BW32" s="8" t="str">
        <f>IF(COUNTIF('Tage Person1 Aus.'!$V$3:$AA$100, BV32)&gt;0, "S",IF(COUNTIF('Tage Person1 Aus.'!$A$3:$O$100, BV32)&gt;0, "U",IF(COUNTIF('Tage Person1 Aus.'!$AE$3:$AI$100, BV32)&gt;0, "h", "")))</f>
        <v/>
      </c>
      <c r="BX32" s="8" t="str">
        <f>IF(COUNTIF('Tage Person2 Aus.2'!$V$3:$AA$100, BV32)&gt;0, "S",IF(COUNTIF('Tage Person2 Aus.2'!$A$3:$O$100, BV32)&gt;0, "U",IF(COUNTIF('Tage Person2 Aus.2'!$AE$3:$AI$100, BV32)&gt;0, "h", "")))</f>
        <v/>
      </c>
      <c r="BY32" s="8" t="str">
        <f>IF(COUNTIF('Tage Person3 Aus.3'!$V$3:$AA$100, BV32)&gt;0, "S",IF(COUNTIF('Tage Person3 Aus.3'!$A$3:$O$100, BV32)&gt;0, "U",IF(COUNTIF('Tage Person3 Aus.3'!$AE$3:$AI$100, BV32)&gt;0, "h", "")))</f>
        <v/>
      </c>
      <c r="BZ32" s="8" t="str">
        <f>IF(COUNTIF('Tage Person4 Aus.4'!$V$3:$AA$100, BV32)&gt;0, "S",IF(COUNTIF('Tage Person4 Aus.4'!$A$3:$O$100, BV32)&gt;0, "U",IF(COUNTIF('Tage Person4 Aus.4'!$AE$3:$AI$100, BV32)&gt;0, "h", "")))</f>
        <v/>
      </c>
      <c r="CA32" s="8" t="str">
        <f>IF(COUNTIF('Tage ferien Aus.'!$A$3:$O$100, BV32)&gt;0, "E", "")</f>
        <v/>
      </c>
      <c r="CB32" s="8" t="str">
        <f>IF(COUNTIF('Tage feiertage Aus.'!$A$3:$O$100, BV32)&gt;0, "f", "")</f>
        <v/>
      </c>
      <c r="CC32" s="7">
        <f t="shared" si="11"/>
        <v>46387</v>
      </c>
      <c r="CD32" s="10" t="str">
        <f>IF(COUNTIF('Tage Person1 Aus.'!$V$3:$AA$100, CC32)&gt;0, "S",IF(COUNTIF('Tage Person1 Aus.'!$A$3:$O$100, CC32)&gt;0, "U",IF(COUNTIF('Tage Person1 Aus.'!$AE$3:$AI$100, CC32)&gt;0, "h", "")))</f>
        <v/>
      </c>
      <c r="CE32" s="11" t="str">
        <f>IF(COUNTIF('Tage Person2 Aus.2'!$V$3:$AA$100, CC32)&gt;0, "S",IF(COUNTIF('Tage Person2 Aus.2'!$A$3:$O$100, CC32)&gt;0, "U",IF(COUNTIF('Tage Person2 Aus.2'!$AE$3:$AI$100, CC32)&gt;0, "h", "")))</f>
        <v/>
      </c>
      <c r="CF32" s="12" t="str">
        <f>IF(COUNTIF('Tage Person3 Aus.3'!$V$3:$AA$100, CC32)&gt;0, "S",IF(COUNTIF('Tage Person3 Aus.3'!$A$3:$O$100, CC32)&gt;0, "U",IF(COUNTIF('Tage Person3 Aus.3'!$AE$3:$AI$100, CC32)&gt;0, "h", "")))</f>
        <v/>
      </c>
      <c r="CG32" s="10" t="str">
        <f>IF(COUNTIF('Tage Person4 Aus.4'!$V$3:$AA$100, CC32)&gt;0, "S",IF(COUNTIF('Tage Person4 Aus.4'!$A$3:$O$100, CC32)&gt;0, "U",IF(COUNTIF('Tage Person4 Aus.4'!$AE$3:$AI$100, CC32)&gt;0, "h", "")))</f>
        <v/>
      </c>
      <c r="CH32" s="11" t="str">
        <f>IF(COUNTIF('Tage ferien Aus.'!$A$3:$O$100, CC32)&gt;0, "E", "")</f>
        <v>E</v>
      </c>
      <c r="CI32" s="12" t="str">
        <f>IF(COUNTIF('Tage feiertage Aus.'!$A$3:$O$100, CC32)&gt;0, "f", "")</f>
        <v/>
      </c>
      <c r="CJ32" s="4"/>
      <c r="CK32" s="4"/>
      <c r="CL32" s="6"/>
      <c r="CM32" s="4"/>
      <c r="CN32" s="2"/>
      <c r="CO32" s="3"/>
      <c r="CP32" s="4"/>
      <c r="CQ32" s="2"/>
      <c r="CR32" s="3"/>
      <c r="CS32" s="4"/>
      <c r="CT32" s="4"/>
      <c r="CU32" s="6"/>
      <c r="CV32" s="2"/>
      <c r="CW32" s="2"/>
      <c r="CX32" s="6"/>
      <c r="CY32" s="4"/>
    </row>
    <row r="33" spans="4:24" x14ac:dyDescent="0.3">
      <c r="D33" s="1" t="str">
        <f>IF(ROW()-1&gt;DAY(DATE($C$1,COLUMN()-1,0)),"",DATE($C$1,COLUMN()-2,ROW()-1))</f>
        <v/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</sheetData>
  <sheetProtection password="CFF0" sheet="1" objects="1" scenarios="1"/>
  <mergeCells count="18">
    <mergeCell ref="A27:A32"/>
    <mergeCell ref="A1:B1"/>
    <mergeCell ref="A2:A8"/>
    <mergeCell ref="A9:A15"/>
    <mergeCell ref="A16:A20"/>
    <mergeCell ref="A21:A26"/>
    <mergeCell ref="C18:C20"/>
    <mergeCell ref="B18:B20"/>
    <mergeCell ref="B27:B32"/>
    <mergeCell ref="B21:B26"/>
    <mergeCell ref="C27:C32"/>
    <mergeCell ref="C21:C26"/>
    <mergeCell ref="C11:C17"/>
    <mergeCell ref="C7:C10"/>
    <mergeCell ref="B11:B17"/>
    <mergeCell ref="B7:B10"/>
    <mergeCell ref="B2:B6"/>
    <mergeCell ref="C2:C6"/>
  </mergeCells>
  <conditionalFormatting sqref="D2:J32">
    <cfRule type="expression" dxfId="179" priority="34">
      <formula>$H2="S"</formula>
    </cfRule>
    <cfRule type="expression" dxfId="178" priority="35">
      <formula>$G2="S"</formula>
    </cfRule>
    <cfRule type="expression" dxfId="177" priority="36">
      <formula>$E2="S"</formula>
    </cfRule>
    <cfRule type="expression" dxfId="176" priority="70">
      <formula>$F2="S"</formula>
    </cfRule>
    <cfRule type="expression" dxfId="175" priority="71">
      <formula>$G2="h"</formula>
    </cfRule>
    <cfRule type="expression" dxfId="174" priority="72">
      <formula>$F2="h"</formula>
    </cfRule>
    <cfRule type="expression" dxfId="173" priority="106">
      <formula>$H2="h"</formula>
    </cfRule>
    <cfRule type="expression" dxfId="172" priority="107">
      <formula>$E2="h"</formula>
    </cfRule>
    <cfRule type="expression" dxfId="171" priority="108">
      <formula>$E2="U"</formula>
    </cfRule>
    <cfRule type="expression" dxfId="170" priority="120">
      <formula>$H2="u"</formula>
    </cfRule>
    <cfRule type="expression" dxfId="169" priority="132">
      <formula>$G2="u"</formula>
    </cfRule>
    <cfRule type="expression" dxfId="168" priority="144">
      <formula>$F2="u"</formula>
    </cfRule>
    <cfRule type="expression" dxfId="167" priority="157">
      <formula>$J2="F"</formula>
    </cfRule>
    <cfRule type="expression" dxfId="166" priority="170">
      <formula>$I2="E"</formula>
    </cfRule>
    <cfRule type="expression" dxfId="165" priority="184">
      <formula>WEEKDAY($D2,2)&gt;5</formula>
    </cfRule>
  </conditionalFormatting>
  <conditionalFormatting sqref="K2:Q32">
    <cfRule type="expression" dxfId="164" priority="31">
      <formula>$O2="S"</formula>
    </cfRule>
    <cfRule type="expression" dxfId="163" priority="32">
      <formula>$N2="S"</formula>
    </cfRule>
    <cfRule type="expression" dxfId="162" priority="33">
      <formula>$M2="S"</formula>
    </cfRule>
    <cfRule type="expression" dxfId="161" priority="67">
      <formula>$L2="S"</formula>
    </cfRule>
    <cfRule type="expression" dxfId="160" priority="68">
      <formula>$N2="h"</formula>
    </cfRule>
    <cfRule type="expression" dxfId="159" priority="69">
      <formula>$M2="h"</formula>
    </cfRule>
    <cfRule type="expression" dxfId="158" priority="103">
      <formula>$O2="h"</formula>
    </cfRule>
    <cfRule type="expression" dxfId="157" priority="104">
      <formula>$L2="h"</formula>
    </cfRule>
    <cfRule type="expression" dxfId="156" priority="105">
      <formula>$L2="U"</formula>
    </cfRule>
    <cfRule type="expression" dxfId="155" priority="119">
      <formula>$O2="u"</formula>
    </cfRule>
    <cfRule type="expression" dxfId="154" priority="131">
      <formula>$N2="u"</formula>
    </cfRule>
    <cfRule type="expression" dxfId="153" priority="143">
      <formula>$M2="u"</formula>
    </cfRule>
    <cfRule type="expression" dxfId="152" priority="155">
      <formula>$Q2="F"</formula>
    </cfRule>
    <cfRule type="expression" dxfId="151" priority="156">
      <formula>$P2="E"</formula>
    </cfRule>
    <cfRule type="expression" dxfId="150" priority="182">
      <formula>WEEKDAY($K2,2)&gt;5</formula>
    </cfRule>
  </conditionalFormatting>
  <conditionalFormatting sqref="R2:X32">
    <cfRule type="expression" dxfId="149" priority="28">
      <formula>$V2="S"</formula>
    </cfRule>
    <cfRule type="expression" dxfId="148" priority="29">
      <formula>$U2="S"</formula>
    </cfRule>
    <cfRule type="expression" dxfId="147" priority="30">
      <formula>$T2="S"</formula>
    </cfRule>
    <cfRule type="expression" dxfId="146" priority="64">
      <formula>$S2="S"</formula>
    </cfRule>
    <cfRule type="expression" dxfId="145" priority="65">
      <formula>$U2="h"</formula>
    </cfRule>
    <cfRule type="expression" dxfId="144" priority="66">
      <formula>$T2="h"</formula>
    </cfRule>
    <cfRule type="expression" dxfId="143" priority="100">
      <formula>$V2="h"</formula>
    </cfRule>
    <cfRule type="expression" dxfId="142" priority="101">
      <formula>$S2="h"</formula>
    </cfRule>
    <cfRule type="expression" dxfId="141" priority="102">
      <formula>$S2="U"</formula>
    </cfRule>
    <cfRule type="expression" dxfId="140" priority="118">
      <formula>$V2="u"</formula>
    </cfRule>
    <cfRule type="expression" dxfId="139" priority="130">
      <formula>$U2="u"</formula>
    </cfRule>
    <cfRule type="expression" dxfId="138" priority="142">
      <formula>$T2="u"</formula>
    </cfRule>
    <cfRule type="expression" dxfId="137" priority="154">
      <formula>$X2="F"</formula>
    </cfRule>
    <cfRule type="expression" dxfId="136" priority="168">
      <formula>$W2="E"</formula>
    </cfRule>
    <cfRule type="expression" dxfId="135" priority="181">
      <formula>WEEKDAY($R2,2)&gt;5</formula>
    </cfRule>
  </conditionalFormatting>
  <conditionalFormatting sqref="Y2:AE32">
    <cfRule type="expression" dxfId="134" priority="25">
      <formula>$AC2="S"</formula>
    </cfRule>
    <cfRule type="expression" dxfId="133" priority="26">
      <formula>$AB2="S"</formula>
    </cfRule>
    <cfRule type="expression" dxfId="132" priority="27">
      <formula>$AA2="S"</formula>
    </cfRule>
    <cfRule type="expression" dxfId="131" priority="61">
      <formula>$Z2="S"</formula>
    </cfRule>
    <cfRule type="expression" dxfId="130" priority="62">
      <formula>$AA2="h"</formula>
    </cfRule>
    <cfRule type="expression" dxfId="129" priority="63">
      <formula>$AB2="h"</formula>
    </cfRule>
    <cfRule type="expression" dxfId="128" priority="97">
      <formula>$AC2="h"</formula>
    </cfRule>
    <cfRule type="expression" dxfId="127" priority="98">
      <formula>$Z2="h"</formula>
    </cfRule>
    <cfRule type="expression" dxfId="126" priority="99">
      <formula>$Z2="U"</formula>
    </cfRule>
    <cfRule type="expression" dxfId="125" priority="117">
      <formula>$AB2="u"</formula>
    </cfRule>
    <cfRule type="expression" dxfId="124" priority="129">
      <formula>$AC2="u"</formula>
    </cfRule>
    <cfRule type="expression" dxfId="123" priority="141">
      <formula>$AA2="u"</formula>
    </cfRule>
    <cfRule type="expression" dxfId="122" priority="153">
      <formula>$AE2="F"</formula>
    </cfRule>
    <cfRule type="expression" dxfId="121" priority="167">
      <formula>$AD2="E"</formula>
    </cfRule>
    <cfRule type="expression" dxfId="120" priority="180">
      <formula>WEEKDAY($Y2,2)&gt;5</formula>
    </cfRule>
  </conditionalFormatting>
  <conditionalFormatting sqref="AF2:AL32">
    <cfRule type="expression" dxfId="119" priority="22">
      <formula>$AJ2="S"</formula>
    </cfRule>
    <cfRule type="expression" dxfId="118" priority="23">
      <formula>$AI2="S"</formula>
    </cfRule>
    <cfRule type="expression" dxfId="117" priority="24">
      <formula>$AH2="S"</formula>
    </cfRule>
    <cfRule type="expression" dxfId="116" priority="58">
      <formula>$AG2="S"</formula>
    </cfRule>
    <cfRule type="expression" dxfId="115" priority="59">
      <formula>$AH2="h"</formula>
    </cfRule>
    <cfRule type="expression" dxfId="114" priority="60">
      <formula>$AI2="h"</formula>
    </cfRule>
    <cfRule type="expression" dxfId="113" priority="94">
      <formula>$AJ2="h"</formula>
    </cfRule>
    <cfRule type="expression" dxfId="112" priority="95">
      <formula>$AG2="h"</formula>
    </cfRule>
    <cfRule type="expression" dxfId="111" priority="96">
      <formula>$AG2="U"</formula>
    </cfRule>
    <cfRule type="expression" dxfId="110" priority="116">
      <formula>$AJ2="u"</formula>
    </cfRule>
    <cfRule type="expression" dxfId="109" priority="128">
      <formula>$AI2="u"</formula>
    </cfRule>
    <cfRule type="expression" dxfId="108" priority="140">
      <formula>$AH2="u"</formula>
    </cfRule>
    <cfRule type="expression" dxfId="107" priority="152">
      <formula>$AL2="F"</formula>
    </cfRule>
    <cfRule type="expression" dxfId="106" priority="166">
      <formula>$AK2="E"</formula>
    </cfRule>
    <cfRule type="expression" dxfId="105" priority="179">
      <formula>WEEKDAY($AF2,2)&gt;5</formula>
    </cfRule>
  </conditionalFormatting>
  <conditionalFormatting sqref="AM2:AS32">
    <cfRule type="expression" dxfId="104" priority="19">
      <formula>$AQ2="S"</formula>
    </cfRule>
    <cfRule type="expression" dxfId="103" priority="20">
      <formula>$AP2="S"</formula>
    </cfRule>
    <cfRule type="expression" dxfId="102" priority="21">
      <formula>$AO2="S"</formula>
    </cfRule>
    <cfRule type="expression" dxfId="101" priority="55">
      <formula>$AN2="S"</formula>
    </cfRule>
    <cfRule type="expression" dxfId="100" priority="56">
      <formula>$AO2="h"</formula>
    </cfRule>
    <cfRule type="expression" dxfId="99" priority="57">
      <formula>$AP2="h"</formula>
    </cfRule>
    <cfRule type="expression" dxfId="98" priority="91">
      <formula>$AQ2="h"</formula>
    </cfRule>
    <cfRule type="expression" dxfId="97" priority="92">
      <formula>$AN2="h"</formula>
    </cfRule>
    <cfRule type="expression" dxfId="96" priority="93">
      <formula>$AN2="U"</formula>
    </cfRule>
    <cfRule type="expression" dxfId="95" priority="115">
      <formula>$AQ2="u"</formula>
    </cfRule>
    <cfRule type="expression" dxfId="94" priority="127">
      <formula>$AP2="u"</formula>
    </cfRule>
    <cfRule type="expression" dxfId="93" priority="139">
      <formula>$AO2="u"</formula>
    </cfRule>
    <cfRule type="expression" dxfId="92" priority="151">
      <formula>$AS2="F"</formula>
    </cfRule>
    <cfRule type="expression" dxfId="91" priority="165">
      <formula>$AR2="E"</formula>
    </cfRule>
    <cfRule type="expression" dxfId="90" priority="178">
      <formula>WEEKDAY($AM2,2)&gt;5</formula>
    </cfRule>
  </conditionalFormatting>
  <conditionalFormatting sqref="AT2:AZ32">
    <cfRule type="expression" dxfId="89" priority="16">
      <formula>$AX2="S"</formula>
    </cfRule>
    <cfRule type="expression" dxfId="88" priority="17">
      <formula>$AW2="S"</formula>
    </cfRule>
    <cfRule type="expression" dxfId="87" priority="18">
      <formula>$AV2="S"</formula>
    </cfRule>
    <cfRule type="expression" dxfId="86" priority="52">
      <formula>$AU2="S"</formula>
    </cfRule>
    <cfRule type="expression" dxfId="85" priority="53">
      <formula>$AV2="h"</formula>
    </cfRule>
    <cfRule type="expression" dxfId="84" priority="54">
      <formula>$AW2="h"</formula>
    </cfRule>
    <cfRule type="expression" dxfId="83" priority="88">
      <formula>$AU2="h"</formula>
    </cfRule>
    <cfRule type="expression" dxfId="82" priority="89">
      <formula>$AX2="h"</formula>
    </cfRule>
    <cfRule type="expression" dxfId="81" priority="90">
      <formula>$AU2="U"</formula>
    </cfRule>
    <cfRule type="expression" dxfId="80" priority="114">
      <formula>$AX2="u"</formula>
    </cfRule>
    <cfRule type="expression" dxfId="79" priority="126">
      <formula>$AW2="u"</formula>
    </cfRule>
    <cfRule type="expression" dxfId="78" priority="138">
      <formula>$AV2="u"</formula>
    </cfRule>
    <cfRule type="expression" dxfId="77" priority="150">
      <formula>$AZ2="F"</formula>
    </cfRule>
    <cfRule type="expression" dxfId="76" priority="164">
      <formula>$AY2="E"</formula>
    </cfRule>
    <cfRule type="expression" dxfId="75" priority="177">
      <formula>WEEKDAY($AT2,2)&gt;5</formula>
    </cfRule>
  </conditionalFormatting>
  <conditionalFormatting sqref="BA2:BG32">
    <cfRule type="expression" dxfId="74" priority="13">
      <formula>$BE2="S"</formula>
    </cfRule>
    <cfRule type="expression" dxfId="73" priority="14">
      <formula>$BD2="S"</formula>
    </cfRule>
    <cfRule type="expression" dxfId="72" priority="15">
      <formula>$BC2="S"</formula>
    </cfRule>
    <cfRule type="expression" dxfId="71" priority="49">
      <formula>$BB2="S"</formula>
    </cfRule>
    <cfRule type="expression" dxfId="70" priority="50">
      <formula>$BD2="h"</formula>
    </cfRule>
    <cfRule type="expression" dxfId="69" priority="51">
      <formula>$BE2="h"</formula>
    </cfRule>
    <cfRule type="expression" dxfId="68" priority="85">
      <formula>$BC2="h"</formula>
    </cfRule>
    <cfRule type="expression" dxfId="67" priority="86">
      <formula>$BB2="h"</formula>
    </cfRule>
    <cfRule type="expression" dxfId="66" priority="87">
      <formula>$BB2="U"</formula>
    </cfRule>
    <cfRule type="expression" dxfId="65" priority="113">
      <formula>$BE2="u"</formula>
    </cfRule>
    <cfRule type="expression" dxfId="64" priority="125">
      <formula>$BD2="u"</formula>
    </cfRule>
    <cfRule type="expression" dxfId="63" priority="137">
      <formula>$BC2="u"</formula>
    </cfRule>
    <cfRule type="expression" dxfId="62" priority="149">
      <formula>$BG2="F"</formula>
    </cfRule>
    <cfRule type="expression" dxfId="61" priority="163">
      <formula>$BF2="E"</formula>
    </cfRule>
    <cfRule type="expression" dxfId="60" priority="176">
      <formula>WEEKDAY($BA2,2)&gt;5</formula>
    </cfRule>
  </conditionalFormatting>
  <conditionalFormatting sqref="BH2:BN32">
    <cfRule type="expression" dxfId="59" priority="10">
      <formula>$BL2="S"</formula>
    </cfRule>
    <cfRule type="expression" dxfId="58" priority="11">
      <formula>$BK2="S"</formula>
    </cfRule>
    <cfRule type="expression" dxfId="57" priority="12">
      <formula>$BJ2="S"</formula>
    </cfRule>
    <cfRule type="expression" dxfId="56" priority="46">
      <formula>$BI2="S"</formula>
    </cfRule>
    <cfRule type="expression" dxfId="55" priority="47">
      <formula>$BJ2="h"</formula>
    </cfRule>
    <cfRule type="expression" dxfId="54" priority="48">
      <formula>$BK2="h"</formula>
    </cfRule>
    <cfRule type="expression" dxfId="53" priority="82">
      <formula>$BL2="h"</formula>
    </cfRule>
    <cfRule type="expression" dxfId="52" priority="83">
      <formula>$BI2="h"</formula>
    </cfRule>
    <cfRule type="expression" dxfId="51" priority="84">
      <formula>$BI2="U"</formula>
    </cfRule>
    <cfRule type="expression" dxfId="50" priority="112">
      <formula>$BL2="u"</formula>
    </cfRule>
    <cfRule type="expression" dxfId="49" priority="124">
      <formula>$BK2="u"</formula>
    </cfRule>
    <cfRule type="expression" dxfId="48" priority="136">
      <formula>$BJ2="u"</formula>
    </cfRule>
    <cfRule type="expression" dxfId="47" priority="148">
      <formula>$BN2="F"</formula>
    </cfRule>
    <cfRule type="expression" dxfId="46" priority="162">
      <formula>$BM2="E"</formula>
    </cfRule>
    <cfRule type="expression" dxfId="45" priority="175">
      <formula>WEEKDAY($BH2,2)&gt;5</formula>
    </cfRule>
  </conditionalFormatting>
  <conditionalFormatting sqref="BO2:BU32">
    <cfRule type="expression" dxfId="44" priority="7">
      <formula>$BS2="S"</formula>
    </cfRule>
    <cfRule type="expression" dxfId="43" priority="8">
      <formula>$BR2="S"</formula>
    </cfRule>
    <cfRule type="expression" dxfId="42" priority="9">
      <formula>$BQ2="S"</formula>
    </cfRule>
    <cfRule type="expression" dxfId="41" priority="43">
      <formula>$BP2="S"</formula>
    </cfRule>
    <cfRule type="expression" dxfId="40" priority="44">
      <formula>$BQ2="h"</formula>
    </cfRule>
    <cfRule type="expression" dxfId="39" priority="45">
      <formula>$BR2="h"</formula>
    </cfRule>
    <cfRule type="expression" dxfId="38" priority="79">
      <formula>$BS2="h"</formula>
    </cfRule>
    <cfRule type="expression" dxfId="37" priority="80">
      <formula>$BP2="h"</formula>
    </cfRule>
    <cfRule type="expression" dxfId="36" priority="81">
      <formula>$BP2="U"</formula>
    </cfRule>
    <cfRule type="expression" dxfId="35" priority="111">
      <formula>$BS2="u"</formula>
    </cfRule>
    <cfRule type="expression" dxfId="34" priority="123">
      <formula>$BR2="u"</formula>
    </cfRule>
    <cfRule type="expression" dxfId="33" priority="135">
      <formula>$BQ2="u"</formula>
    </cfRule>
    <cfRule type="expression" dxfId="32" priority="147">
      <formula>$BU2="F"</formula>
    </cfRule>
    <cfRule type="expression" dxfId="31" priority="161">
      <formula>$BT2="E"</formula>
    </cfRule>
    <cfRule type="expression" dxfId="30" priority="174">
      <formula>WEEKDAY($BO2,2)&gt;5</formula>
    </cfRule>
  </conditionalFormatting>
  <conditionalFormatting sqref="BV2:CB32">
    <cfRule type="expression" dxfId="29" priority="4">
      <formula>$BZ2="S"</formula>
    </cfRule>
    <cfRule type="expression" dxfId="28" priority="5">
      <formula>$BY2="S"</formula>
    </cfRule>
    <cfRule type="expression" dxfId="27" priority="6">
      <formula>$BX2="S"</formula>
    </cfRule>
    <cfRule type="expression" dxfId="26" priority="40">
      <formula>$BW2="S"</formula>
    </cfRule>
    <cfRule type="expression" dxfId="25" priority="41">
      <formula>$BX2="h"</formula>
    </cfRule>
    <cfRule type="expression" dxfId="24" priority="42">
      <formula>$BY2="h"</formula>
    </cfRule>
    <cfRule type="expression" dxfId="23" priority="76">
      <formula>$BZ2="h"</formula>
    </cfRule>
    <cfRule type="expression" dxfId="22" priority="77">
      <formula>$BW2="h"</formula>
    </cfRule>
    <cfRule type="expression" dxfId="21" priority="78">
      <formula>$BW2="U"</formula>
    </cfRule>
    <cfRule type="expression" dxfId="20" priority="110">
      <formula>$BZ2="u"</formula>
    </cfRule>
    <cfRule type="expression" dxfId="19" priority="122">
      <formula>$BY2="u"</formula>
    </cfRule>
    <cfRule type="expression" dxfId="18" priority="134">
      <formula>$BX2="u"</formula>
    </cfRule>
    <cfRule type="expression" dxfId="17" priority="146">
      <formula>$CB2="F"</formula>
    </cfRule>
    <cfRule type="expression" dxfId="16" priority="160">
      <formula>$CA2="E"</formula>
    </cfRule>
    <cfRule type="expression" dxfId="15" priority="173">
      <formula>WEEKDAY($BV2,2)&gt;5</formula>
    </cfRule>
  </conditionalFormatting>
  <conditionalFormatting sqref="CC2:CI32">
    <cfRule type="expression" dxfId="14" priority="1">
      <formula>$CG2="S"</formula>
    </cfRule>
    <cfRule type="expression" dxfId="13" priority="2">
      <formula>$CF2="S"</formula>
    </cfRule>
    <cfRule type="expression" dxfId="12" priority="3">
      <formula>$CE2="S"</formula>
    </cfRule>
    <cfRule type="expression" dxfId="11" priority="37">
      <formula>$CD2="S"</formula>
    </cfRule>
    <cfRule type="expression" dxfId="10" priority="38">
      <formula>$CE2="h"</formula>
    </cfRule>
    <cfRule type="expression" dxfId="9" priority="39">
      <formula>$CG2="h"</formula>
    </cfRule>
    <cfRule type="expression" dxfId="8" priority="73">
      <formula>$CF2="h"</formula>
    </cfRule>
    <cfRule type="expression" dxfId="7" priority="74">
      <formula>$CD2="h"</formula>
    </cfRule>
    <cfRule type="expression" dxfId="6" priority="75">
      <formula>$CD2="U"</formula>
    </cfRule>
    <cfRule type="expression" dxfId="5" priority="109">
      <formula>$CG2="u"</formula>
    </cfRule>
    <cfRule type="expression" dxfId="4" priority="121">
      <formula>$CF2="u"</formula>
    </cfRule>
    <cfRule type="expression" dxfId="3" priority="133">
      <formula>$CE2="u"</formula>
    </cfRule>
    <cfRule type="expression" dxfId="2" priority="145">
      <formula>$CI2="F"</formula>
    </cfRule>
    <cfRule type="expression" dxfId="1" priority="159">
      <formula>$CH2="E"</formula>
    </cfRule>
    <cfRule type="expression" dxfId="0" priority="172">
      <formula>WEEKDAY($CC2,2)&gt;5</formula>
    </cfRule>
  </conditionalFormatting>
  <pageMargins left="0.70866141732283472" right="0.70866141732283472" top="0.78740157480314965" bottom="0.78740157480314965" header="0.31496062992125984" footer="0.31496062992125984"/>
  <pageSetup paperSize="9" orientation="landscape" horizontalDpi="300" verticalDpi="300" r:id="rId1"/>
  <colBreaks count="1" manualBreakCount="1">
    <brk id="4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B51D9-2507-4491-A63D-FC3B8B3A618B}">
  <sheetPr codeName="Tabelle13"/>
  <dimension ref="A1"/>
  <sheetViews>
    <sheetView workbookViewId="0">
      <selection activeCell="C10" sqref="C10"/>
    </sheetView>
  </sheetViews>
  <sheetFormatPr baseColWidth="10" defaultRowHeight="14.4" x14ac:dyDescent="0.3"/>
  <cols>
    <col min="1" max="1" width="21.21875" customWidth="1"/>
  </cols>
  <sheetData>
    <row r="1" spans="1:1" x14ac:dyDescent="0.3">
      <c r="A1" s="49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EC95A-D5AC-415A-B2D8-D33211F7A6F5}">
  <sheetPr codeName="Tabelle14"/>
  <dimension ref="A1:J17"/>
  <sheetViews>
    <sheetView tabSelected="1" workbookViewId="0">
      <selection activeCell="F16" sqref="F16"/>
    </sheetView>
  </sheetViews>
  <sheetFormatPr baseColWidth="10" defaultRowHeight="14.4" x14ac:dyDescent="0.3"/>
  <sheetData>
    <row r="1" spans="1:10" x14ac:dyDescent="0.3">
      <c r="A1" s="68" t="s">
        <v>51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x14ac:dyDescent="0.3">
      <c r="A2" s="69"/>
      <c r="B2" s="69"/>
      <c r="C2" s="68"/>
      <c r="D2" s="68"/>
      <c r="E2" s="68"/>
      <c r="F2" s="68"/>
      <c r="G2" s="68"/>
      <c r="H2" s="68"/>
      <c r="I2" s="68"/>
      <c r="J2" s="68"/>
    </row>
    <row r="3" spans="1:10" x14ac:dyDescent="0.3">
      <c r="A3" s="68"/>
      <c r="B3" s="68"/>
      <c r="C3" s="68"/>
      <c r="D3" s="68"/>
      <c r="E3" s="68"/>
      <c r="F3" s="68"/>
      <c r="G3" s="68"/>
      <c r="H3" s="68"/>
      <c r="I3" s="68"/>
      <c r="J3" s="68"/>
    </row>
    <row r="4" spans="1:10" x14ac:dyDescent="0.3">
      <c r="A4" s="68"/>
      <c r="B4" s="68"/>
      <c r="C4" s="68"/>
      <c r="D4" s="68"/>
      <c r="E4" s="68"/>
      <c r="F4" s="68"/>
      <c r="G4" s="68"/>
      <c r="H4" s="68"/>
      <c r="I4" s="68"/>
      <c r="J4" s="68"/>
    </row>
    <row r="5" spans="1:10" x14ac:dyDescent="0.3">
      <c r="A5" s="68"/>
      <c r="B5" s="68"/>
      <c r="C5" s="68"/>
      <c r="D5" s="68"/>
      <c r="E5" s="68"/>
      <c r="F5" s="68"/>
      <c r="G5" s="68"/>
      <c r="H5" s="68"/>
      <c r="I5" s="68"/>
      <c r="J5" s="68"/>
    </row>
    <row r="6" spans="1:10" x14ac:dyDescent="0.3">
      <c r="A6" s="68"/>
      <c r="B6" s="68"/>
      <c r="C6" s="68"/>
      <c r="D6" s="68"/>
      <c r="E6" s="68"/>
      <c r="F6" s="68"/>
      <c r="G6" s="68"/>
      <c r="H6" s="68"/>
      <c r="I6" s="68"/>
      <c r="J6" s="68"/>
    </row>
    <row r="7" spans="1:10" x14ac:dyDescent="0.3">
      <c r="A7" s="68"/>
      <c r="B7" s="68"/>
      <c r="C7" s="68"/>
      <c r="D7" s="68"/>
      <c r="E7" s="68"/>
      <c r="F7" s="68"/>
      <c r="G7" s="68"/>
      <c r="H7" s="68"/>
      <c r="I7" s="68"/>
      <c r="J7" s="68"/>
    </row>
    <row r="8" spans="1:10" x14ac:dyDescent="0.3">
      <c r="A8" s="68"/>
      <c r="B8" s="68"/>
      <c r="C8" s="68"/>
      <c r="D8" s="68"/>
      <c r="E8" s="68"/>
      <c r="F8" s="68"/>
      <c r="G8" s="68"/>
      <c r="H8" s="68"/>
      <c r="I8" s="68"/>
      <c r="J8" s="68"/>
    </row>
    <row r="9" spans="1:10" x14ac:dyDescent="0.3">
      <c r="A9" s="68"/>
      <c r="B9" s="68"/>
      <c r="C9" s="68"/>
      <c r="D9" s="68"/>
      <c r="E9" s="68"/>
      <c r="F9" s="68"/>
      <c r="G9" s="68"/>
      <c r="H9" s="68"/>
      <c r="I9" s="68"/>
      <c r="J9" s="68"/>
    </row>
    <row r="10" spans="1:10" x14ac:dyDescent="0.3">
      <c r="A10" s="68"/>
      <c r="B10" s="68"/>
      <c r="C10" s="68"/>
      <c r="D10" s="68"/>
      <c r="E10" s="68"/>
      <c r="F10" s="68"/>
      <c r="G10" s="68"/>
      <c r="H10" s="68"/>
      <c r="I10" s="68"/>
      <c r="J10" s="68"/>
    </row>
    <row r="11" spans="1:10" x14ac:dyDescent="0.3">
      <c r="A11" s="68"/>
      <c r="B11" s="68"/>
      <c r="C11" s="68"/>
      <c r="D11" s="68"/>
      <c r="E11" s="68"/>
      <c r="F11" s="68"/>
      <c r="G11" s="68"/>
      <c r="H11" s="68"/>
      <c r="I11" s="68"/>
      <c r="J11" s="68"/>
    </row>
    <row r="12" spans="1:10" x14ac:dyDescent="0.3">
      <c r="A12" s="68"/>
      <c r="B12" s="68"/>
      <c r="C12" s="68"/>
      <c r="D12" s="68"/>
      <c r="E12" s="68"/>
      <c r="F12" s="68"/>
      <c r="G12" s="68"/>
      <c r="H12" s="68"/>
      <c r="I12" s="68"/>
      <c r="J12" s="68"/>
    </row>
    <row r="13" spans="1:10" x14ac:dyDescent="0.3">
      <c r="A13" s="68"/>
      <c r="B13" s="68"/>
      <c r="C13" s="68"/>
      <c r="D13" s="68"/>
      <c r="E13" s="68"/>
      <c r="F13" s="68"/>
      <c r="G13" s="68"/>
      <c r="H13" s="68"/>
      <c r="I13" s="68"/>
      <c r="J13" s="68"/>
    </row>
    <row r="14" spans="1:10" x14ac:dyDescent="0.3">
      <c r="A14" s="68"/>
      <c r="B14" s="68"/>
      <c r="C14" s="68"/>
      <c r="D14" s="68"/>
      <c r="E14" s="68"/>
      <c r="F14" s="68"/>
      <c r="G14" s="68"/>
      <c r="H14" s="68"/>
      <c r="I14" s="68"/>
      <c r="J14" s="68"/>
    </row>
    <row r="15" spans="1:10" x14ac:dyDescent="0.3">
      <c r="A15" s="51"/>
      <c r="B15" s="51"/>
      <c r="C15" s="51"/>
      <c r="D15" s="51"/>
      <c r="E15" s="51"/>
      <c r="F15" s="51"/>
      <c r="G15" s="51"/>
      <c r="H15" s="51"/>
      <c r="I15" s="51"/>
      <c r="J15" s="51"/>
    </row>
    <row r="16" spans="1:10" x14ac:dyDescent="0.3">
      <c r="A16" s="51"/>
      <c r="B16" s="51"/>
      <c r="C16" s="51"/>
      <c r="D16" s="51"/>
      <c r="E16" s="51"/>
      <c r="F16" s="51"/>
      <c r="G16" s="51"/>
      <c r="H16" s="51"/>
      <c r="I16" s="51"/>
      <c r="J16" s="51"/>
    </row>
    <row r="17" spans="1:10" x14ac:dyDescent="0.3">
      <c r="A17" s="51"/>
      <c r="B17" s="51"/>
      <c r="C17" s="51"/>
      <c r="D17" s="51"/>
      <c r="E17" s="51"/>
      <c r="F17" s="51"/>
      <c r="G17" s="51"/>
      <c r="H17" s="51"/>
      <c r="I17" s="51"/>
      <c r="J17" s="51"/>
    </row>
  </sheetData>
  <mergeCells count="1">
    <mergeCell ref="A1:J14"/>
  </mergeCells>
  <pageMargins left="0.7" right="0.7" top="0.78740157499999996" bottom="0.78740157499999996" header="0.3" footer="0.3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14898-7CF7-4EB5-A734-153C45B194A5}">
  <sheetPr codeName="Tabelle15"/>
  <dimension ref="A1:AC330"/>
  <sheetViews>
    <sheetView workbookViewId="0">
      <selection activeCell="O3" sqref="O3:O178"/>
    </sheetView>
  </sheetViews>
  <sheetFormatPr baseColWidth="10" defaultRowHeight="14.4" x14ac:dyDescent="0.3"/>
  <cols>
    <col min="1" max="1" width="13.21875" bestFit="1" customWidth="1"/>
  </cols>
  <sheetData>
    <row r="1" spans="1:29" x14ac:dyDescent="0.3">
      <c r="A1" t="s">
        <v>10</v>
      </c>
    </row>
    <row r="2" spans="1:29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</row>
    <row r="3" spans="1:29" x14ac:dyDescent="0.3">
      <c r="A3" s="1">
        <f>IF(Feiertage!$B$3+ROW(A1)-1&lt;=Feiertage!$C$3, Feiertage!$B$3+ROW(A1)-1, "")</f>
        <v>46023</v>
      </c>
      <c r="B3" s="1">
        <f>IF(Feiertage!$B$4+ROW(B1)-1&lt;=Feiertage!$C$4, Feiertage!$B$4+ROW(B1)-1, "")</f>
        <v>46156</v>
      </c>
      <c r="C3" s="1">
        <f>IF(Feiertage!$B$5+ROW(B1)-1&lt;=Feiertage!$C$5, Feiertage!$B$5+ROW(B1)-1, "")</f>
        <v>46327</v>
      </c>
      <c r="D3" s="1">
        <f>IF(Feiertage!$B$6+ROW(B1)-1&lt;=Feiertage!$C$6, Feiertage!$B$6+ROW(B1)-1, "")</f>
        <v>46115</v>
      </c>
      <c r="E3" s="1">
        <f>IF(Feiertage!$B$7+ROW(B1)-1&lt;=Feiertage!$C$7, Feiertage!$B$7+ROW(B1)-1, "")</f>
        <v>46167</v>
      </c>
      <c r="F3" s="1">
        <f>IF(Feiertage!$B$8+ROW(B1)-1&lt;=Feiertage!$C$8, Feiertage!$B$8+ROW(B1)-1, "")</f>
        <v>46381</v>
      </c>
      <c r="G3" s="1">
        <f>IF(Feiertage!$B$9+ROW(B1)-1&lt;=Feiertage!$C$9, Feiertage!$B$9+ROW(B1)-1, "")</f>
        <v>46382</v>
      </c>
      <c r="H3" s="1">
        <f>IF(Feiertage!$B$10+ROW(B1)-1&lt;=Feiertage!$C$10, Feiertage!$B$10+ROW(B1)-1, "")</f>
        <v>46118</v>
      </c>
      <c r="I3" s="1">
        <f>IF(Feiertage!$B$11+ROW(B1)-1&lt;=Feiertage!$C$11, Feiertage!$B$11+ROW(B1)-1, "")</f>
        <v>46177</v>
      </c>
      <c r="J3" s="1">
        <f>IF(Feiertage!$B$12+ROW(B1)-1&lt;=Feiertage!$C$12, Feiertage!$B$12+ROW(B1)-1, "")</f>
        <v>46143</v>
      </c>
      <c r="K3" s="1">
        <f>IF(Feiertage!$B$13+ROW(B1)-1&lt;=Feiertage!$C$13, Feiertage!$B$13+ROW(B1)-1, "")</f>
        <v>46298</v>
      </c>
      <c r="L3" s="1">
        <f>IF(Feiertage!$B$14+ROW(B1)-1&lt;=Feiertage!$C$14, Feiertage!$B$14+ROW(B1)-1, "")</f>
        <v>0</v>
      </c>
      <c r="M3" s="1">
        <f>IF(Feiertage!$B$15+ROW(B1)-1&lt;=Feiertage!$C$15, Feiertage!$B$15+ROW(B1)-1, "")</f>
        <v>0</v>
      </c>
      <c r="N3" s="1">
        <f>IF(Feiertage!$B$16+ROW(B1)-1&lt;=Feiertage!$C$16, Feiertage!$B$16+ROW(B1)-1, "")</f>
        <v>0</v>
      </c>
      <c r="O3" s="1">
        <f>IF(Feiertage!$B$17+ROW(B1)-1&lt;=Feiertage!$C$17, Feiertage!$B$17+ROW(B1)-1, "")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3">
      <c r="A4" s="1" t="str">
        <f>IF(Feiertage!$B$3+ROW(A2)-1&lt;=Feiertage!$C$3, Feiertage!$B$3+ROW(A2)-1, "")</f>
        <v/>
      </c>
      <c r="B4" s="1" t="str">
        <f>IF(Feiertage!$B$4+ROW(B2)-1&lt;=Feiertage!$C$4, Feiertage!$B$4+ROW(B2)-1, "")</f>
        <v/>
      </c>
      <c r="C4" s="1" t="str">
        <f>IF(Feiertage!$B$5+ROW(B2)-1&lt;=Feiertage!$C$5, Feiertage!$B$5+ROW(B2)-1, "")</f>
        <v/>
      </c>
      <c r="D4" s="1" t="str">
        <f>IF(Feiertage!$B$6+ROW(B2)-1&lt;=Feiertage!$C$6, Feiertage!$B$6+ROW(B2)-1, "")</f>
        <v/>
      </c>
      <c r="E4" s="1" t="str">
        <f>IF(Feiertage!$B$7+ROW(B2)-1&lt;=Feiertage!$C$7, Feiertage!$B$7+ROW(B2)-1, "")</f>
        <v/>
      </c>
      <c r="F4" s="1" t="str">
        <f>IF(Feiertage!$B$8+ROW(B2)-1&lt;=Feiertage!$C$8, Feiertage!$B$8+ROW(B2)-1, "")</f>
        <v/>
      </c>
      <c r="G4" s="1" t="str">
        <f>IF(Feiertage!$B$9+ROW(B2)-1&lt;=Feiertage!$C$9, Feiertage!$B$9+ROW(B2)-1, "")</f>
        <v/>
      </c>
      <c r="H4" s="1" t="str">
        <f>IF(Feiertage!$B$10+ROW(B2)-1&lt;=Feiertage!$C$10, Feiertage!$B$10+ROW(B2)-1, "")</f>
        <v/>
      </c>
      <c r="I4" s="1" t="str">
        <f>IF(Feiertage!$B$11+ROW(B2)-1&lt;=Feiertage!$C$11, Feiertage!$B$11+ROW(B2)-1, "")</f>
        <v/>
      </c>
      <c r="J4" s="1" t="str">
        <f>IF(Feiertage!$B$12+ROW(B2)-1&lt;=Feiertage!$C$12, Feiertage!$B$12+ROW(B2)-1, "")</f>
        <v/>
      </c>
      <c r="K4" s="1" t="str">
        <f>IF(Feiertage!$B$13+ROW(B2)-1&lt;=Feiertage!$C$13, Feiertage!$B$13+ROW(B2)-1, "")</f>
        <v/>
      </c>
      <c r="L4" s="1" t="str">
        <f>IF(Feiertage!$B$14+ROW(B2)-1&lt;=Feiertage!$C$14, Feiertage!$B$14+ROW(B2)-1, "")</f>
        <v/>
      </c>
      <c r="M4" s="1" t="str">
        <f>IF(Feiertage!$B$15+ROW(B2)-1&lt;=Feiertage!$C$15, Feiertage!$B$15+ROW(B2)-1, "")</f>
        <v/>
      </c>
      <c r="N4" s="1" t="str">
        <f>IF(Feiertage!$B$16+ROW(B2)-1&lt;=Feiertage!$C$16, Feiertage!$B$16+ROW(B2)-1, "")</f>
        <v/>
      </c>
      <c r="O4" s="1" t="str">
        <f>IF(Feiertage!$B$17+ROW(B2)-1&lt;=Feiertage!$C$17, Feiertage!$B$17+ROW(B2)-1, "")</f>
        <v/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3">
      <c r="A5" s="1" t="str">
        <f>IF(Feiertage!$B$3+ROW(A3)-1&lt;=Feiertage!$C$3, Feiertage!$B$3+ROW(A3)-1, "")</f>
        <v/>
      </c>
      <c r="B5" s="1" t="str">
        <f>IF(Feiertage!$B$4+ROW(B3)-1&lt;=Feiertage!$C$4, Feiertage!$B$4+ROW(B3)-1, "")</f>
        <v/>
      </c>
      <c r="C5" s="1" t="str">
        <f>IF(Feiertage!$B$5+ROW(B3)-1&lt;=Feiertage!$C$5, Feiertage!$B$5+ROW(B3)-1, "")</f>
        <v/>
      </c>
      <c r="D5" s="1" t="str">
        <f>IF(Feiertage!$B$6+ROW(B3)-1&lt;=Feiertage!$C$6, Feiertage!$B$6+ROW(B3)-1, "")</f>
        <v/>
      </c>
      <c r="E5" s="1" t="str">
        <f>IF(Feiertage!$B$7+ROW(B3)-1&lt;=Feiertage!$C$7, Feiertage!$B$7+ROW(B3)-1, "")</f>
        <v/>
      </c>
      <c r="F5" s="1" t="str">
        <f>IF(Feiertage!$B$8+ROW(B3)-1&lt;=Feiertage!$C$8, Feiertage!$B$8+ROW(B3)-1, "")</f>
        <v/>
      </c>
      <c r="G5" s="1" t="str">
        <f>IF(Feiertage!$B$9+ROW(B3)-1&lt;=Feiertage!$C$9, Feiertage!$B$9+ROW(B3)-1, "")</f>
        <v/>
      </c>
      <c r="H5" s="1" t="str">
        <f>IF(Feiertage!$B$10+ROW(B3)-1&lt;=Feiertage!$C$10, Feiertage!$B$10+ROW(B3)-1, "")</f>
        <v/>
      </c>
      <c r="I5" s="1" t="str">
        <f>IF(Feiertage!$B$11+ROW(B3)-1&lt;=Feiertage!$C$11, Feiertage!$B$11+ROW(B3)-1, "")</f>
        <v/>
      </c>
      <c r="J5" s="1" t="str">
        <f>IF(Feiertage!$B$12+ROW(B3)-1&lt;=Feiertage!$C$12, Feiertage!$B$12+ROW(B3)-1, "")</f>
        <v/>
      </c>
      <c r="K5" s="1" t="str">
        <f>IF(Feiertage!$B$13+ROW(B3)-1&lt;=Feiertage!$C$13, Feiertage!$B$13+ROW(B3)-1, "")</f>
        <v/>
      </c>
      <c r="L5" s="1" t="str">
        <f>IF(Feiertage!$B$14+ROW(B3)-1&lt;=Feiertage!$C$14, Feiertage!$B$14+ROW(B3)-1, "")</f>
        <v/>
      </c>
      <c r="M5" s="1" t="str">
        <f>IF(Feiertage!$B$15+ROW(B3)-1&lt;=Feiertage!$C$15, Feiertage!$B$15+ROW(B3)-1, "")</f>
        <v/>
      </c>
      <c r="N5" s="1" t="str">
        <f>IF(Feiertage!$B$16+ROW(B3)-1&lt;=Feiertage!$C$16, Feiertage!$B$16+ROW(B3)-1, "")</f>
        <v/>
      </c>
      <c r="O5" s="1" t="str">
        <f>IF(Feiertage!$B$17+ROW(B3)-1&lt;=Feiertage!$C$17, Feiertage!$B$17+ROW(B3)-1, "")</f>
        <v/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3">
      <c r="A6" s="1" t="str">
        <f>IF(Feiertage!$B$3+ROW(A4)-1&lt;=Feiertage!$C$3, Feiertage!$B$3+ROW(A4)-1, "")</f>
        <v/>
      </c>
      <c r="B6" s="1" t="str">
        <f>IF(Feiertage!$B$4+ROW(B4)-1&lt;=Feiertage!$C$4, Feiertage!$B$4+ROW(B4)-1, "")</f>
        <v/>
      </c>
      <c r="C6" s="1" t="str">
        <f>IF(Feiertage!$B$5+ROW(B4)-1&lt;=Feiertage!$C$5, Feiertage!$B$5+ROW(B4)-1, "")</f>
        <v/>
      </c>
      <c r="D6" s="1" t="str">
        <f>IF(Feiertage!$B$6+ROW(B4)-1&lt;=Feiertage!$C$6, Feiertage!$B$6+ROW(B4)-1, "")</f>
        <v/>
      </c>
      <c r="E6" s="1" t="str">
        <f>IF(Feiertage!$B$7+ROW(B4)-1&lt;=Feiertage!$C$7, Feiertage!$B$7+ROW(B4)-1, "")</f>
        <v/>
      </c>
      <c r="F6" s="1" t="str">
        <f>IF(Feiertage!$B$8+ROW(B4)-1&lt;=Feiertage!$C$8, Feiertage!$B$8+ROW(B4)-1, "")</f>
        <v/>
      </c>
      <c r="G6" s="1" t="str">
        <f>IF(Feiertage!$B$9+ROW(B4)-1&lt;=Feiertage!$C$9, Feiertage!$B$9+ROW(B4)-1, "")</f>
        <v/>
      </c>
      <c r="H6" s="1" t="str">
        <f>IF(Feiertage!$B$10+ROW(B4)-1&lt;=Feiertage!$C$10, Feiertage!$B$10+ROW(B4)-1, "")</f>
        <v/>
      </c>
      <c r="I6" s="1" t="str">
        <f>IF(Feiertage!$B$11+ROW(B4)-1&lt;=Feiertage!$C$11, Feiertage!$B$11+ROW(B4)-1, "")</f>
        <v/>
      </c>
      <c r="J6" s="1" t="str">
        <f>IF(Feiertage!$B$12+ROW(B4)-1&lt;=Feiertage!$C$12, Feiertage!$B$12+ROW(B4)-1, "")</f>
        <v/>
      </c>
      <c r="K6" s="1" t="str">
        <f>IF(Feiertage!$B$13+ROW(B4)-1&lt;=Feiertage!$C$13, Feiertage!$B$13+ROW(B4)-1, "")</f>
        <v/>
      </c>
      <c r="L6" s="1" t="str">
        <f>IF(Feiertage!$B$14+ROW(B4)-1&lt;=Feiertage!$C$14, Feiertage!$B$14+ROW(B4)-1, "")</f>
        <v/>
      </c>
      <c r="M6" s="1" t="str">
        <f>IF(Feiertage!$B$15+ROW(B4)-1&lt;=Feiertage!$C$15, Feiertage!$B$15+ROW(B4)-1, "")</f>
        <v/>
      </c>
      <c r="N6" s="1" t="str">
        <f>IF(Feiertage!$B$16+ROW(B4)-1&lt;=Feiertage!$C$16, Feiertage!$B$16+ROW(B4)-1, "")</f>
        <v/>
      </c>
      <c r="O6" s="1" t="str">
        <f>IF(Feiertage!$B$17+ROW(B4)-1&lt;=Feiertage!$C$17, Feiertage!$B$17+ROW(B4)-1, "")</f>
        <v/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3">
      <c r="A7" s="1" t="str">
        <f>IF(Feiertage!$B$3+ROW(A5)-1&lt;=Feiertage!$C$3, Feiertage!$B$3+ROW(A5)-1, "")</f>
        <v/>
      </c>
      <c r="B7" s="1" t="str">
        <f>IF(Feiertage!$B$4+ROW(B5)-1&lt;=Feiertage!$C$4, Feiertage!$B$4+ROW(B5)-1, "")</f>
        <v/>
      </c>
      <c r="C7" s="1" t="str">
        <f>IF(Feiertage!$B$5+ROW(B5)-1&lt;=Feiertage!$C$5, Feiertage!$B$5+ROW(B5)-1, "")</f>
        <v/>
      </c>
      <c r="D7" s="1" t="str">
        <f>IF(Feiertage!$B$6+ROW(B5)-1&lt;=Feiertage!$C$6, Feiertage!$B$6+ROW(B5)-1, "")</f>
        <v/>
      </c>
      <c r="E7" s="1" t="str">
        <f>IF(Feiertage!$B$7+ROW(B5)-1&lt;=Feiertage!$C$7, Feiertage!$B$7+ROW(B5)-1, "")</f>
        <v/>
      </c>
      <c r="F7" s="1" t="str">
        <f>IF(Feiertage!$B$8+ROW(B5)-1&lt;=Feiertage!$C$8, Feiertage!$B$8+ROW(B5)-1, "")</f>
        <v/>
      </c>
      <c r="G7" s="1" t="str">
        <f>IF(Feiertage!$B$9+ROW(B5)-1&lt;=Feiertage!$C$9, Feiertage!$B$9+ROW(B5)-1, "")</f>
        <v/>
      </c>
      <c r="H7" s="1" t="str">
        <f>IF(Feiertage!$B$10+ROW(B5)-1&lt;=Feiertage!$C$10, Feiertage!$B$10+ROW(B5)-1, "")</f>
        <v/>
      </c>
      <c r="I7" s="1" t="str">
        <f>IF(Feiertage!$B$11+ROW(B5)-1&lt;=Feiertage!$C$11, Feiertage!$B$11+ROW(B5)-1, "")</f>
        <v/>
      </c>
      <c r="J7" s="1" t="str">
        <f>IF(Feiertage!$B$12+ROW(B5)-1&lt;=Feiertage!$C$12, Feiertage!$B$12+ROW(B5)-1, "")</f>
        <v/>
      </c>
      <c r="K7" s="1" t="str">
        <f>IF(Feiertage!$B$13+ROW(B5)-1&lt;=Feiertage!$C$13, Feiertage!$B$13+ROW(B5)-1, "")</f>
        <v/>
      </c>
      <c r="L7" s="1" t="str">
        <f>IF(Feiertage!$B$14+ROW(B5)-1&lt;=Feiertage!$C$14, Feiertage!$B$14+ROW(B5)-1, "")</f>
        <v/>
      </c>
      <c r="M7" s="1" t="str">
        <f>IF(Feiertage!$B$15+ROW(B5)-1&lt;=Feiertage!$C$15, Feiertage!$B$15+ROW(B5)-1, "")</f>
        <v/>
      </c>
      <c r="N7" s="1" t="str">
        <f>IF(Feiertage!$B$16+ROW(B5)-1&lt;=Feiertage!$C$16, Feiertage!$B$16+ROW(B5)-1, "")</f>
        <v/>
      </c>
      <c r="O7" s="1" t="str">
        <f>IF(Feiertage!$B$17+ROW(B5)-1&lt;=Feiertage!$C$17, Feiertage!$B$17+ROW(B5)-1, "")</f>
        <v/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3">
      <c r="A8" s="1" t="str">
        <f>IF(Feiertage!$B$3+ROW(A6)-1&lt;=Feiertage!$C$3, Feiertage!$B$3+ROW(A6)-1, "")</f>
        <v/>
      </c>
      <c r="B8" s="1" t="str">
        <f>IF(Feiertage!$B$4+ROW(B6)-1&lt;=Feiertage!$C$4, Feiertage!$B$4+ROW(B6)-1, "")</f>
        <v/>
      </c>
      <c r="C8" s="1" t="str">
        <f>IF(Feiertage!$B$5+ROW(B6)-1&lt;=Feiertage!$C$5, Feiertage!$B$5+ROW(B6)-1, "")</f>
        <v/>
      </c>
      <c r="D8" s="1" t="str">
        <f>IF(Feiertage!$B$6+ROW(B6)-1&lt;=Feiertage!$C$6, Feiertage!$B$6+ROW(B6)-1, "")</f>
        <v/>
      </c>
      <c r="E8" s="1" t="str">
        <f>IF(Feiertage!$B$7+ROW(B6)-1&lt;=Feiertage!$C$7, Feiertage!$B$7+ROW(B6)-1, "")</f>
        <v/>
      </c>
      <c r="F8" s="1" t="str">
        <f>IF(Feiertage!$B$8+ROW(B6)-1&lt;=Feiertage!$C$8, Feiertage!$B$8+ROW(B6)-1, "")</f>
        <v/>
      </c>
      <c r="G8" s="1" t="str">
        <f>IF(Feiertage!$B$9+ROW(B6)-1&lt;=Feiertage!$C$9, Feiertage!$B$9+ROW(B6)-1, "")</f>
        <v/>
      </c>
      <c r="H8" s="1" t="str">
        <f>IF(Feiertage!$B$10+ROW(B6)-1&lt;=Feiertage!$C$10, Feiertage!$B$10+ROW(B6)-1, "")</f>
        <v/>
      </c>
      <c r="I8" s="1" t="str">
        <f>IF(Feiertage!$B$11+ROW(B6)-1&lt;=Feiertage!$C$11, Feiertage!$B$11+ROW(B6)-1, "")</f>
        <v/>
      </c>
      <c r="J8" s="1" t="str">
        <f>IF(Feiertage!$B$12+ROW(B6)-1&lt;=Feiertage!$C$12, Feiertage!$B$12+ROW(B6)-1, "")</f>
        <v/>
      </c>
      <c r="K8" s="1" t="str">
        <f>IF(Feiertage!$B$13+ROW(B6)-1&lt;=Feiertage!$C$13, Feiertage!$B$13+ROW(B6)-1, "")</f>
        <v/>
      </c>
      <c r="L8" s="1" t="str">
        <f>IF(Feiertage!$B$14+ROW(B6)-1&lt;=Feiertage!$C$14, Feiertage!$B$14+ROW(B6)-1, "")</f>
        <v/>
      </c>
      <c r="M8" s="1" t="str">
        <f>IF(Feiertage!$B$15+ROW(B6)-1&lt;=Feiertage!$C$15, Feiertage!$B$15+ROW(B6)-1, "")</f>
        <v/>
      </c>
      <c r="N8" s="1" t="str">
        <f>IF(Feiertage!$B$16+ROW(B6)-1&lt;=Feiertage!$C$16, Feiertage!$B$16+ROW(B6)-1, "")</f>
        <v/>
      </c>
      <c r="O8" s="1" t="str">
        <f>IF(Feiertage!$B$17+ROW(B6)-1&lt;=Feiertage!$C$17, Feiertage!$B$17+ROW(B6)-1, "")</f>
        <v/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3">
      <c r="A9" s="1" t="str">
        <f>IF(Feiertage!$B$3+ROW(A7)-1&lt;=Feiertage!$C$3, Feiertage!$B$3+ROW(A7)-1, "")</f>
        <v/>
      </c>
      <c r="B9" s="1" t="str">
        <f>IF(Feiertage!$B$4+ROW(B7)-1&lt;=Feiertage!$C$4, Feiertage!$B$4+ROW(B7)-1, "")</f>
        <v/>
      </c>
      <c r="C9" s="1" t="str">
        <f>IF(Feiertage!$B$5+ROW(B7)-1&lt;=Feiertage!$C$5, Feiertage!$B$5+ROW(B7)-1, "")</f>
        <v/>
      </c>
      <c r="D9" s="1" t="str">
        <f>IF(Feiertage!$B$6+ROW(B7)-1&lt;=Feiertage!$C$6, Feiertage!$B$6+ROW(B7)-1, "")</f>
        <v/>
      </c>
      <c r="E9" s="1" t="str">
        <f>IF(Feiertage!$B$7+ROW(B7)-1&lt;=Feiertage!$C$7, Feiertage!$B$7+ROW(B7)-1, "")</f>
        <v/>
      </c>
      <c r="F9" s="1" t="str">
        <f>IF(Feiertage!$B$8+ROW(B7)-1&lt;=Feiertage!$C$8, Feiertage!$B$8+ROW(B7)-1, "")</f>
        <v/>
      </c>
      <c r="G9" s="1" t="str">
        <f>IF(Feiertage!$B$9+ROW(B7)-1&lt;=Feiertage!$C$9, Feiertage!$B$9+ROW(B7)-1, "")</f>
        <v/>
      </c>
      <c r="H9" s="1" t="str">
        <f>IF(Feiertage!$B$10+ROW(B7)-1&lt;=Feiertage!$C$10, Feiertage!$B$10+ROW(B7)-1, "")</f>
        <v/>
      </c>
      <c r="I9" s="1" t="str">
        <f>IF(Feiertage!$B$11+ROW(B7)-1&lt;=Feiertage!$C$11, Feiertage!$B$11+ROW(B7)-1, "")</f>
        <v/>
      </c>
      <c r="J9" s="1" t="str">
        <f>IF(Feiertage!$B$12+ROW(B7)-1&lt;=Feiertage!$C$12, Feiertage!$B$12+ROW(B7)-1, "")</f>
        <v/>
      </c>
      <c r="K9" s="1" t="str">
        <f>IF(Feiertage!$B$13+ROW(B7)-1&lt;=Feiertage!$C$13, Feiertage!$B$13+ROW(B7)-1, "")</f>
        <v/>
      </c>
      <c r="L9" s="1" t="str">
        <f>IF(Feiertage!$B$14+ROW(B7)-1&lt;=Feiertage!$C$14, Feiertage!$B$14+ROW(B7)-1, "")</f>
        <v/>
      </c>
      <c r="M9" s="1" t="str">
        <f>IF(Feiertage!$B$15+ROW(B7)-1&lt;=Feiertage!$C$15, Feiertage!$B$15+ROW(B7)-1, "")</f>
        <v/>
      </c>
      <c r="N9" s="1" t="str">
        <f>IF(Feiertage!$B$16+ROW(B7)-1&lt;=Feiertage!$C$16, Feiertage!$B$16+ROW(B7)-1, "")</f>
        <v/>
      </c>
      <c r="O9" s="1" t="str">
        <f>IF(Feiertage!$B$17+ROW(B7)-1&lt;=Feiertage!$C$17, Feiertage!$B$17+ROW(B7)-1, "")</f>
        <v/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3">
      <c r="A10" s="1" t="str">
        <f>IF(Feiertage!$B$3+ROW(A8)-1&lt;=Feiertage!$C$3, Feiertage!$B$3+ROW(A8)-1, "")</f>
        <v/>
      </c>
      <c r="B10" s="1" t="str">
        <f>IF(Feiertage!$B$4+ROW(B8)-1&lt;=Feiertage!$C$4, Feiertage!$B$4+ROW(B8)-1, "")</f>
        <v/>
      </c>
      <c r="C10" s="1" t="str">
        <f>IF(Feiertage!$B$5+ROW(B8)-1&lt;=Feiertage!$C$5, Feiertage!$B$5+ROW(B8)-1, "")</f>
        <v/>
      </c>
      <c r="D10" s="1" t="str">
        <f>IF(Feiertage!$B$6+ROW(B8)-1&lt;=Feiertage!$C$6, Feiertage!$B$6+ROW(B8)-1, "")</f>
        <v/>
      </c>
      <c r="E10" s="1" t="str">
        <f>IF(Feiertage!$B$7+ROW(B8)-1&lt;=Feiertage!$C$7, Feiertage!$B$7+ROW(B8)-1, "")</f>
        <v/>
      </c>
      <c r="F10" s="1" t="str">
        <f>IF(Feiertage!$B$8+ROW(B8)-1&lt;=Feiertage!$C$8, Feiertage!$B$8+ROW(B8)-1, "")</f>
        <v/>
      </c>
      <c r="G10" s="1" t="str">
        <f>IF(Feiertage!$B$9+ROW(B8)-1&lt;=Feiertage!$C$9, Feiertage!$B$9+ROW(B8)-1, "")</f>
        <v/>
      </c>
      <c r="H10" s="1" t="str">
        <f>IF(Feiertage!$B$10+ROW(B8)-1&lt;=Feiertage!$C$10, Feiertage!$B$10+ROW(B8)-1, "")</f>
        <v/>
      </c>
      <c r="I10" s="1" t="str">
        <f>IF(Feiertage!$B$11+ROW(B8)-1&lt;=Feiertage!$C$11, Feiertage!$B$11+ROW(B8)-1, "")</f>
        <v/>
      </c>
      <c r="J10" s="1" t="str">
        <f>IF(Feiertage!$B$12+ROW(B8)-1&lt;=Feiertage!$C$12, Feiertage!$B$12+ROW(B8)-1, "")</f>
        <v/>
      </c>
      <c r="K10" s="1" t="str">
        <f>IF(Feiertage!$B$13+ROW(B8)-1&lt;=Feiertage!$C$13, Feiertage!$B$13+ROW(B8)-1, "")</f>
        <v/>
      </c>
      <c r="L10" s="1" t="str">
        <f>IF(Feiertage!$B$14+ROW(B8)-1&lt;=Feiertage!$C$14, Feiertage!$B$14+ROW(B8)-1, "")</f>
        <v/>
      </c>
      <c r="M10" s="1" t="str">
        <f>IF(Feiertage!$B$15+ROW(B8)-1&lt;=Feiertage!$C$15, Feiertage!$B$15+ROW(B8)-1, "")</f>
        <v/>
      </c>
      <c r="N10" s="1" t="str">
        <f>IF(Feiertage!$B$16+ROW(B8)-1&lt;=Feiertage!$C$16, Feiertage!$B$16+ROW(B8)-1, "")</f>
        <v/>
      </c>
      <c r="O10" s="1" t="str">
        <f>IF(Feiertage!$B$17+ROW(B8)-1&lt;=Feiertage!$C$17, Feiertage!$B$17+ROW(B8)-1, "")</f>
        <v/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3">
      <c r="A11" s="1" t="str">
        <f>IF(Feiertage!$B$3+ROW(A9)-1&lt;=Feiertage!$C$3, Feiertage!$B$3+ROW(A9)-1, "")</f>
        <v/>
      </c>
      <c r="B11" s="1" t="str">
        <f>IF(Feiertage!$B$4+ROW(B9)-1&lt;=Feiertage!$C$4, Feiertage!$B$4+ROW(B9)-1, "")</f>
        <v/>
      </c>
      <c r="C11" s="1" t="str">
        <f>IF(Feiertage!$B$5+ROW(B9)-1&lt;=Feiertage!$C$5, Feiertage!$B$5+ROW(B9)-1, "")</f>
        <v/>
      </c>
      <c r="D11" s="1" t="str">
        <f>IF(Feiertage!$B$6+ROW(B9)-1&lt;=Feiertage!$C$6, Feiertage!$B$6+ROW(B9)-1, "")</f>
        <v/>
      </c>
      <c r="E11" s="1" t="str">
        <f>IF(Feiertage!$B$7+ROW(B9)-1&lt;=Feiertage!$C$7, Feiertage!$B$7+ROW(B9)-1, "")</f>
        <v/>
      </c>
      <c r="F11" s="1" t="str">
        <f>IF(Feiertage!$B$8+ROW(B9)-1&lt;=Feiertage!$C$8, Feiertage!$B$8+ROW(B9)-1, "")</f>
        <v/>
      </c>
      <c r="G11" s="1" t="str">
        <f>IF(Feiertage!$B$9+ROW(B9)-1&lt;=Feiertage!$C$9, Feiertage!$B$9+ROW(B9)-1, "")</f>
        <v/>
      </c>
      <c r="H11" s="1" t="str">
        <f>IF(Feiertage!$B$10+ROW(B9)-1&lt;=Feiertage!$C$10, Feiertage!$B$10+ROW(B9)-1, "")</f>
        <v/>
      </c>
      <c r="I11" s="1" t="str">
        <f>IF(Feiertage!$B$11+ROW(B9)-1&lt;=Feiertage!$C$11, Feiertage!$B$11+ROW(B9)-1, "")</f>
        <v/>
      </c>
      <c r="J11" s="1" t="str">
        <f>IF(Feiertage!$B$12+ROW(B9)-1&lt;=Feiertage!$C$12, Feiertage!$B$12+ROW(B9)-1, "")</f>
        <v/>
      </c>
      <c r="K11" s="1" t="str">
        <f>IF(Feiertage!$B$13+ROW(B9)-1&lt;=Feiertage!$C$13, Feiertage!$B$13+ROW(B9)-1, "")</f>
        <v/>
      </c>
      <c r="L11" s="1" t="str">
        <f>IF(Feiertage!$B$14+ROW(B9)-1&lt;=Feiertage!$C$14, Feiertage!$B$14+ROW(B9)-1, "")</f>
        <v/>
      </c>
      <c r="M11" s="1" t="str">
        <f>IF(Feiertage!$B$15+ROW(B9)-1&lt;=Feiertage!$C$15, Feiertage!$B$15+ROW(B9)-1, "")</f>
        <v/>
      </c>
      <c r="N11" s="1" t="str">
        <f>IF(Feiertage!$B$16+ROW(B9)-1&lt;=Feiertage!$C$16, Feiertage!$B$16+ROW(B9)-1, "")</f>
        <v/>
      </c>
      <c r="O11" s="1" t="str">
        <f>IF(Feiertage!$B$17+ROW(B9)-1&lt;=Feiertage!$C$17, Feiertage!$B$17+ROW(B9)-1, "")</f>
        <v/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">
      <c r="A12" s="1" t="str">
        <f>IF(Feiertage!$B$3+ROW(A10)-1&lt;=Feiertage!$C$3, Feiertage!$B$3+ROW(A10)-1, "")</f>
        <v/>
      </c>
      <c r="B12" s="1" t="str">
        <f>IF(Feiertage!$B$4+ROW(B10)-1&lt;=Feiertage!$C$4, Feiertage!$B$4+ROW(B10)-1, "")</f>
        <v/>
      </c>
      <c r="C12" s="1" t="str">
        <f>IF(Feiertage!$B$5+ROW(B10)-1&lt;=Feiertage!$C$5, Feiertage!$B$5+ROW(B10)-1, "")</f>
        <v/>
      </c>
      <c r="D12" s="1" t="str">
        <f>IF(Feiertage!$B$6+ROW(B10)-1&lt;=Feiertage!$C$6, Feiertage!$B$6+ROW(B10)-1, "")</f>
        <v/>
      </c>
      <c r="E12" s="1" t="str">
        <f>IF(Feiertage!$B$7+ROW(B10)-1&lt;=Feiertage!$C$7, Feiertage!$B$7+ROW(B10)-1, "")</f>
        <v/>
      </c>
      <c r="F12" s="1" t="str">
        <f>IF(Feiertage!$B$8+ROW(B10)-1&lt;=Feiertage!$C$8, Feiertage!$B$8+ROW(B10)-1, "")</f>
        <v/>
      </c>
      <c r="G12" s="1" t="str">
        <f>IF(Feiertage!$B$9+ROW(B10)-1&lt;=Feiertage!$C$9, Feiertage!$B$9+ROW(B10)-1, "")</f>
        <v/>
      </c>
      <c r="H12" s="1" t="str">
        <f>IF(Feiertage!$B$10+ROW(B10)-1&lt;=Feiertage!$C$10, Feiertage!$B$10+ROW(B10)-1, "")</f>
        <v/>
      </c>
      <c r="I12" s="1" t="str">
        <f>IF(Feiertage!$B$11+ROW(B10)-1&lt;=Feiertage!$C$11, Feiertage!$B$11+ROW(B10)-1, "")</f>
        <v/>
      </c>
      <c r="J12" s="1" t="str">
        <f>IF(Feiertage!$B$12+ROW(B10)-1&lt;=Feiertage!$C$12, Feiertage!$B$12+ROW(B10)-1, "")</f>
        <v/>
      </c>
      <c r="K12" s="1" t="str">
        <f>IF(Feiertage!$B$13+ROW(B10)-1&lt;=Feiertage!$C$13, Feiertage!$B$13+ROW(B10)-1, "")</f>
        <v/>
      </c>
      <c r="L12" s="1" t="str">
        <f>IF(Feiertage!$B$14+ROW(B10)-1&lt;=Feiertage!$C$14, Feiertage!$B$14+ROW(B10)-1, "")</f>
        <v/>
      </c>
      <c r="M12" s="1" t="str">
        <f>IF(Feiertage!$B$15+ROW(B10)-1&lt;=Feiertage!$C$15, Feiertage!$B$15+ROW(B10)-1, "")</f>
        <v/>
      </c>
      <c r="N12" s="1" t="str">
        <f>IF(Feiertage!$B$16+ROW(B10)-1&lt;=Feiertage!$C$16, Feiertage!$B$16+ROW(B10)-1, "")</f>
        <v/>
      </c>
      <c r="O12" s="1" t="str">
        <f>IF(Feiertage!$B$17+ROW(B10)-1&lt;=Feiertage!$C$17, Feiertage!$B$17+ROW(B10)-1, "")</f>
        <v/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3">
      <c r="A13" s="1" t="str">
        <f>IF(Feiertage!$B$3+ROW(A11)-1&lt;=Feiertage!$C$3, Feiertage!$B$3+ROW(A11)-1, "")</f>
        <v/>
      </c>
      <c r="B13" s="1" t="str">
        <f>IF(Feiertage!$B$4+ROW(B11)-1&lt;=Feiertage!$C$4, Feiertage!$B$4+ROW(B11)-1, "")</f>
        <v/>
      </c>
      <c r="C13" s="1" t="str">
        <f>IF(Feiertage!$B$5+ROW(B11)-1&lt;=Feiertage!$C$5, Feiertage!$B$5+ROW(B11)-1, "")</f>
        <v/>
      </c>
      <c r="D13" s="1" t="str">
        <f>IF(Feiertage!$B$6+ROW(B11)-1&lt;=Feiertage!$C$6, Feiertage!$B$6+ROW(B11)-1, "")</f>
        <v/>
      </c>
      <c r="E13" s="1" t="str">
        <f>IF(Feiertage!$B$7+ROW(B11)-1&lt;=Feiertage!$C$7, Feiertage!$B$7+ROW(B11)-1, "")</f>
        <v/>
      </c>
      <c r="F13" s="1" t="str">
        <f>IF(Feiertage!$B$8+ROW(B11)-1&lt;=Feiertage!$C$8, Feiertage!$B$8+ROW(B11)-1, "")</f>
        <v/>
      </c>
      <c r="G13" s="1" t="str">
        <f>IF(Feiertage!$B$9+ROW(B11)-1&lt;=Feiertage!$C$9, Feiertage!$B$9+ROW(B11)-1, "")</f>
        <v/>
      </c>
      <c r="H13" s="1" t="str">
        <f>IF(Feiertage!$B$10+ROW(B11)-1&lt;=Feiertage!$C$10, Feiertage!$B$10+ROW(B11)-1, "")</f>
        <v/>
      </c>
      <c r="I13" s="1" t="str">
        <f>IF(Feiertage!$B$11+ROW(B11)-1&lt;=Feiertage!$C$11, Feiertage!$B$11+ROW(B11)-1, "")</f>
        <v/>
      </c>
      <c r="J13" s="1" t="str">
        <f>IF(Feiertage!$B$12+ROW(B11)-1&lt;=Feiertage!$C$12, Feiertage!$B$12+ROW(B11)-1, "")</f>
        <v/>
      </c>
      <c r="K13" s="1" t="str">
        <f>IF(Feiertage!$B$13+ROW(B11)-1&lt;=Feiertage!$C$13, Feiertage!$B$13+ROW(B11)-1, "")</f>
        <v/>
      </c>
      <c r="L13" s="1" t="str">
        <f>IF(Feiertage!$B$14+ROW(B11)-1&lt;=Feiertage!$C$14, Feiertage!$B$14+ROW(B11)-1, "")</f>
        <v/>
      </c>
      <c r="M13" s="1" t="str">
        <f>IF(Feiertage!$B$15+ROW(B11)-1&lt;=Feiertage!$C$15, Feiertage!$B$15+ROW(B11)-1, "")</f>
        <v/>
      </c>
      <c r="N13" s="1" t="str">
        <f>IF(Feiertage!$B$16+ROW(B11)-1&lt;=Feiertage!$C$16, Feiertage!$B$16+ROW(B11)-1, "")</f>
        <v/>
      </c>
      <c r="O13" s="1" t="str">
        <f>IF(Feiertage!$B$17+ROW(B11)-1&lt;=Feiertage!$C$17, Feiertage!$B$17+ROW(B11)-1, "")</f>
        <v/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3">
      <c r="A14" s="1" t="str">
        <f>IF(Feiertage!$B$3+ROW(A12)-1&lt;=Feiertage!$C$3, Feiertage!$B$3+ROW(A12)-1, "")</f>
        <v/>
      </c>
      <c r="B14" s="1" t="str">
        <f>IF(Feiertage!$B$4+ROW(B12)-1&lt;=Feiertage!$C$4, Feiertage!$B$4+ROW(B12)-1, "")</f>
        <v/>
      </c>
      <c r="C14" s="1" t="str">
        <f>IF(Feiertage!$B$5+ROW(B12)-1&lt;=Feiertage!$C$5, Feiertage!$B$5+ROW(B12)-1, "")</f>
        <v/>
      </c>
      <c r="D14" s="1" t="str">
        <f>IF(Feiertage!$B$6+ROW(B12)-1&lt;=Feiertage!$C$6, Feiertage!$B$6+ROW(B12)-1, "")</f>
        <v/>
      </c>
      <c r="E14" s="1" t="str">
        <f>IF(Feiertage!$B$7+ROW(B12)-1&lt;=Feiertage!$C$7, Feiertage!$B$7+ROW(B12)-1, "")</f>
        <v/>
      </c>
      <c r="F14" s="1" t="str">
        <f>IF(Feiertage!$B$8+ROW(B12)-1&lt;=Feiertage!$C$8, Feiertage!$B$8+ROW(B12)-1, "")</f>
        <v/>
      </c>
      <c r="G14" s="1" t="str">
        <f>IF(Feiertage!$B$9+ROW(B12)-1&lt;=Feiertage!$C$9, Feiertage!$B$9+ROW(B12)-1, "")</f>
        <v/>
      </c>
      <c r="H14" s="1" t="str">
        <f>IF(Feiertage!$B$10+ROW(B12)-1&lt;=Feiertage!$C$10, Feiertage!$B$10+ROW(B12)-1, "")</f>
        <v/>
      </c>
      <c r="I14" s="1" t="str">
        <f>IF(Feiertage!$B$11+ROW(B12)-1&lt;=Feiertage!$C$11, Feiertage!$B$11+ROW(B12)-1, "")</f>
        <v/>
      </c>
      <c r="J14" s="1" t="str">
        <f>IF(Feiertage!$B$12+ROW(B12)-1&lt;=Feiertage!$C$12, Feiertage!$B$12+ROW(B12)-1, "")</f>
        <v/>
      </c>
      <c r="K14" s="1" t="str">
        <f>IF(Feiertage!$B$13+ROW(B12)-1&lt;=Feiertage!$C$13, Feiertage!$B$13+ROW(B12)-1, "")</f>
        <v/>
      </c>
      <c r="L14" s="1" t="str">
        <f>IF(Feiertage!$B$14+ROW(B12)-1&lt;=Feiertage!$C$14, Feiertage!$B$14+ROW(B12)-1, "")</f>
        <v/>
      </c>
      <c r="M14" s="1" t="str">
        <f>IF(Feiertage!$B$15+ROW(B12)-1&lt;=Feiertage!$C$15, Feiertage!$B$15+ROW(B12)-1, "")</f>
        <v/>
      </c>
      <c r="N14" s="1" t="str">
        <f>IF(Feiertage!$B$16+ROW(B12)-1&lt;=Feiertage!$C$16, Feiertage!$B$16+ROW(B12)-1, "")</f>
        <v/>
      </c>
      <c r="O14" s="1" t="str">
        <f>IF(Feiertage!$B$17+ROW(B12)-1&lt;=Feiertage!$C$17, Feiertage!$B$17+ROW(B12)-1, "")</f>
        <v/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3">
      <c r="A15" s="1" t="str">
        <f>IF(Feiertage!$B$3+ROW(A13)-1&lt;=Feiertage!$C$3, Feiertage!$B$3+ROW(A13)-1, "")</f>
        <v/>
      </c>
      <c r="B15" s="1" t="str">
        <f>IF(Feiertage!$B$4+ROW(B13)-1&lt;=Feiertage!$C$4, Feiertage!$B$4+ROW(B13)-1, "")</f>
        <v/>
      </c>
      <c r="C15" s="1" t="str">
        <f>IF(Feiertage!$B$5+ROW(B13)-1&lt;=Feiertage!$C$5, Feiertage!$B$5+ROW(B13)-1, "")</f>
        <v/>
      </c>
      <c r="D15" s="1" t="str">
        <f>IF(Feiertage!$B$6+ROW(B13)-1&lt;=Feiertage!$C$6, Feiertage!$B$6+ROW(B13)-1, "")</f>
        <v/>
      </c>
      <c r="E15" s="1" t="str">
        <f>IF(Feiertage!$B$7+ROW(B13)-1&lt;=Feiertage!$C$7, Feiertage!$B$7+ROW(B13)-1, "")</f>
        <v/>
      </c>
      <c r="F15" s="1" t="str">
        <f>IF(Feiertage!$B$8+ROW(B13)-1&lt;=Feiertage!$C$8, Feiertage!$B$8+ROW(B13)-1, "")</f>
        <v/>
      </c>
      <c r="G15" s="1" t="str">
        <f>IF(Feiertage!$B$9+ROW(B13)-1&lt;=Feiertage!$C$9, Feiertage!$B$9+ROW(B13)-1, "")</f>
        <v/>
      </c>
      <c r="H15" s="1" t="str">
        <f>IF(Feiertage!$B$10+ROW(B13)-1&lt;=Feiertage!$C$10, Feiertage!$B$10+ROW(B13)-1, "")</f>
        <v/>
      </c>
      <c r="I15" s="1" t="str">
        <f>IF(Feiertage!$B$11+ROW(B13)-1&lt;=Feiertage!$C$11, Feiertage!$B$11+ROW(B13)-1, "")</f>
        <v/>
      </c>
      <c r="J15" s="1" t="str">
        <f>IF(Feiertage!$B$12+ROW(B13)-1&lt;=Feiertage!$C$12, Feiertage!$B$12+ROW(B13)-1, "")</f>
        <v/>
      </c>
      <c r="K15" s="1" t="str">
        <f>IF(Feiertage!$B$13+ROW(B13)-1&lt;=Feiertage!$C$13, Feiertage!$B$13+ROW(B13)-1, "")</f>
        <v/>
      </c>
      <c r="L15" s="1" t="str">
        <f>IF(Feiertage!$B$14+ROW(B13)-1&lt;=Feiertage!$C$14, Feiertage!$B$14+ROW(B13)-1, "")</f>
        <v/>
      </c>
      <c r="M15" s="1" t="str">
        <f>IF(Feiertage!$B$15+ROW(B13)-1&lt;=Feiertage!$C$15, Feiertage!$B$15+ROW(B13)-1, "")</f>
        <v/>
      </c>
      <c r="N15" s="1" t="str">
        <f>IF(Feiertage!$B$16+ROW(B13)-1&lt;=Feiertage!$C$16, Feiertage!$B$16+ROW(B13)-1, "")</f>
        <v/>
      </c>
      <c r="O15" s="1" t="str">
        <f>IF(Feiertage!$B$17+ROW(B13)-1&lt;=Feiertage!$C$17, Feiertage!$B$17+ROW(B13)-1, "")</f>
        <v/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3">
      <c r="A16" s="1" t="str">
        <f>IF(Feiertage!$B$3+ROW(A14)-1&lt;=Feiertage!$C$3, Feiertage!$B$3+ROW(A14)-1, "")</f>
        <v/>
      </c>
      <c r="B16" s="1" t="str">
        <f>IF(Feiertage!$B$4+ROW(B14)-1&lt;=Feiertage!$C$4, Feiertage!$B$4+ROW(B14)-1, "")</f>
        <v/>
      </c>
      <c r="C16" s="1" t="str">
        <f>IF(Feiertage!$B$5+ROW(B14)-1&lt;=Feiertage!$C$5, Feiertage!$B$5+ROW(B14)-1, "")</f>
        <v/>
      </c>
      <c r="D16" s="1" t="str">
        <f>IF(Feiertage!$B$6+ROW(B14)-1&lt;=Feiertage!$C$6, Feiertage!$B$6+ROW(B14)-1, "")</f>
        <v/>
      </c>
      <c r="E16" s="1" t="str">
        <f>IF(Feiertage!$B$7+ROW(B14)-1&lt;=Feiertage!$C$7, Feiertage!$B$7+ROW(B14)-1, "")</f>
        <v/>
      </c>
      <c r="F16" s="1" t="str">
        <f>IF(Feiertage!$B$8+ROW(B14)-1&lt;=Feiertage!$C$8, Feiertage!$B$8+ROW(B14)-1, "")</f>
        <v/>
      </c>
      <c r="G16" s="1" t="str">
        <f>IF(Feiertage!$B$9+ROW(B14)-1&lt;=Feiertage!$C$9, Feiertage!$B$9+ROW(B14)-1, "")</f>
        <v/>
      </c>
      <c r="H16" s="1" t="str">
        <f>IF(Feiertage!$B$10+ROW(B14)-1&lt;=Feiertage!$C$10, Feiertage!$B$10+ROW(B14)-1, "")</f>
        <v/>
      </c>
      <c r="I16" s="1" t="str">
        <f>IF(Feiertage!$B$11+ROW(B14)-1&lt;=Feiertage!$C$11, Feiertage!$B$11+ROW(B14)-1, "")</f>
        <v/>
      </c>
      <c r="J16" s="1" t="str">
        <f>IF(Feiertage!$B$12+ROW(B14)-1&lt;=Feiertage!$C$12, Feiertage!$B$12+ROW(B14)-1, "")</f>
        <v/>
      </c>
      <c r="K16" s="1" t="str">
        <f>IF(Feiertage!$B$13+ROW(B14)-1&lt;=Feiertage!$C$13, Feiertage!$B$13+ROW(B14)-1, "")</f>
        <v/>
      </c>
      <c r="L16" s="1" t="str">
        <f>IF(Feiertage!$B$14+ROW(B14)-1&lt;=Feiertage!$C$14, Feiertage!$B$14+ROW(B14)-1, "")</f>
        <v/>
      </c>
      <c r="M16" s="1" t="str">
        <f>IF(Feiertage!$B$15+ROW(B14)-1&lt;=Feiertage!$C$15, Feiertage!$B$15+ROW(B14)-1, "")</f>
        <v/>
      </c>
      <c r="N16" s="1" t="str">
        <f>IF(Feiertage!$B$16+ROW(B14)-1&lt;=Feiertage!$C$16, Feiertage!$B$16+ROW(B14)-1, "")</f>
        <v/>
      </c>
      <c r="O16" s="1" t="str">
        <f>IF(Feiertage!$B$17+ROW(B14)-1&lt;=Feiertage!$C$17, Feiertage!$B$17+ROW(B14)-1, "")</f>
        <v/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3">
      <c r="A17" s="1" t="str">
        <f>IF(Feiertage!$B$3+ROW(A15)-1&lt;=Feiertage!$C$3, Feiertage!$B$3+ROW(A15)-1, "")</f>
        <v/>
      </c>
      <c r="B17" s="1" t="str">
        <f>IF(Feiertage!$B$4+ROW(B15)-1&lt;=Feiertage!$C$4, Feiertage!$B$4+ROW(B15)-1, "")</f>
        <v/>
      </c>
      <c r="C17" s="1" t="str">
        <f>IF(Feiertage!$B$5+ROW(B15)-1&lt;=Feiertage!$C$5, Feiertage!$B$5+ROW(B15)-1, "")</f>
        <v/>
      </c>
      <c r="D17" s="1" t="str">
        <f>IF(Feiertage!$B$6+ROW(B15)-1&lt;=Feiertage!$C$6, Feiertage!$B$6+ROW(B15)-1, "")</f>
        <v/>
      </c>
      <c r="E17" s="1" t="str">
        <f>IF(Feiertage!$B$7+ROW(B15)-1&lt;=Feiertage!$C$7, Feiertage!$B$7+ROW(B15)-1, "")</f>
        <v/>
      </c>
      <c r="F17" s="1" t="str">
        <f>IF(Feiertage!$B$8+ROW(B15)-1&lt;=Feiertage!$C$8, Feiertage!$B$8+ROW(B15)-1, "")</f>
        <v/>
      </c>
      <c r="G17" s="1" t="str">
        <f>IF(Feiertage!$B$9+ROW(B15)-1&lt;=Feiertage!$C$9, Feiertage!$B$9+ROW(B15)-1, "")</f>
        <v/>
      </c>
      <c r="H17" s="1" t="str">
        <f>IF(Feiertage!$B$10+ROW(B15)-1&lt;=Feiertage!$C$10, Feiertage!$B$10+ROW(B15)-1, "")</f>
        <v/>
      </c>
      <c r="I17" s="1" t="str">
        <f>IF(Feiertage!$B$11+ROW(B15)-1&lt;=Feiertage!$C$11, Feiertage!$B$11+ROW(B15)-1, "")</f>
        <v/>
      </c>
      <c r="J17" s="1" t="str">
        <f>IF(Feiertage!$B$12+ROW(B15)-1&lt;=Feiertage!$C$12, Feiertage!$B$12+ROW(B15)-1, "")</f>
        <v/>
      </c>
      <c r="K17" s="1" t="str">
        <f>IF(Feiertage!$B$13+ROW(B15)-1&lt;=Feiertage!$C$13, Feiertage!$B$13+ROW(B15)-1, "")</f>
        <v/>
      </c>
      <c r="L17" s="1" t="str">
        <f>IF(Feiertage!$B$14+ROW(B15)-1&lt;=Feiertage!$C$14, Feiertage!$B$14+ROW(B15)-1, "")</f>
        <v/>
      </c>
      <c r="M17" s="1" t="str">
        <f>IF(Feiertage!$B$15+ROW(B15)-1&lt;=Feiertage!$C$15, Feiertage!$B$15+ROW(B15)-1, "")</f>
        <v/>
      </c>
      <c r="N17" s="1" t="str">
        <f>IF(Feiertage!$B$16+ROW(B15)-1&lt;=Feiertage!$C$16, Feiertage!$B$16+ROW(B15)-1, "")</f>
        <v/>
      </c>
      <c r="O17" s="1" t="str">
        <f>IF(Feiertage!$B$17+ROW(B15)-1&lt;=Feiertage!$C$17, Feiertage!$B$17+ROW(B15)-1, "")</f>
        <v/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3">
      <c r="A18" s="1" t="str">
        <f>IF(Feiertage!$B$3+ROW(A16)-1&lt;=Feiertage!$C$3, Feiertage!$B$3+ROW(A16)-1, "")</f>
        <v/>
      </c>
      <c r="B18" s="1" t="str">
        <f>IF(Feiertage!$B$4+ROW(B16)-1&lt;=Feiertage!$C$4, Feiertage!$B$4+ROW(B16)-1, "")</f>
        <v/>
      </c>
      <c r="C18" s="1" t="str">
        <f>IF(Feiertage!$B$5+ROW(B16)-1&lt;=Feiertage!$C$5, Feiertage!$B$5+ROW(B16)-1, "")</f>
        <v/>
      </c>
      <c r="D18" s="1" t="str">
        <f>IF(Feiertage!$B$6+ROW(B16)-1&lt;=Feiertage!$C$6, Feiertage!$B$6+ROW(B16)-1, "")</f>
        <v/>
      </c>
      <c r="E18" s="1" t="str">
        <f>IF(Feiertage!$B$7+ROW(B16)-1&lt;=Feiertage!$C$7, Feiertage!$B$7+ROW(B16)-1, "")</f>
        <v/>
      </c>
      <c r="F18" s="1" t="str">
        <f>IF(Feiertage!$B$8+ROW(B16)-1&lt;=Feiertage!$C$8, Feiertage!$B$8+ROW(B16)-1, "")</f>
        <v/>
      </c>
      <c r="G18" s="1" t="str">
        <f>IF(Feiertage!$B$9+ROW(B16)-1&lt;=Feiertage!$C$9, Feiertage!$B$9+ROW(B16)-1, "")</f>
        <v/>
      </c>
      <c r="H18" s="1" t="str">
        <f>IF(Feiertage!$B$10+ROW(B16)-1&lt;=Feiertage!$C$10, Feiertage!$B$10+ROW(B16)-1, "")</f>
        <v/>
      </c>
      <c r="I18" s="1" t="str">
        <f>IF(Feiertage!$B$11+ROW(B16)-1&lt;=Feiertage!$C$11, Feiertage!$B$11+ROW(B16)-1, "")</f>
        <v/>
      </c>
      <c r="J18" s="1" t="str">
        <f>IF(Feiertage!$B$12+ROW(B16)-1&lt;=Feiertage!$C$12, Feiertage!$B$12+ROW(B16)-1, "")</f>
        <v/>
      </c>
      <c r="K18" s="1" t="str">
        <f>IF(Feiertage!$B$13+ROW(B16)-1&lt;=Feiertage!$C$13, Feiertage!$B$13+ROW(B16)-1, "")</f>
        <v/>
      </c>
      <c r="L18" s="1" t="str">
        <f>IF(Feiertage!$B$14+ROW(B16)-1&lt;=Feiertage!$C$14, Feiertage!$B$14+ROW(B16)-1, "")</f>
        <v/>
      </c>
      <c r="M18" s="1" t="str">
        <f>IF(Feiertage!$B$15+ROW(B16)-1&lt;=Feiertage!$C$15, Feiertage!$B$15+ROW(B16)-1, "")</f>
        <v/>
      </c>
      <c r="N18" s="1" t="str">
        <f>IF(Feiertage!$B$16+ROW(B16)-1&lt;=Feiertage!$C$16, Feiertage!$B$16+ROW(B16)-1, "")</f>
        <v/>
      </c>
      <c r="O18" s="1" t="str">
        <f>IF(Feiertage!$B$17+ROW(B16)-1&lt;=Feiertage!$C$17, Feiertage!$B$17+ROW(B16)-1, "")</f>
        <v/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3">
      <c r="A19" s="1" t="str">
        <f>IF(Feiertage!$B$3+ROW(A17)-1&lt;=Feiertage!$C$3, Feiertage!$B$3+ROW(A17)-1, "")</f>
        <v/>
      </c>
      <c r="B19" s="1" t="str">
        <f>IF(Feiertage!$B$4+ROW(B17)-1&lt;=Feiertage!$C$4, Feiertage!$B$4+ROW(B17)-1, "")</f>
        <v/>
      </c>
      <c r="C19" s="1" t="str">
        <f>IF(Feiertage!$B$5+ROW(B17)-1&lt;=Feiertage!$C$5, Feiertage!$B$5+ROW(B17)-1, "")</f>
        <v/>
      </c>
      <c r="D19" s="1" t="str">
        <f>IF(Feiertage!$B$6+ROW(B17)-1&lt;=Feiertage!$C$6, Feiertage!$B$6+ROW(B17)-1, "")</f>
        <v/>
      </c>
      <c r="E19" s="1" t="str">
        <f>IF(Feiertage!$B$7+ROW(B17)-1&lt;=Feiertage!$C$7, Feiertage!$B$7+ROW(B17)-1, "")</f>
        <v/>
      </c>
      <c r="F19" s="1" t="str">
        <f>IF(Feiertage!$B$8+ROW(B17)-1&lt;=Feiertage!$C$8, Feiertage!$B$8+ROW(B17)-1, "")</f>
        <v/>
      </c>
      <c r="G19" s="1" t="str">
        <f>IF(Feiertage!$B$9+ROW(B17)-1&lt;=Feiertage!$C$9, Feiertage!$B$9+ROW(B17)-1, "")</f>
        <v/>
      </c>
      <c r="H19" s="1" t="str">
        <f>IF(Feiertage!$B$10+ROW(B17)-1&lt;=Feiertage!$C$10, Feiertage!$B$10+ROW(B17)-1, "")</f>
        <v/>
      </c>
      <c r="I19" s="1" t="str">
        <f>IF(Feiertage!$B$11+ROW(B17)-1&lt;=Feiertage!$C$11, Feiertage!$B$11+ROW(B17)-1, "")</f>
        <v/>
      </c>
      <c r="J19" s="1" t="str">
        <f>IF(Feiertage!$B$12+ROW(B17)-1&lt;=Feiertage!$C$12, Feiertage!$B$12+ROW(B17)-1, "")</f>
        <v/>
      </c>
      <c r="K19" s="1" t="str">
        <f>IF(Feiertage!$B$13+ROW(B17)-1&lt;=Feiertage!$C$13, Feiertage!$B$13+ROW(B17)-1, "")</f>
        <v/>
      </c>
      <c r="L19" s="1" t="str">
        <f>IF(Feiertage!$B$14+ROW(B17)-1&lt;=Feiertage!$C$14, Feiertage!$B$14+ROW(B17)-1, "")</f>
        <v/>
      </c>
      <c r="M19" s="1" t="str">
        <f>IF(Feiertage!$B$15+ROW(B17)-1&lt;=Feiertage!$C$15, Feiertage!$B$15+ROW(B17)-1, "")</f>
        <v/>
      </c>
      <c r="N19" s="1" t="str">
        <f>IF(Feiertage!$B$16+ROW(B17)-1&lt;=Feiertage!$C$16, Feiertage!$B$16+ROW(B17)-1, "")</f>
        <v/>
      </c>
      <c r="O19" s="1" t="str">
        <f>IF(Feiertage!$B$17+ROW(B17)-1&lt;=Feiertage!$C$17, Feiertage!$B$17+ROW(B17)-1, "")</f>
        <v/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3">
      <c r="A20" s="1" t="str">
        <f>IF(Feiertage!$B$3+ROW(A18)-1&lt;=Feiertage!$C$3, Feiertage!$B$3+ROW(A18)-1, "")</f>
        <v/>
      </c>
      <c r="B20" s="1" t="str">
        <f>IF(Feiertage!$B$4+ROW(B18)-1&lt;=Feiertage!$C$4, Feiertage!$B$4+ROW(B18)-1, "")</f>
        <v/>
      </c>
      <c r="C20" s="1" t="str">
        <f>IF(Feiertage!$B$5+ROW(B18)-1&lt;=Feiertage!$C$5, Feiertage!$B$5+ROW(B18)-1, "")</f>
        <v/>
      </c>
      <c r="D20" s="1" t="str">
        <f>IF(Feiertage!$B$6+ROW(B18)-1&lt;=Feiertage!$C$6, Feiertage!$B$6+ROW(B18)-1, "")</f>
        <v/>
      </c>
      <c r="E20" s="1" t="str">
        <f>IF(Feiertage!$B$7+ROW(B18)-1&lt;=Feiertage!$C$7, Feiertage!$B$7+ROW(B18)-1, "")</f>
        <v/>
      </c>
      <c r="F20" s="1" t="str">
        <f>IF(Feiertage!$B$8+ROW(B18)-1&lt;=Feiertage!$C$8, Feiertage!$B$8+ROW(B18)-1, "")</f>
        <v/>
      </c>
      <c r="G20" s="1" t="str">
        <f>IF(Feiertage!$B$9+ROW(B18)-1&lt;=Feiertage!$C$9, Feiertage!$B$9+ROW(B18)-1, "")</f>
        <v/>
      </c>
      <c r="H20" s="1" t="str">
        <f>IF(Feiertage!$B$10+ROW(B18)-1&lt;=Feiertage!$C$10, Feiertage!$B$10+ROW(B18)-1, "")</f>
        <v/>
      </c>
      <c r="I20" s="1" t="str">
        <f>IF(Feiertage!$B$11+ROW(B18)-1&lt;=Feiertage!$C$11, Feiertage!$B$11+ROW(B18)-1, "")</f>
        <v/>
      </c>
      <c r="J20" s="1" t="str">
        <f>IF(Feiertage!$B$12+ROW(B18)-1&lt;=Feiertage!$C$12, Feiertage!$B$12+ROW(B18)-1, "")</f>
        <v/>
      </c>
      <c r="K20" s="1" t="str">
        <f>IF(Feiertage!$B$13+ROW(B18)-1&lt;=Feiertage!$C$13, Feiertage!$B$13+ROW(B18)-1, "")</f>
        <v/>
      </c>
      <c r="L20" s="1" t="str">
        <f>IF(Feiertage!$B$14+ROW(B18)-1&lt;=Feiertage!$C$14, Feiertage!$B$14+ROW(B18)-1, "")</f>
        <v/>
      </c>
      <c r="M20" s="1" t="str">
        <f>IF(Feiertage!$B$15+ROW(B18)-1&lt;=Feiertage!$C$15, Feiertage!$B$15+ROW(B18)-1, "")</f>
        <v/>
      </c>
      <c r="N20" s="1" t="str">
        <f>IF(Feiertage!$B$16+ROW(B18)-1&lt;=Feiertage!$C$16, Feiertage!$B$16+ROW(B18)-1, "")</f>
        <v/>
      </c>
      <c r="O20" s="1" t="str">
        <f>IF(Feiertage!$B$17+ROW(B18)-1&lt;=Feiertage!$C$17, Feiertage!$B$17+ROW(B18)-1, "")</f>
        <v/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3">
      <c r="A21" s="1" t="str">
        <f>IF(Feiertage!$B$3+ROW(A19)-1&lt;=Feiertage!$C$3, Feiertage!$B$3+ROW(A19)-1, "")</f>
        <v/>
      </c>
      <c r="B21" s="1" t="str">
        <f>IF(Feiertage!$B$4+ROW(B19)-1&lt;=Feiertage!$C$4, Feiertage!$B$4+ROW(B19)-1, "")</f>
        <v/>
      </c>
      <c r="C21" s="1" t="str">
        <f>IF(Feiertage!$B$5+ROW(B19)-1&lt;=Feiertage!$C$5, Feiertage!$B$5+ROW(B19)-1, "")</f>
        <v/>
      </c>
      <c r="D21" s="1" t="str">
        <f>IF(Feiertage!$B$6+ROW(B19)-1&lt;=Feiertage!$C$6, Feiertage!$B$6+ROW(B19)-1, "")</f>
        <v/>
      </c>
      <c r="E21" s="1" t="str">
        <f>IF(Feiertage!$B$7+ROW(B19)-1&lt;=Feiertage!$C$7, Feiertage!$B$7+ROW(B19)-1, "")</f>
        <v/>
      </c>
      <c r="F21" s="1" t="str">
        <f>IF(Feiertage!$B$8+ROW(B19)-1&lt;=Feiertage!$C$8, Feiertage!$B$8+ROW(B19)-1, "")</f>
        <v/>
      </c>
      <c r="G21" s="1" t="str">
        <f>IF(Feiertage!$B$9+ROW(B19)-1&lt;=Feiertage!$C$9, Feiertage!$B$9+ROW(B19)-1, "")</f>
        <v/>
      </c>
      <c r="H21" s="1" t="str">
        <f>IF(Feiertage!$B$10+ROW(B19)-1&lt;=Feiertage!$C$10, Feiertage!$B$10+ROW(B19)-1, "")</f>
        <v/>
      </c>
      <c r="I21" s="1" t="str">
        <f>IF(Feiertage!$B$11+ROW(B19)-1&lt;=Feiertage!$C$11, Feiertage!$B$11+ROW(B19)-1, "")</f>
        <v/>
      </c>
      <c r="J21" s="1" t="str">
        <f>IF(Feiertage!$B$12+ROW(B19)-1&lt;=Feiertage!$C$12, Feiertage!$B$12+ROW(B19)-1, "")</f>
        <v/>
      </c>
      <c r="K21" s="1" t="str">
        <f>IF(Feiertage!$B$13+ROW(B19)-1&lt;=Feiertage!$C$13, Feiertage!$B$13+ROW(B19)-1, "")</f>
        <v/>
      </c>
      <c r="L21" s="1" t="str">
        <f>IF(Feiertage!$B$14+ROW(B19)-1&lt;=Feiertage!$C$14, Feiertage!$B$14+ROW(B19)-1, "")</f>
        <v/>
      </c>
      <c r="M21" s="1" t="str">
        <f>IF(Feiertage!$B$15+ROW(B19)-1&lt;=Feiertage!$C$15, Feiertage!$B$15+ROW(B19)-1, "")</f>
        <v/>
      </c>
      <c r="N21" s="1" t="str">
        <f>IF(Feiertage!$B$16+ROW(B19)-1&lt;=Feiertage!$C$16, Feiertage!$B$16+ROW(B19)-1, "")</f>
        <v/>
      </c>
      <c r="O21" s="1" t="str">
        <f>IF(Feiertage!$B$17+ROW(B19)-1&lt;=Feiertage!$C$17, Feiertage!$B$17+ROW(B19)-1, "")</f>
        <v/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3">
      <c r="A22" s="1" t="str">
        <f>IF(Feiertage!$B$3+ROW(A20)-1&lt;=Feiertage!$C$3, Feiertage!$B$3+ROW(A20)-1, "")</f>
        <v/>
      </c>
      <c r="B22" s="1" t="str">
        <f>IF(Feiertage!$B$4+ROW(B20)-1&lt;=Feiertage!$C$4, Feiertage!$B$4+ROW(B20)-1, "")</f>
        <v/>
      </c>
      <c r="C22" s="1" t="str">
        <f>IF(Feiertage!$B$5+ROW(B20)-1&lt;=Feiertage!$C$5, Feiertage!$B$5+ROW(B20)-1, "")</f>
        <v/>
      </c>
      <c r="D22" s="1" t="str">
        <f>IF(Feiertage!$B$6+ROW(B20)-1&lt;=Feiertage!$C$6, Feiertage!$B$6+ROW(B20)-1, "")</f>
        <v/>
      </c>
      <c r="E22" s="1" t="str">
        <f>IF(Feiertage!$B$7+ROW(B20)-1&lt;=Feiertage!$C$7, Feiertage!$B$7+ROW(B20)-1, "")</f>
        <v/>
      </c>
      <c r="F22" s="1" t="str">
        <f>IF(Feiertage!$B$8+ROW(B20)-1&lt;=Feiertage!$C$8, Feiertage!$B$8+ROW(B20)-1, "")</f>
        <v/>
      </c>
      <c r="G22" s="1" t="str">
        <f>IF(Feiertage!$B$9+ROW(B20)-1&lt;=Feiertage!$C$9, Feiertage!$B$9+ROW(B20)-1, "")</f>
        <v/>
      </c>
      <c r="H22" s="1" t="str">
        <f>IF(Feiertage!$B$10+ROW(B20)-1&lt;=Feiertage!$C$10, Feiertage!$B$10+ROW(B20)-1, "")</f>
        <v/>
      </c>
      <c r="I22" s="1" t="str">
        <f>IF(Feiertage!$B$11+ROW(B20)-1&lt;=Feiertage!$C$11, Feiertage!$B$11+ROW(B20)-1, "")</f>
        <v/>
      </c>
      <c r="J22" s="1" t="str">
        <f>IF(Feiertage!$B$12+ROW(B20)-1&lt;=Feiertage!$C$12, Feiertage!$B$12+ROW(B20)-1, "")</f>
        <v/>
      </c>
      <c r="K22" s="1" t="str">
        <f>IF(Feiertage!$B$13+ROW(B20)-1&lt;=Feiertage!$C$13, Feiertage!$B$13+ROW(B20)-1, "")</f>
        <v/>
      </c>
      <c r="L22" s="1" t="str">
        <f>IF(Feiertage!$B$14+ROW(B20)-1&lt;=Feiertage!$C$14, Feiertage!$B$14+ROW(B20)-1, "")</f>
        <v/>
      </c>
      <c r="M22" s="1" t="str">
        <f>IF(Feiertage!$B$15+ROW(B20)-1&lt;=Feiertage!$C$15, Feiertage!$B$15+ROW(B20)-1, "")</f>
        <v/>
      </c>
      <c r="N22" s="1" t="str">
        <f>IF(Feiertage!$B$16+ROW(B20)-1&lt;=Feiertage!$C$16, Feiertage!$B$16+ROW(B20)-1, "")</f>
        <v/>
      </c>
      <c r="O22" s="1" t="str">
        <f>IF(Feiertage!$B$17+ROW(B20)-1&lt;=Feiertage!$C$17, Feiertage!$B$17+ROW(B20)-1, "")</f>
        <v/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s="1" t="str">
        <f>IF(Feiertage!$B$3+ROW(A21)-1&lt;=Feiertage!$C$3, Feiertage!$B$3+ROW(A21)-1, "")</f>
        <v/>
      </c>
      <c r="B23" s="1" t="str">
        <f>IF(Feiertage!$B$4+ROW(B21)-1&lt;=Feiertage!$C$4, Feiertage!$B$4+ROW(B21)-1, "")</f>
        <v/>
      </c>
      <c r="C23" s="1" t="str">
        <f>IF(Feiertage!$B$5+ROW(B21)-1&lt;=Feiertage!$C$5, Feiertage!$B$5+ROW(B21)-1, "")</f>
        <v/>
      </c>
      <c r="D23" s="1" t="str">
        <f>IF(Feiertage!$B$6+ROW(B21)-1&lt;=Feiertage!$C$6, Feiertage!$B$6+ROW(B21)-1, "")</f>
        <v/>
      </c>
      <c r="E23" s="1" t="str">
        <f>IF(Feiertage!$B$7+ROW(B21)-1&lt;=Feiertage!$C$7, Feiertage!$B$7+ROW(B21)-1, "")</f>
        <v/>
      </c>
      <c r="F23" s="1" t="str">
        <f>IF(Feiertage!$B$8+ROW(B21)-1&lt;=Feiertage!$C$8, Feiertage!$B$8+ROW(B21)-1, "")</f>
        <v/>
      </c>
      <c r="G23" s="1" t="str">
        <f>IF(Feiertage!$B$9+ROW(B21)-1&lt;=Feiertage!$C$9, Feiertage!$B$9+ROW(B21)-1, "")</f>
        <v/>
      </c>
      <c r="H23" s="1" t="str">
        <f>IF(Feiertage!$B$10+ROW(B21)-1&lt;=Feiertage!$C$10, Feiertage!$B$10+ROW(B21)-1, "")</f>
        <v/>
      </c>
      <c r="I23" s="1" t="str">
        <f>IF(Feiertage!$B$11+ROW(B21)-1&lt;=Feiertage!$C$11, Feiertage!$B$11+ROW(B21)-1, "")</f>
        <v/>
      </c>
      <c r="J23" s="1" t="str">
        <f>IF(Feiertage!$B$12+ROW(B21)-1&lt;=Feiertage!$C$12, Feiertage!$B$12+ROW(B21)-1, "")</f>
        <v/>
      </c>
      <c r="K23" s="1" t="str">
        <f>IF(Feiertage!$B$13+ROW(B21)-1&lt;=Feiertage!$C$13, Feiertage!$B$13+ROW(B21)-1, "")</f>
        <v/>
      </c>
      <c r="L23" s="1" t="str">
        <f>IF(Feiertage!$B$14+ROW(B21)-1&lt;=Feiertage!$C$14, Feiertage!$B$14+ROW(B21)-1, "")</f>
        <v/>
      </c>
      <c r="M23" s="1" t="str">
        <f>IF(Feiertage!$B$15+ROW(B21)-1&lt;=Feiertage!$C$15, Feiertage!$B$15+ROW(B21)-1, "")</f>
        <v/>
      </c>
      <c r="N23" s="1" t="str">
        <f>IF(Feiertage!$B$16+ROW(B21)-1&lt;=Feiertage!$C$16, Feiertage!$B$16+ROW(B21)-1, "")</f>
        <v/>
      </c>
      <c r="O23" s="1" t="str">
        <f>IF(Feiertage!$B$17+ROW(B21)-1&lt;=Feiertage!$C$17, Feiertage!$B$17+ROW(B21)-1, "")</f>
        <v/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3">
      <c r="A24" s="1" t="str">
        <f>IF(Feiertage!$B$3+ROW(A22)-1&lt;=Feiertage!$C$3, Feiertage!$B$3+ROW(A22)-1, "")</f>
        <v/>
      </c>
      <c r="B24" s="1" t="str">
        <f>IF(Feiertage!$B$4+ROW(B22)-1&lt;=Feiertage!$C$4, Feiertage!$B$4+ROW(B22)-1, "")</f>
        <v/>
      </c>
      <c r="C24" s="1" t="str">
        <f>IF(Feiertage!$B$5+ROW(B22)-1&lt;=Feiertage!$C$5, Feiertage!$B$5+ROW(B22)-1, "")</f>
        <v/>
      </c>
      <c r="D24" s="1" t="str">
        <f>IF(Feiertage!$B$6+ROW(B22)-1&lt;=Feiertage!$C$6, Feiertage!$B$6+ROW(B22)-1, "")</f>
        <v/>
      </c>
      <c r="E24" s="1" t="str">
        <f>IF(Feiertage!$B$7+ROW(B22)-1&lt;=Feiertage!$C$7, Feiertage!$B$7+ROW(B22)-1, "")</f>
        <v/>
      </c>
      <c r="F24" s="1" t="str">
        <f>IF(Feiertage!$B$8+ROW(B22)-1&lt;=Feiertage!$C$8, Feiertage!$B$8+ROW(B22)-1, "")</f>
        <v/>
      </c>
      <c r="G24" s="1" t="str">
        <f>IF(Feiertage!$B$9+ROW(B22)-1&lt;=Feiertage!$C$9, Feiertage!$B$9+ROW(B22)-1, "")</f>
        <v/>
      </c>
      <c r="H24" s="1" t="str">
        <f>IF(Feiertage!$B$10+ROW(B22)-1&lt;=Feiertage!$C$10, Feiertage!$B$10+ROW(B22)-1, "")</f>
        <v/>
      </c>
      <c r="I24" s="1" t="str">
        <f>IF(Feiertage!$B$11+ROW(B22)-1&lt;=Feiertage!$C$11, Feiertage!$B$11+ROW(B22)-1, "")</f>
        <v/>
      </c>
      <c r="J24" s="1" t="str">
        <f>IF(Feiertage!$B$12+ROW(B22)-1&lt;=Feiertage!$C$12, Feiertage!$B$12+ROW(B22)-1, "")</f>
        <v/>
      </c>
      <c r="K24" s="1" t="str">
        <f>IF(Feiertage!$B$13+ROW(B22)-1&lt;=Feiertage!$C$13, Feiertage!$B$13+ROW(B22)-1, "")</f>
        <v/>
      </c>
      <c r="L24" s="1" t="str">
        <f>IF(Feiertage!$B$14+ROW(B22)-1&lt;=Feiertage!$C$14, Feiertage!$B$14+ROW(B22)-1, "")</f>
        <v/>
      </c>
      <c r="M24" s="1" t="str">
        <f>IF(Feiertage!$B$15+ROW(B22)-1&lt;=Feiertage!$C$15, Feiertage!$B$15+ROW(B22)-1, "")</f>
        <v/>
      </c>
      <c r="N24" s="1" t="str">
        <f>IF(Feiertage!$B$16+ROW(B22)-1&lt;=Feiertage!$C$16, Feiertage!$B$16+ROW(B22)-1, "")</f>
        <v/>
      </c>
      <c r="O24" s="1" t="str">
        <f>IF(Feiertage!$B$17+ROW(B22)-1&lt;=Feiertage!$C$17, Feiertage!$B$17+ROW(B22)-1, "")</f>
        <v/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3">
      <c r="A25" s="1" t="str">
        <f>IF(Feiertage!$B$3+ROW(A23)-1&lt;=Feiertage!$C$3, Feiertage!$B$3+ROW(A23)-1, "")</f>
        <v/>
      </c>
      <c r="B25" s="1" t="str">
        <f>IF(Feiertage!$B$4+ROW(B23)-1&lt;=Feiertage!$C$4, Feiertage!$B$4+ROW(B23)-1, "")</f>
        <v/>
      </c>
      <c r="C25" s="1" t="str">
        <f>IF(Feiertage!$B$5+ROW(B23)-1&lt;=Feiertage!$C$5, Feiertage!$B$5+ROW(B23)-1, "")</f>
        <v/>
      </c>
      <c r="D25" s="1" t="str">
        <f>IF(Feiertage!$B$6+ROW(B23)-1&lt;=Feiertage!$C$6, Feiertage!$B$6+ROW(B23)-1, "")</f>
        <v/>
      </c>
      <c r="E25" s="1" t="str">
        <f>IF(Feiertage!$B$7+ROW(B23)-1&lt;=Feiertage!$C$7, Feiertage!$B$7+ROW(B23)-1, "")</f>
        <v/>
      </c>
      <c r="F25" s="1" t="str">
        <f>IF(Feiertage!$B$8+ROW(B23)-1&lt;=Feiertage!$C$8, Feiertage!$B$8+ROW(B23)-1, "")</f>
        <v/>
      </c>
      <c r="G25" s="1" t="str">
        <f>IF(Feiertage!$B$9+ROW(B23)-1&lt;=Feiertage!$C$9, Feiertage!$B$9+ROW(B23)-1, "")</f>
        <v/>
      </c>
      <c r="H25" s="1" t="str">
        <f>IF(Feiertage!$B$10+ROW(B23)-1&lt;=Feiertage!$C$10, Feiertage!$B$10+ROW(B23)-1, "")</f>
        <v/>
      </c>
      <c r="I25" s="1" t="str">
        <f>IF(Feiertage!$B$11+ROW(B23)-1&lt;=Feiertage!$C$11, Feiertage!$B$11+ROW(B23)-1, "")</f>
        <v/>
      </c>
      <c r="J25" s="1" t="str">
        <f>IF(Feiertage!$B$12+ROW(B23)-1&lt;=Feiertage!$C$12, Feiertage!$B$12+ROW(B23)-1, "")</f>
        <v/>
      </c>
      <c r="K25" s="1" t="str">
        <f>IF(Feiertage!$B$13+ROW(B23)-1&lt;=Feiertage!$C$13, Feiertage!$B$13+ROW(B23)-1, "")</f>
        <v/>
      </c>
      <c r="L25" s="1" t="str">
        <f>IF(Feiertage!$B$14+ROW(B23)-1&lt;=Feiertage!$C$14, Feiertage!$B$14+ROW(B23)-1, "")</f>
        <v/>
      </c>
      <c r="M25" s="1" t="str">
        <f>IF(Feiertage!$B$15+ROW(B23)-1&lt;=Feiertage!$C$15, Feiertage!$B$15+ROW(B23)-1, "")</f>
        <v/>
      </c>
      <c r="N25" s="1" t="str">
        <f>IF(Feiertage!$B$16+ROW(B23)-1&lt;=Feiertage!$C$16, Feiertage!$B$16+ROW(B23)-1, "")</f>
        <v/>
      </c>
      <c r="O25" s="1" t="str">
        <f>IF(Feiertage!$B$17+ROW(B23)-1&lt;=Feiertage!$C$17, Feiertage!$B$17+ROW(B23)-1, "")</f>
        <v/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3">
      <c r="A26" s="1" t="str">
        <f>IF(Feiertage!$B$3+ROW(A24)-1&lt;=Feiertage!$C$3, Feiertage!$B$3+ROW(A24)-1, "")</f>
        <v/>
      </c>
      <c r="B26" s="1" t="str">
        <f>IF(Feiertage!$B$4+ROW(B24)-1&lt;=Feiertage!$C$4, Feiertage!$B$4+ROW(B24)-1, "")</f>
        <v/>
      </c>
      <c r="C26" s="1" t="str">
        <f>IF(Feiertage!$B$5+ROW(B24)-1&lt;=Feiertage!$C$5, Feiertage!$B$5+ROW(B24)-1, "")</f>
        <v/>
      </c>
      <c r="D26" s="1" t="str">
        <f>IF(Feiertage!$B$6+ROW(B24)-1&lt;=Feiertage!$C$6, Feiertage!$B$6+ROW(B24)-1, "")</f>
        <v/>
      </c>
      <c r="E26" s="1" t="str">
        <f>IF(Feiertage!$B$7+ROW(B24)-1&lt;=Feiertage!$C$7, Feiertage!$B$7+ROW(B24)-1, "")</f>
        <v/>
      </c>
      <c r="F26" s="1" t="str">
        <f>IF(Feiertage!$B$8+ROW(B24)-1&lt;=Feiertage!$C$8, Feiertage!$B$8+ROW(B24)-1, "")</f>
        <v/>
      </c>
      <c r="G26" s="1" t="str">
        <f>IF(Feiertage!$B$9+ROW(B24)-1&lt;=Feiertage!$C$9, Feiertage!$B$9+ROW(B24)-1, "")</f>
        <v/>
      </c>
      <c r="H26" s="1" t="str">
        <f>IF(Feiertage!$B$10+ROW(B24)-1&lt;=Feiertage!$C$10, Feiertage!$B$10+ROW(B24)-1, "")</f>
        <v/>
      </c>
      <c r="I26" s="1" t="str">
        <f>IF(Feiertage!$B$11+ROW(B24)-1&lt;=Feiertage!$C$11, Feiertage!$B$11+ROW(B24)-1, "")</f>
        <v/>
      </c>
      <c r="J26" s="1" t="str">
        <f>IF(Feiertage!$B$12+ROW(B24)-1&lt;=Feiertage!$C$12, Feiertage!$B$12+ROW(B24)-1, "")</f>
        <v/>
      </c>
      <c r="K26" s="1" t="str">
        <f>IF(Feiertage!$B$13+ROW(B24)-1&lt;=Feiertage!$C$13, Feiertage!$B$13+ROW(B24)-1, "")</f>
        <v/>
      </c>
      <c r="L26" s="1" t="str">
        <f>IF(Feiertage!$B$14+ROW(B24)-1&lt;=Feiertage!$C$14, Feiertage!$B$14+ROW(B24)-1, "")</f>
        <v/>
      </c>
      <c r="M26" s="1" t="str">
        <f>IF(Feiertage!$B$15+ROW(B24)-1&lt;=Feiertage!$C$15, Feiertage!$B$15+ROW(B24)-1, "")</f>
        <v/>
      </c>
      <c r="N26" s="1" t="str">
        <f>IF(Feiertage!$B$16+ROW(B24)-1&lt;=Feiertage!$C$16, Feiertage!$B$16+ROW(B24)-1, "")</f>
        <v/>
      </c>
      <c r="O26" s="1" t="str">
        <f>IF(Feiertage!$B$17+ROW(B24)-1&lt;=Feiertage!$C$17, Feiertage!$B$17+ROW(B24)-1, "")</f>
        <v/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3">
      <c r="A27" s="1" t="str">
        <f>IF(Feiertage!$B$3+ROW(A25)-1&lt;=Feiertage!$C$3, Feiertage!$B$3+ROW(A25)-1, "")</f>
        <v/>
      </c>
      <c r="B27" s="1" t="str">
        <f>IF(Feiertage!$B$4+ROW(B25)-1&lt;=Feiertage!$C$4, Feiertage!$B$4+ROW(B25)-1, "")</f>
        <v/>
      </c>
      <c r="C27" s="1" t="str">
        <f>IF(Feiertage!$B$5+ROW(B25)-1&lt;=Feiertage!$C$5, Feiertage!$B$5+ROW(B25)-1, "")</f>
        <v/>
      </c>
      <c r="D27" s="1" t="str">
        <f>IF(Feiertage!$B$6+ROW(B25)-1&lt;=Feiertage!$C$6, Feiertage!$B$6+ROW(B25)-1, "")</f>
        <v/>
      </c>
      <c r="E27" s="1" t="str">
        <f>IF(Feiertage!$B$7+ROW(B25)-1&lt;=Feiertage!$C$7, Feiertage!$B$7+ROW(B25)-1, "")</f>
        <v/>
      </c>
      <c r="F27" s="1" t="str">
        <f>IF(Feiertage!$B$8+ROW(B25)-1&lt;=Feiertage!$C$8, Feiertage!$B$8+ROW(B25)-1, "")</f>
        <v/>
      </c>
      <c r="G27" s="1" t="str">
        <f>IF(Feiertage!$B$9+ROW(B25)-1&lt;=Feiertage!$C$9, Feiertage!$B$9+ROW(B25)-1, "")</f>
        <v/>
      </c>
      <c r="H27" s="1" t="str">
        <f>IF(Feiertage!$B$10+ROW(B25)-1&lt;=Feiertage!$C$10, Feiertage!$B$10+ROW(B25)-1, "")</f>
        <v/>
      </c>
      <c r="I27" s="1" t="str">
        <f>IF(Feiertage!$B$11+ROW(B25)-1&lt;=Feiertage!$C$11, Feiertage!$B$11+ROW(B25)-1, "")</f>
        <v/>
      </c>
      <c r="J27" s="1" t="str">
        <f>IF(Feiertage!$B$12+ROW(B25)-1&lt;=Feiertage!$C$12, Feiertage!$B$12+ROW(B25)-1, "")</f>
        <v/>
      </c>
      <c r="K27" s="1" t="str">
        <f>IF(Feiertage!$B$13+ROW(B25)-1&lt;=Feiertage!$C$13, Feiertage!$B$13+ROW(B25)-1, "")</f>
        <v/>
      </c>
      <c r="L27" s="1" t="str">
        <f>IF(Feiertage!$B$14+ROW(B25)-1&lt;=Feiertage!$C$14, Feiertage!$B$14+ROW(B25)-1, "")</f>
        <v/>
      </c>
      <c r="M27" s="1" t="str">
        <f>IF(Feiertage!$B$15+ROW(B25)-1&lt;=Feiertage!$C$15, Feiertage!$B$15+ROW(B25)-1, "")</f>
        <v/>
      </c>
      <c r="N27" s="1" t="str">
        <f>IF(Feiertage!$B$16+ROW(B25)-1&lt;=Feiertage!$C$16, Feiertage!$B$16+ROW(B25)-1, "")</f>
        <v/>
      </c>
      <c r="O27" s="1" t="str">
        <f>IF(Feiertage!$B$17+ROW(B25)-1&lt;=Feiertage!$C$17, Feiertage!$B$17+ROW(B25)-1, "")</f>
        <v/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3">
      <c r="A28" s="1" t="str">
        <f>IF(Feiertage!$B$3+ROW(A26)-1&lt;=Feiertage!$C$3, Feiertage!$B$3+ROW(A26)-1, "")</f>
        <v/>
      </c>
      <c r="B28" s="1" t="str">
        <f>IF(Feiertage!$B$4+ROW(B26)-1&lt;=Feiertage!$C$4, Feiertage!$B$4+ROW(B26)-1, "")</f>
        <v/>
      </c>
      <c r="C28" s="1" t="str">
        <f>IF(Feiertage!$B$5+ROW(B26)-1&lt;=Feiertage!$C$5, Feiertage!$B$5+ROW(B26)-1, "")</f>
        <v/>
      </c>
      <c r="D28" s="1" t="str">
        <f>IF(Feiertage!$B$6+ROW(B26)-1&lt;=Feiertage!$C$6, Feiertage!$B$6+ROW(B26)-1, "")</f>
        <v/>
      </c>
      <c r="E28" s="1" t="str">
        <f>IF(Feiertage!$B$7+ROW(B26)-1&lt;=Feiertage!$C$7, Feiertage!$B$7+ROW(B26)-1, "")</f>
        <v/>
      </c>
      <c r="F28" s="1" t="str">
        <f>IF(Feiertage!$B$8+ROW(B26)-1&lt;=Feiertage!$C$8, Feiertage!$B$8+ROW(B26)-1, "")</f>
        <v/>
      </c>
      <c r="G28" s="1" t="str">
        <f>IF(Feiertage!$B$9+ROW(B26)-1&lt;=Feiertage!$C$9, Feiertage!$B$9+ROW(B26)-1, "")</f>
        <v/>
      </c>
      <c r="H28" s="1" t="str">
        <f>IF(Feiertage!$B$10+ROW(B26)-1&lt;=Feiertage!$C$10, Feiertage!$B$10+ROW(B26)-1, "")</f>
        <v/>
      </c>
      <c r="I28" s="1" t="str">
        <f>IF(Feiertage!$B$11+ROW(B26)-1&lt;=Feiertage!$C$11, Feiertage!$B$11+ROW(B26)-1, "")</f>
        <v/>
      </c>
      <c r="J28" s="1" t="str">
        <f>IF(Feiertage!$B$12+ROW(B26)-1&lt;=Feiertage!$C$12, Feiertage!$B$12+ROW(B26)-1, "")</f>
        <v/>
      </c>
      <c r="K28" s="1" t="str">
        <f>IF(Feiertage!$B$13+ROW(B26)-1&lt;=Feiertage!$C$13, Feiertage!$B$13+ROW(B26)-1, "")</f>
        <v/>
      </c>
      <c r="L28" s="1" t="str">
        <f>IF(Feiertage!$B$14+ROW(B26)-1&lt;=Feiertage!$C$14, Feiertage!$B$14+ROW(B26)-1, "")</f>
        <v/>
      </c>
      <c r="M28" s="1" t="str">
        <f>IF(Feiertage!$B$15+ROW(B26)-1&lt;=Feiertage!$C$15, Feiertage!$B$15+ROW(B26)-1, "")</f>
        <v/>
      </c>
      <c r="N28" s="1" t="str">
        <f>IF(Feiertage!$B$16+ROW(B26)-1&lt;=Feiertage!$C$16, Feiertage!$B$16+ROW(B26)-1, "")</f>
        <v/>
      </c>
      <c r="O28" s="1" t="str">
        <f>IF(Feiertage!$B$17+ROW(B26)-1&lt;=Feiertage!$C$17, Feiertage!$B$17+ROW(B26)-1, "")</f>
        <v/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3">
      <c r="A29" s="1" t="str">
        <f>IF(Feiertage!$B$3+ROW(A27)-1&lt;=Feiertage!$C$3, Feiertage!$B$3+ROW(A27)-1, "")</f>
        <v/>
      </c>
      <c r="B29" s="1" t="str">
        <f>IF(Feiertage!$B$4+ROW(B27)-1&lt;=Feiertage!$C$4, Feiertage!$B$4+ROW(B27)-1, "")</f>
        <v/>
      </c>
      <c r="C29" s="1" t="str">
        <f>IF(Feiertage!$B$5+ROW(B27)-1&lt;=Feiertage!$C$5, Feiertage!$B$5+ROW(B27)-1, "")</f>
        <v/>
      </c>
      <c r="D29" s="1" t="str">
        <f>IF(Feiertage!$B$6+ROW(B27)-1&lt;=Feiertage!$C$6, Feiertage!$B$6+ROW(B27)-1, "")</f>
        <v/>
      </c>
      <c r="E29" s="1" t="str">
        <f>IF(Feiertage!$B$7+ROW(B27)-1&lt;=Feiertage!$C$7, Feiertage!$B$7+ROW(B27)-1, "")</f>
        <v/>
      </c>
      <c r="F29" s="1" t="str">
        <f>IF(Feiertage!$B$8+ROW(B27)-1&lt;=Feiertage!$C$8, Feiertage!$B$8+ROW(B27)-1, "")</f>
        <v/>
      </c>
      <c r="G29" s="1" t="str">
        <f>IF(Feiertage!$B$9+ROW(B27)-1&lt;=Feiertage!$C$9, Feiertage!$B$9+ROW(B27)-1, "")</f>
        <v/>
      </c>
      <c r="H29" s="1" t="str">
        <f>IF(Feiertage!$B$10+ROW(B27)-1&lt;=Feiertage!$C$10, Feiertage!$B$10+ROW(B27)-1, "")</f>
        <v/>
      </c>
      <c r="I29" s="1" t="str">
        <f>IF(Feiertage!$B$11+ROW(B27)-1&lt;=Feiertage!$C$11, Feiertage!$B$11+ROW(B27)-1, "")</f>
        <v/>
      </c>
      <c r="J29" s="1" t="str">
        <f>IF(Feiertage!$B$12+ROW(B27)-1&lt;=Feiertage!$C$12, Feiertage!$B$12+ROW(B27)-1, "")</f>
        <v/>
      </c>
      <c r="K29" s="1" t="str">
        <f>IF(Feiertage!$B$13+ROW(B27)-1&lt;=Feiertage!$C$13, Feiertage!$B$13+ROW(B27)-1, "")</f>
        <v/>
      </c>
      <c r="L29" s="1" t="str">
        <f>IF(Feiertage!$B$14+ROW(B27)-1&lt;=Feiertage!$C$14, Feiertage!$B$14+ROW(B27)-1, "")</f>
        <v/>
      </c>
      <c r="M29" s="1" t="str">
        <f>IF(Feiertage!$B$15+ROW(B27)-1&lt;=Feiertage!$C$15, Feiertage!$B$15+ROW(B27)-1, "")</f>
        <v/>
      </c>
      <c r="N29" s="1" t="str">
        <f>IF(Feiertage!$B$16+ROW(B27)-1&lt;=Feiertage!$C$16, Feiertage!$B$16+ROW(B27)-1, "")</f>
        <v/>
      </c>
      <c r="O29" s="1" t="str">
        <f>IF(Feiertage!$B$17+ROW(B27)-1&lt;=Feiertage!$C$17, Feiertage!$B$17+ROW(B27)-1, "")</f>
        <v/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3">
      <c r="A30" s="1" t="str">
        <f>IF(Feiertage!$B$3+ROW(A28)-1&lt;=Feiertage!$C$3, Feiertage!$B$3+ROW(A28)-1, "")</f>
        <v/>
      </c>
      <c r="B30" s="1" t="str">
        <f>IF(Feiertage!$B$4+ROW(B28)-1&lt;=Feiertage!$C$4, Feiertage!$B$4+ROW(B28)-1, "")</f>
        <v/>
      </c>
      <c r="C30" s="1" t="str">
        <f>IF(Feiertage!$B$5+ROW(B28)-1&lt;=Feiertage!$C$5, Feiertage!$B$5+ROW(B28)-1, "")</f>
        <v/>
      </c>
      <c r="D30" s="1" t="str">
        <f>IF(Feiertage!$B$6+ROW(B28)-1&lt;=Feiertage!$C$6, Feiertage!$B$6+ROW(B28)-1, "")</f>
        <v/>
      </c>
      <c r="E30" s="1" t="str">
        <f>IF(Feiertage!$B$7+ROW(B28)-1&lt;=Feiertage!$C$7, Feiertage!$B$7+ROW(B28)-1, "")</f>
        <v/>
      </c>
      <c r="F30" s="1" t="str">
        <f>IF(Feiertage!$B$8+ROW(B28)-1&lt;=Feiertage!$C$8, Feiertage!$B$8+ROW(B28)-1, "")</f>
        <v/>
      </c>
      <c r="G30" s="1" t="str">
        <f>IF(Feiertage!$B$9+ROW(B28)-1&lt;=Feiertage!$C$9, Feiertage!$B$9+ROW(B28)-1, "")</f>
        <v/>
      </c>
      <c r="H30" s="1" t="str">
        <f>IF(Feiertage!$B$10+ROW(B28)-1&lt;=Feiertage!$C$10, Feiertage!$B$10+ROW(B28)-1, "")</f>
        <v/>
      </c>
      <c r="I30" s="1" t="str">
        <f>IF(Feiertage!$B$11+ROW(B28)-1&lt;=Feiertage!$C$11, Feiertage!$B$11+ROW(B28)-1, "")</f>
        <v/>
      </c>
      <c r="J30" s="1" t="str">
        <f>IF(Feiertage!$B$12+ROW(B28)-1&lt;=Feiertage!$C$12, Feiertage!$B$12+ROW(B28)-1, "")</f>
        <v/>
      </c>
      <c r="K30" s="1" t="str">
        <f>IF(Feiertage!$B$13+ROW(B28)-1&lt;=Feiertage!$C$13, Feiertage!$B$13+ROW(B28)-1, "")</f>
        <v/>
      </c>
      <c r="L30" s="1" t="str">
        <f>IF(Feiertage!$B$14+ROW(B28)-1&lt;=Feiertage!$C$14, Feiertage!$B$14+ROW(B28)-1, "")</f>
        <v/>
      </c>
      <c r="M30" s="1" t="str">
        <f>IF(Feiertage!$B$15+ROW(B28)-1&lt;=Feiertage!$C$15, Feiertage!$B$15+ROW(B28)-1, "")</f>
        <v/>
      </c>
      <c r="N30" s="1" t="str">
        <f>IF(Feiertage!$B$16+ROW(B28)-1&lt;=Feiertage!$C$16, Feiertage!$B$16+ROW(B28)-1, "")</f>
        <v/>
      </c>
      <c r="O30" s="1" t="str">
        <f>IF(Feiertage!$B$17+ROW(B28)-1&lt;=Feiertage!$C$17, Feiertage!$B$17+ROW(B28)-1, "")</f>
        <v/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3">
      <c r="A31" s="1" t="str">
        <f>IF(Feiertage!$B$3+ROW(A29)-1&lt;=Feiertage!$C$3, Feiertage!$B$3+ROW(A29)-1, "")</f>
        <v/>
      </c>
      <c r="B31" s="1" t="str">
        <f>IF(Feiertage!$B$4+ROW(B29)-1&lt;=Feiertage!$C$4, Feiertage!$B$4+ROW(B29)-1, "")</f>
        <v/>
      </c>
      <c r="C31" s="1" t="str">
        <f>IF(Feiertage!$B$5+ROW(B29)-1&lt;=Feiertage!$C$5, Feiertage!$B$5+ROW(B29)-1, "")</f>
        <v/>
      </c>
      <c r="D31" s="1" t="str">
        <f>IF(Feiertage!$B$6+ROW(B29)-1&lt;=Feiertage!$C$6, Feiertage!$B$6+ROW(B29)-1, "")</f>
        <v/>
      </c>
      <c r="E31" s="1" t="str">
        <f>IF(Feiertage!$B$7+ROW(B29)-1&lt;=Feiertage!$C$7, Feiertage!$B$7+ROW(B29)-1, "")</f>
        <v/>
      </c>
      <c r="F31" s="1" t="str">
        <f>IF(Feiertage!$B$8+ROW(B29)-1&lt;=Feiertage!$C$8, Feiertage!$B$8+ROW(B29)-1, "")</f>
        <v/>
      </c>
      <c r="G31" s="1" t="str">
        <f>IF(Feiertage!$B$9+ROW(B29)-1&lt;=Feiertage!$C$9, Feiertage!$B$9+ROW(B29)-1, "")</f>
        <v/>
      </c>
      <c r="H31" s="1" t="str">
        <f>IF(Feiertage!$B$10+ROW(B29)-1&lt;=Feiertage!$C$10, Feiertage!$B$10+ROW(B29)-1, "")</f>
        <v/>
      </c>
      <c r="I31" s="1" t="str">
        <f>IF(Feiertage!$B$11+ROW(B29)-1&lt;=Feiertage!$C$11, Feiertage!$B$11+ROW(B29)-1, "")</f>
        <v/>
      </c>
      <c r="J31" s="1" t="str">
        <f>IF(Feiertage!$B$12+ROW(B29)-1&lt;=Feiertage!$C$12, Feiertage!$B$12+ROW(B29)-1, "")</f>
        <v/>
      </c>
      <c r="K31" s="1" t="str">
        <f>IF(Feiertage!$B$13+ROW(B29)-1&lt;=Feiertage!$C$13, Feiertage!$B$13+ROW(B29)-1, "")</f>
        <v/>
      </c>
      <c r="L31" s="1" t="str">
        <f>IF(Feiertage!$B$14+ROW(B29)-1&lt;=Feiertage!$C$14, Feiertage!$B$14+ROW(B29)-1, "")</f>
        <v/>
      </c>
      <c r="M31" s="1" t="str">
        <f>IF(Feiertage!$B$15+ROW(B29)-1&lt;=Feiertage!$C$15, Feiertage!$B$15+ROW(B29)-1, "")</f>
        <v/>
      </c>
      <c r="N31" s="1" t="str">
        <f>IF(Feiertage!$B$16+ROW(B29)-1&lt;=Feiertage!$C$16, Feiertage!$B$16+ROW(B29)-1, "")</f>
        <v/>
      </c>
      <c r="O31" s="1" t="str">
        <f>IF(Feiertage!$B$17+ROW(B29)-1&lt;=Feiertage!$C$17, Feiertage!$B$17+ROW(B29)-1, "")</f>
        <v/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3">
      <c r="A32" s="1" t="str">
        <f>IF(Feiertage!$B$3+ROW(A30)-1&lt;=Feiertage!$C$3, Feiertage!$B$3+ROW(A30)-1, "")</f>
        <v/>
      </c>
      <c r="B32" s="1" t="str">
        <f>IF(Feiertage!$B$4+ROW(B30)-1&lt;=Feiertage!$C$4, Feiertage!$B$4+ROW(B30)-1, "")</f>
        <v/>
      </c>
      <c r="C32" s="1" t="str">
        <f>IF(Feiertage!$B$5+ROW(B30)-1&lt;=Feiertage!$C$5, Feiertage!$B$5+ROW(B30)-1, "")</f>
        <v/>
      </c>
      <c r="D32" s="1" t="str">
        <f>IF(Feiertage!$B$6+ROW(B30)-1&lt;=Feiertage!$C$6, Feiertage!$B$6+ROW(B30)-1, "")</f>
        <v/>
      </c>
      <c r="E32" s="1" t="str">
        <f>IF(Feiertage!$B$7+ROW(B30)-1&lt;=Feiertage!$C$7, Feiertage!$B$7+ROW(B30)-1, "")</f>
        <v/>
      </c>
      <c r="F32" s="1" t="str">
        <f>IF(Feiertage!$B$8+ROW(B30)-1&lt;=Feiertage!$C$8, Feiertage!$B$8+ROW(B30)-1, "")</f>
        <v/>
      </c>
      <c r="G32" s="1" t="str">
        <f>IF(Feiertage!$B$9+ROW(B30)-1&lt;=Feiertage!$C$9, Feiertage!$B$9+ROW(B30)-1, "")</f>
        <v/>
      </c>
      <c r="H32" s="1" t="str">
        <f>IF(Feiertage!$B$10+ROW(B30)-1&lt;=Feiertage!$C$10, Feiertage!$B$10+ROW(B30)-1, "")</f>
        <v/>
      </c>
      <c r="I32" s="1" t="str">
        <f>IF(Feiertage!$B$11+ROW(B30)-1&lt;=Feiertage!$C$11, Feiertage!$B$11+ROW(B30)-1, "")</f>
        <v/>
      </c>
      <c r="J32" s="1" t="str">
        <f>IF(Feiertage!$B$12+ROW(B30)-1&lt;=Feiertage!$C$12, Feiertage!$B$12+ROW(B30)-1, "")</f>
        <v/>
      </c>
      <c r="K32" s="1" t="str">
        <f>IF(Feiertage!$B$13+ROW(B30)-1&lt;=Feiertage!$C$13, Feiertage!$B$13+ROW(B30)-1, "")</f>
        <v/>
      </c>
      <c r="L32" s="1" t="str">
        <f>IF(Feiertage!$B$14+ROW(B30)-1&lt;=Feiertage!$C$14, Feiertage!$B$14+ROW(B30)-1, "")</f>
        <v/>
      </c>
      <c r="M32" s="1" t="str">
        <f>IF(Feiertage!$B$15+ROW(B30)-1&lt;=Feiertage!$C$15, Feiertage!$B$15+ROW(B30)-1, "")</f>
        <v/>
      </c>
      <c r="N32" s="1" t="str">
        <f>IF(Feiertage!$B$16+ROW(B30)-1&lt;=Feiertage!$C$16, Feiertage!$B$16+ROW(B30)-1, "")</f>
        <v/>
      </c>
      <c r="O32" s="1" t="str">
        <f>IF(Feiertage!$B$17+ROW(B30)-1&lt;=Feiertage!$C$17, Feiertage!$B$17+ROW(B30)-1, "")</f>
        <v/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3">
      <c r="A33" s="1" t="str">
        <f>IF(Feiertage!$B$3+ROW(A31)-1&lt;=Feiertage!$C$3, Feiertage!$B$3+ROW(A31)-1, "")</f>
        <v/>
      </c>
      <c r="B33" s="1" t="str">
        <f>IF(Feiertage!$B$4+ROW(B31)-1&lt;=Feiertage!$C$4, Feiertage!$B$4+ROW(B31)-1, "")</f>
        <v/>
      </c>
      <c r="C33" s="1" t="str">
        <f>IF(Feiertage!$B$5+ROW(B31)-1&lt;=Feiertage!$C$5, Feiertage!$B$5+ROW(B31)-1, "")</f>
        <v/>
      </c>
      <c r="D33" s="1" t="str">
        <f>IF(Feiertage!$B$6+ROW(B31)-1&lt;=Feiertage!$C$6, Feiertage!$B$6+ROW(B31)-1, "")</f>
        <v/>
      </c>
      <c r="E33" s="1" t="str">
        <f>IF(Feiertage!$B$7+ROW(B31)-1&lt;=Feiertage!$C$7, Feiertage!$B$7+ROW(B31)-1, "")</f>
        <v/>
      </c>
      <c r="F33" s="1" t="str">
        <f>IF(Feiertage!$B$8+ROW(B31)-1&lt;=Feiertage!$C$8, Feiertage!$B$8+ROW(B31)-1, "")</f>
        <v/>
      </c>
      <c r="G33" s="1" t="str">
        <f>IF(Feiertage!$B$9+ROW(B31)-1&lt;=Feiertage!$C$9, Feiertage!$B$9+ROW(B31)-1, "")</f>
        <v/>
      </c>
      <c r="H33" s="1" t="str">
        <f>IF(Feiertage!$B$10+ROW(B31)-1&lt;=Feiertage!$C$10, Feiertage!$B$10+ROW(B31)-1, "")</f>
        <v/>
      </c>
      <c r="I33" s="1" t="str">
        <f>IF(Feiertage!$B$11+ROW(B31)-1&lt;=Feiertage!$C$11, Feiertage!$B$11+ROW(B31)-1, "")</f>
        <v/>
      </c>
      <c r="J33" s="1" t="str">
        <f>IF(Feiertage!$B$12+ROW(B31)-1&lt;=Feiertage!$C$12, Feiertage!$B$12+ROW(B31)-1, "")</f>
        <v/>
      </c>
      <c r="K33" s="1" t="str">
        <f>IF(Feiertage!$B$13+ROW(B31)-1&lt;=Feiertage!$C$13, Feiertage!$B$13+ROW(B31)-1, "")</f>
        <v/>
      </c>
      <c r="L33" s="1" t="str">
        <f>IF(Feiertage!$B$14+ROW(B31)-1&lt;=Feiertage!$C$14, Feiertage!$B$14+ROW(B31)-1, "")</f>
        <v/>
      </c>
      <c r="M33" s="1" t="str">
        <f>IF(Feiertage!$B$15+ROW(B31)-1&lt;=Feiertage!$C$15, Feiertage!$B$15+ROW(B31)-1, "")</f>
        <v/>
      </c>
      <c r="N33" s="1" t="str">
        <f>IF(Feiertage!$B$16+ROW(B31)-1&lt;=Feiertage!$C$16, Feiertage!$B$16+ROW(B31)-1, "")</f>
        <v/>
      </c>
      <c r="O33" s="1" t="str">
        <f>IF(Feiertage!$B$17+ROW(B31)-1&lt;=Feiertage!$C$17, Feiertage!$B$17+ROW(B31)-1, "")</f>
        <v/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3">
      <c r="A34" s="1" t="str">
        <f>IF(Feiertage!$B$3+ROW(A32)-1&lt;=Feiertage!$C$3, Feiertage!$B$3+ROW(A32)-1, "")</f>
        <v/>
      </c>
      <c r="B34" s="1" t="str">
        <f>IF(Feiertage!$B$4+ROW(B32)-1&lt;=Feiertage!$C$4, Feiertage!$B$4+ROW(B32)-1, "")</f>
        <v/>
      </c>
      <c r="C34" s="1" t="str">
        <f>IF(Feiertage!$B$5+ROW(B32)-1&lt;=Feiertage!$C$5, Feiertage!$B$5+ROW(B32)-1, "")</f>
        <v/>
      </c>
      <c r="D34" s="1" t="str">
        <f>IF(Feiertage!$B$6+ROW(B32)-1&lt;=Feiertage!$C$6, Feiertage!$B$6+ROW(B32)-1, "")</f>
        <v/>
      </c>
      <c r="E34" s="1" t="str">
        <f>IF(Feiertage!$B$7+ROW(B32)-1&lt;=Feiertage!$C$7, Feiertage!$B$7+ROW(B32)-1, "")</f>
        <v/>
      </c>
      <c r="F34" s="1" t="str">
        <f>IF(Feiertage!$B$8+ROW(B32)-1&lt;=Feiertage!$C$8, Feiertage!$B$8+ROW(B32)-1, "")</f>
        <v/>
      </c>
      <c r="G34" s="1" t="str">
        <f>IF(Feiertage!$B$9+ROW(B32)-1&lt;=Feiertage!$C$9, Feiertage!$B$9+ROW(B32)-1, "")</f>
        <v/>
      </c>
      <c r="H34" s="1" t="str">
        <f>IF(Feiertage!$B$10+ROW(B32)-1&lt;=Feiertage!$C$10, Feiertage!$B$10+ROW(B32)-1, "")</f>
        <v/>
      </c>
      <c r="I34" s="1" t="str">
        <f>IF(Feiertage!$B$11+ROW(B32)-1&lt;=Feiertage!$C$11, Feiertage!$B$11+ROW(B32)-1, "")</f>
        <v/>
      </c>
      <c r="J34" s="1" t="str">
        <f>IF(Feiertage!$B$12+ROW(B32)-1&lt;=Feiertage!$C$12, Feiertage!$B$12+ROW(B32)-1, "")</f>
        <v/>
      </c>
      <c r="K34" s="1" t="str">
        <f>IF(Feiertage!$B$13+ROW(B32)-1&lt;=Feiertage!$C$13, Feiertage!$B$13+ROW(B32)-1, "")</f>
        <v/>
      </c>
      <c r="L34" s="1" t="str">
        <f>IF(Feiertage!$B$14+ROW(B32)-1&lt;=Feiertage!$C$14, Feiertage!$B$14+ROW(B32)-1, "")</f>
        <v/>
      </c>
      <c r="M34" s="1" t="str">
        <f>IF(Feiertage!$B$15+ROW(B32)-1&lt;=Feiertage!$C$15, Feiertage!$B$15+ROW(B32)-1, "")</f>
        <v/>
      </c>
      <c r="N34" s="1" t="str">
        <f>IF(Feiertage!$B$16+ROW(B32)-1&lt;=Feiertage!$C$16, Feiertage!$B$16+ROW(B32)-1, "")</f>
        <v/>
      </c>
      <c r="O34" s="1" t="str">
        <f>IF(Feiertage!$B$17+ROW(B32)-1&lt;=Feiertage!$C$17, Feiertage!$B$17+ROW(B32)-1, "")</f>
        <v/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3">
      <c r="A35" s="1" t="str">
        <f>IF(Feiertage!$B$3+ROW(A33)-1&lt;=Feiertage!$C$3, Feiertage!$B$3+ROW(A33)-1, "")</f>
        <v/>
      </c>
      <c r="B35" s="1" t="str">
        <f>IF(Feiertage!$B$4+ROW(B33)-1&lt;=Feiertage!$C$4, Feiertage!$B$4+ROW(B33)-1, "")</f>
        <v/>
      </c>
      <c r="C35" s="1" t="str">
        <f>IF(Feiertage!$B$5+ROW(B33)-1&lt;=Feiertage!$C$5, Feiertage!$B$5+ROW(B33)-1, "")</f>
        <v/>
      </c>
      <c r="D35" s="1" t="str">
        <f>IF(Feiertage!$B$6+ROW(B33)-1&lt;=Feiertage!$C$6, Feiertage!$B$6+ROW(B33)-1, "")</f>
        <v/>
      </c>
      <c r="E35" s="1" t="str">
        <f>IF(Feiertage!$B$7+ROW(B33)-1&lt;=Feiertage!$C$7, Feiertage!$B$7+ROW(B33)-1, "")</f>
        <v/>
      </c>
      <c r="F35" s="1" t="str">
        <f>IF(Feiertage!$B$8+ROW(B33)-1&lt;=Feiertage!$C$8, Feiertage!$B$8+ROW(B33)-1, "")</f>
        <v/>
      </c>
      <c r="G35" s="1" t="str">
        <f>IF(Feiertage!$B$9+ROW(B33)-1&lt;=Feiertage!$C$9, Feiertage!$B$9+ROW(B33)-1, "")</f>
        <v/>
      </c>
      <c r="H35" s="1" t="str">
        <f>IF(Feiertage!$B$10+ROW(B33)-1&lt;=Feiertage!$C$10, Feiertage!$B$10+ROW(B33)-1, "")</f>
        <v/>
      </c>
      <c r="I35" s="1" t="str">
        <f>IF(Feiertage!$B$11+ROW(B33)-1&lt;=Feiertage!$C$11, Feiertage!$B$11+ROW(B33)-1, "")</f>
        <v/>
      </c>
      <c r="J35" s="1" t="str">
        <f>IF(Feiertage!$B$12+ROW(B33)-1&lt;=Feiertage!$C$12, Feiertage!$B$12+ROW(B33)-1, "")</f>
        <v/>
      </c>
      <c r="K35" s="1" t="str">
        <f>IF(Feiertage!$B$13+ROW(B33)-1&lt;=Feiertage!$C$13, Feiertage!$B$13+ROW(B33)-1, "")</f>
        <v/>
      </c>
      <c r="L35" s="1" t="str">
        <f>IF(Feiertage!$B$14+ROW(B33)-1&lt;=Feiertage!$C$14, Feiertage!$B$14+ROW(B33)-1, "")</f>
        <v/>
      </c>
      <c r="M35" s="1" t="str">
        <f>IF(Feiertage!$B$15+ROW(B33)-1&lt;=Feiertage!$C$15, Feiertage!$B$15+ROW(B33)-1, "")</f>
        <v/>
      </c>
      <c r="N35" s="1" t="str">
        <f>IF(Feiertage!$B$16+ROW(B33)-1&lt;=Feiertage!$C$16, Feiertage!$B$16+ROW(B33)-1, "")</f>
        <v/>
      </c>
      <c r="O35" s="1" t="str">
        <f>IF(Feiertage!$B$17+ROW(B33)-1&lt;=Feiertage!$C$17, Feiertage!$B$17+ROW(B33)-1, "")</f>
        <v/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3">
      <c r="A36" s="1" t="str">
        <f>IF(Feiertage!$B$3+ROW(A34)-1&lt;=Feiertage!$C$3, Feiertage!$B$3+ROW(A34)-1, "")</f>
        <v/>
      </c>
      <c r="B36" s="1" t="str">
        <f>IF(Feiertage!$B$4+ROW(B34)-1&lt;=Feiertage!$C$4, Feiertage!$B$4+ROW(B34)-1, "")</f>
        <v/>
      </c>
      <c r="C36" s="1" t="str">
        <f>IF(Feiertage!$B$5+ROW(B34)-1&lt;=Feiertage!$C$5, Feiertage!$B$5+ROW(B34)-1, "")</f>
        <v/>
      </c>
      <c r="D36" s="1" t="str">
        <f>IF(Feiertage!$B$6+ROW(B34)-1&lt;=Feiertage!$C$6, Feiertage!$B$6+ROW(B34)-1, "")</f>
        <v/>
      </c>
      <c r="E36" s="1" t="str">
        <f>IF(Feiertage!$B$7+ROW(B34)-1&lt;=Feiertage!$C$7, Feiertage!$B$7+ROW(B34)-1, "")</f>
        <v/>
      </c>
      <c r="F36" s="1" t="str">
        <f>IF(Feiertage!$B$8+ROW(B34)-1&lt;=Feiertage!$C$8, Feiertage!$B$8+ROW(B34)-1, "")</f>
        <v/>
      </c>
      <c r="G36" s="1" t="str">
        <f>IF(Feiertage!$B$9+ROW(B34)-1&lt;=Feiertage!$C$9, Feiertage!$B$9+ROW(B34)-1, "")</f>
        <v/>
      </c>
      <c r="H36" s="1" t="str">
        <f>IF(Feiertage!$B$10+ROW(B34)-1&lt;=Feiertage!$C$10, Feiertage!$B$10+ROW(B34)-1, "")</f>
        <v/>
      </c>
      <c r="I36" s="1" t="str">
        <f>IF(Feiertage!$B$11+ROW(B34)-1&lt;=Feiertage!$C$11, Feiertage!$B$11+ROW(B34)-1, "")</f>
        <v/>
      </c>
      <c r="J36" s="1" t="str">
        <f>IF(Feiertage!$B$12+ROW(B34)-1&lt;=Feiertage!$C$12, Feiertage!$B$12+ROW(B34)-1, "")</f>
        <v/>
      </c>
      <c r="K36" s="1" t="str">
        <f>IF(Feiertage!$B$13+ROW(B34)-1&lt;=Feiertage!$C$13, Feiertage!$B$13+ROW(B34)-1, "")</f>
        <v/>
      </c>
      <c r="L36" s="1" t="str">
        <f>IF(Feiertage!$B$14+ROW(B34)-1&lt;=Feiertage!$C$14, Feiertage!$B$14+ROW(B34)-1, "")</f>
        <v/>
      </c>
      <c r="M36" s="1" t="str">
        <f>IF(Feiertage!$B$15+ROW(B34)-1&lt;=Feiertage!$C$15, Feiertage!$B$15+ROW(B34)-1, "")</f>
        <v/>
      </c>
      <c r="N36" s="1" t="str">
        <f>IF(Feiertage!$B$16+ROW(B34)-1&lt;=Feiertage!$C$16, Feiertage!$B$16+ROW(B34)-1, "")</f>
        <v/>
      </c>
      <c r="O36" s="1" t="str">
        <f>IF(Feiertage!$B$17+ROW(B34)-1&lt;=Feiertage!$C$17, Feiertage!$B$17+ROW(B34)-1, "")</f>
        <v/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3">
      <c r="A37" s="1" t="str">
        <f>IF(Feiertage!$B$3+ROW(A35)-1&lt;=Feiertage!$C$3, Feiertage!$B$3+ROW(A35)-1, "")</f>
        <v/>
      </c>
      <c r="B37" s="1" t="str">
        <f>IF(Feiertage!$B$4+ROW(B35)-1&lt;=Feiertage!$C$4, Feiertage!$B$4+ROW(B35)-1, "")</f>
        <v/>
      </c>
      <c r="C37" s="1" t="str">
        <f>IF(Feiertage!$B$5+ROW(B35)-1&lt;=Feiertage!$C$5, Feiertage!$B$5+ROW(B35)-1, "")</f>
        <v/>
      </c>
      <c r="D37" s="1" t="str">
        <f>IF(Feiertage!$B$6+ROW(B35)-1&lt;=Feiertage!$C$6, Feiertage!$B$6+ROW(B35)-1, "")</f>
        <v/>
      </c>
      <c r="E37" s="1" t="str">
        <f>IF(Feiertage!$B$7+ROW(B35)-1&lt;=Feiertage!$C$7, Feiertage!$B$7+ROW(B35)-1, "")</f>
        <v/>
      </c>
      <c r="F37" s="1" t="str">
        <f>IF(Feiertage!$B$8+ROW(B35)-1&lt;=Feiertage!$C$8, Feiertage!$B$8+ROW(B35)-1, "")</f>
        <v/>
      </c>
      <c r="G37" s="1" t="str">
        <f>IF(Feiertage!$B$9+ROW(B35)-1&lt;=Feiertage!$C$9, Feiertage!$B$9+ROW(B35)-1, "")</f>
        <v/>
      </c>
      <c r="H37" s="1" t="str">
        <f>IF(Feiertage!$B$10+ROW(B35)-1&lt;=Feiertage!$C$10, Feiertage!$B$10+ROW(B35)-1, "")</f>
        <v/>
      </c>
      <c r="I37" s="1" t="str">
        <f>IF(Feiertage!$B$11+ROW(B35)-1&lt;=Feiertage!$C$11, Feiertage!$B$11+ROW(B35)-1, "")</f>
        <v/>
      </c>
      <c r="J37" s="1" t="str">
        <f>IF(Feiertage!$B$12+ROW(B35)-1&lt;=Feiertage!$C$12, Feiertage!$B$12+ROW(B35)-1, "")</f>
        <v/>
      </c>
      <c r="K37" s="1" t="str">
        <f>IF(Feiertage!$B$13+ROW(B35)-1&lt;=Feiertage!$C$13, Feiertage!$B$13+ROW(B35)-1, "")</f>
        <v/>
      </c>
      <c r="L37" s="1" t="str">
        <f>IF(Feiertage!$B$14+ROW(B35)-1&lt;=Feiertage!$C$14, Feiertage!$B$14+ROW(B35)-1, "")</f>
        <v/>
      </c>
      <c r="M37" s="1" t="str">
        <f>IF(Feiertage!$B$15+ROW(B35)-1&lt;=Feiertage!$C$15, Feiertage!$B$15+ROW(B35)-1, "")</f>
        <v/>
      </c>
      <c r="N37" s="1" t="str">
        <f>IF(Feiertage!$B$16+ROW(B35)-1&lt;=Feiertage!$C$16, Feiertage!$B$16+ROW(B35)-1, "")</f>
        <v/>
      </c>
      <c r="O37" s="1" t="str">
        <f>IF(Feiertage!$B$17+ROW(B35)-1&lt;=Feiertage!$C$17, Feiertage!$B$17+ROW(B35)-1, "")</f>
        <v/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3">
      <c r="A38" s="1" t="str">
        <f>IF(Feiertage!$B$3+ROW(A36)-1&lt;=Feiertage!$C$3, Feiertage!$B$3+ROW(A36)-1, "")</f>
        <v/>
      </c>
      <c r="B38" s="1" t="str">
        <f>IF(Feiertage!$B$4+ROW(B36)-1&lt;=Feiertage!$C$4, Feiertage!$B$4+ROW(B36)-1, "")</f>
        <v/>
      </c>
      <c r="C38" s="1" t="str">
        <f>IF(Feiertage!$B$5+ROW(B36)-1&lt;=Feiertage!$C$5, Feiertage!$B$5+ROW(B36)-1, "")</f>
        <v/>
      </c>
      <c r="D38" s="1" t="str">
        <f>IF(Feiertage!$B$6+ROW(B36)-1&lt;=Feiertage!$C$6, Feiertage!$B$6+ROW(B36)-1, "")</f>
        <v/>
      </c>
      <c r="E38" s="1" t="str">
        <f>IF(Feiertage!$B$7+ROW(B36)-1&lt;=Feiertage!$C$7, Feiertage!$B$7+ROW(B36)-1, "")</f>
        <v/>
      </c>
      <c r="F38" s="1" t="str">
        <f>IF(Feiertage!$B$8+ROW(B36)-1&lt;=Feiertage!$C$8, Feiertage!$B$8+ROW(B36)-1, "")</f>
        <v/>
      </c>
      <c r="G38" s="1" t="str">
        <f>IF(Feiertage!$B$9+ROW(B36)-1&lt;=Feiertage!$C$9, Feiertage!$B$9+ROW(B36)-1, "")</f>
        <v/>
      </c>
      <c r="H38" s="1" t="str">
        <f>IF(Feiertage!$B$10+ROW(B36)-1&lt;=Feiertage!$C$10, Feiertage!$B$10+ROW(B36)-1, "")</f>
        <v/>
      </c>
      <c r="I38" s="1" t="str">
        <f>IF(Feiertage!$B$11+ROW(B36)-1&lt;=Feiertage!$C$11, Feiertage!$B$11+ROW(B36)-1, "")</f>
        <v/>
      </c>
      <c r="J38" s="1" t="str">
        <f>IF(Feiertage!$B$12+ROW(B36)-1&lt;=Feiertage!$C$12, Feiertage!$B$12+ROW(B36)-1, "")</f>
        <v/>
      </c>
      <c r="K38" s="1" t="str">
        <f>IF(Feiertage!$B$13+ROW(B36)-1&lt;=Feiertage!$C$13, Feiertage!$B$13+ROW(B36)-1, "")</f>
        <v/>
      </c>
      <c r="L38" s="1" t="str">
        <f>IF(Feiertage!$B$14+ROW(B36)-1&lt;=Feiertage!$C$14, Feiertage!$B$14+ROW(B36)-1, "")</f>
        <v/>
      </c>
      <c r="M38" s="1" t="str">
        <f>IF(Feiertage!$B$15+ROW(B36)-1&lt;=Feiertage!$C$15, Feiertage!$B$15+ROW(B36)-1, "")</f>
        <v/>
      </c>
      <c r="N38" s="1" t="str">
        <f>IF(Feiertage!$B$16+ROW(B36)-1&lt;=Feiertage!$C$16, Feiertage!$B$16+ROW(B36)-1, "")</f>
        <v/>
      </c>
      <c r="O38" s="1" t="str">
        <f>IF(Feiertage!$B$17+ROW(B36)-1&lt;=Feiertage!$C$17, Feiertage!$B$17+ROW(B36)-1, "")</f>
        <v/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3">
      <c r="A39" s="1" t="str">
        <f>IF(Feiertage!$B$3+ROW(A37)-1&lt;=Feiertage!$C$3, Feiertage!$B$3+ROW(A37)-1, "")</f>
        <v/>
      </c>
      <c r="B39" s="1" t="str">
        <f>IF(Feiertage!$B$4+ROW(B37)-1&lt;=Feiertage!$C$4, Feiertage!$B$4+ROW(B37)-1, "")</f>
        <v/>
      </c>
      <c r="C39" s="1" t="str">
        <f>IF(Feiertage!$B$5+ROW(B37)-1&lt;=Feiertage!$C$5, Feiertage!$B$5+ROW(B37)-1, "")</f>
        <v/>
      </c>
      <c r="D39" s="1" t="str">
        <f>IF(Feiertage!$B$6+ROW(B37)-1&lt;=Feiertage!$C$6, Feiertage!$B$6+ROW(B37)-1, "")</f>
        <v/>
      </c>
      <c r="E39" s="1" t="str">
        <f>IF(Feiertage!$B$7+ROW(B37)-1&lt;=Feiertage!$C$7, Feiertage!$B$7+ROW(B37)-1, "")</f>
        <v/>
      </c>
      <c r="F39" s="1" t="str">
        <f>IF(Feiertage!$B$8+ROW(B37)-1&lt;=Feiertage!$C$8, Feiertage!$B$8+ROW(B37)-1, "")</f>
        <v/>
      </c>
      <c r="G39" s="1" t="str">
        <f>IF(Feiertage!$B$9+ROW(B37)-1&lt;=Feiertage!$C$9, Feiertage!$B$9+ROW(B37)-1, "")</f>
        <v/>
      </c>
      <c r="H39" s="1" t="str">
        <f>IF(Feiertage!$B$10+ROW(B37)-1&lt;=Feiertage!$C$10, Feiertage!$B$10+ROW(B37)-1, "")</f>
        <v/>
      </c>
      <c r="I39" s="1" t="str">
        <f>IF(Feiertage!$B$11+ROW(B37)-1&lt;=Feiertage!$C$11, Feiertage!$B$11+ROW(B37)-1, "")</f>
        <v/>
      </c>
      <c r="J39" s="1" t="str">
        <f>IF(Feiertage!$B$12+ROW(B37)-1&lt;=Feiertage!$C$12, Feiertage!$B$12+ROW(B37)-1, "")</f>
        <v/>
      </c>
      <c r="K39" s="1" t="str">
        <f>IF(Feiertage!$B$13+ROW(B37)-1&lt;=Feiertage!$C$13, Feiertage!$B$13+ROW(B37)-1, "")</f>
        <v/>
      </c>
      <c r="L39" s="1" t="str">
        <f>IF(Feiertage!$B$14+ROW(B37)-1&lt;=Feiertage!$C$14, Feiertage!$B$14+ROW(B37)-1, "")</f>
        <v/>
      </c>
      <c r="M39" s="1" t="str">
        <f>IF(Feiertage!$B$15+ROW(B37)-1&lt;=Feiertage!$C$15, Feiertage!$B$15+ROW(B37)-1, "")</f>
        <v/>
      </c>
      <c r="N39" s="1" t="str">
        <f>IF(Feiertage!$B$16+ROW(B37)-1&lt;=Feiertage!$C$16, Feiertage!$B$16+ROW(B37)-1, "")</f>
        <v/>
      </c>
      <c r="O39" s="1" t="str">
        <f>IF(Feiertage!$B$17+ROW(B37)-1&lt;=Feiertage!$C$17, Feiertage!$B$17+ROW(B37)-1, "")</f>
        <v/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3">
      <c r="A40" s="1" t="str">
        <f>IF(Feiertage!$B$3+ROW(A38)-1&lt;=Feiertage!$C$3, Feiertage!$B$3+ROW(A38)-1, "")</f>
        <v/>
      </c>
      <c r="B40" s="1" t="str">
        <f>IF(Feiertage!$B$4+ROW(B38)-1&lt;=Feiertage!$C$4, Feiertage!$B$4+ROW(B38)-1, "")</f>
        <v/>
      </c>
      <c r="C40" s="1" t="str">
        <f>IF(Feiertage!$B$5+ROW(B38)-1&lt;=Feiertage!$C$5, Feiertage!$B$5+ROW(B38)-1, "")</f>
        <v/>
      </c>
      <c r="D40" s="1" t="str">
        <f>IF(Feiertage!$B$6+ROW(B38)-1&lt;=Feiertage!$C$6, Feiertage!$B$6+ROW(B38)-1, "")</f>
        <v/>
      </c>
      <c r="E40" s="1" t="str">
        <f>IF(Feiertage!$B$7+ROW(B38)-1&lt;=Feiertage!$C$7, Feiertage!$B$7+ROW(B38)-1, "")</f>
        <v/>
      </c>
      <c r="F40" s="1" t="str">
        <f>IF(Feiertage!$B$8+ROW(B38)-1&lt;=Feiertage!$C$8, Feiertage!$B$8+ROW(B38)-1, "")</f>
        <v/>
      </c>
      <c r="G40" s="1" t="str">
        <f>IF(Feiertage!$B$9+ROW(B38)-1&lt;=Feiertage!$C$9, Feiertage!$B$9+ROW(B38)-1, "")</f>
        <v/>
      </c>
      <c r="H40" s="1" t="str">
        <f>IF(Feiertage!$B$10+ROW(B38)-1&lt;=Feiertage!$C$10, Feiertage!$B$10+ROW(B38)-1, "")</f>
        <v/>
      </c>
      <c r="I40" s="1" t="str">
        <f>IF(Feiertage!$B$11+ROW(B38)-1&lt;=Feiertage!$C$11, Feiertage!$B$11+ROW(B38)-1, "")</f>
        <v/>
      </c>
      <c r="J40" s="1" t="str">
        <f>IF(Feiertage!$B$12+ROW(B38)-1&lt;=Feiertage!$C$12, Feiertage!$B$12+ROW(B38)-1, "")</f>
        <v/>
      </c>
      <c r="K40" s="1" t="str">
        <f>IF(Feiertage!$B$13+ROW(B38)-1&lt;=Feiertage!$C$13, Feiertage!$B$13+ROW(B38)-1, "")</f>
        <v/>
      </c>
      <c r="L40" s="1" t="str">
        <f>IF(Feiertage!$B$14+ROW(B38)-1&lt;=Feiertage!$C$14, Feiertage!$B$14+ROW(B38)-1, "")</f>
        <v/>
      </c>
      <c r="M40" s="1" t="str">
        <f>IF(Feiertage!$B$15+ROW(B38)-1&lt;=Feiertage!$C$15, Feiertage!$B$15+ROW(B38)-1, "")</f>
        <v/>
      </c>
      <c r="N40" s="1" t="str">
        <f>IF(Feiertage!$B$16+ROW(B38)-1&lt;=Feiertage!$C$16, Feiertage!$B$16+ROW(B38)-1, "")</f>
        <v/>
      </c>
      <c r="O40" s="1" t="str">
        <f>IF(Feiertage!$B$17+ROW(B38)-1&lt;=Feiertage!$C$17, Feiertage!$B$17+ROW(B38)-1, "")</f>
        <v/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3">
      <c r="A41" s="1" t="str">
        <f>IF(Feiertage!$B$3+ROW(A39)-1&lt;=Feiertage!$C$3, Feiertage!$B$3+ROW(A39)-1, "")</f>
        <v/>
      </c>
      <c r="B41" s="1" t="str">
        <f>IF(Feiertage!$B$4+ROW(B39)-1&lt;=Feiertage!$C$4, Feiertage!$B$4+ROW(B39)-1, "")</f>
        <v/>
      </c>
      <c r="C41" s="1" t="str">
        <f>IF(Feiertage!$B$5+ROW(B39)-1&lt;=Feiertage!$C$5, Feiertage!$B$5+ROW(B39)-1, "")</f>
        <v/>
      </c>
      <c r="D41" s="1" t="str">
        <f>IF(Feiertage!$B$6+ROW(B39)-1&lt;=Feiertage!$C$6, Feiertage!$B$6+ROW(B39)-1, "")</f>
        <v/>
      </c>
      <c r="E41" s="1" t="str">
        <f>IF(Feiertage!$B$7+ROW(B39)-1&lt;=Feiertage!$C$7, Feiertage!$B$7+ROW(B39)-1, "")</f>
        <v/>
      </c>
      <c r="F41" s="1" t="str">
        <f>IF(Feiertage!$B$8+ROW(B39)-1&lt;=Feiertage!$C$8, Feiertage!$B$8+ROW(B39)-1, "")</f>
        <v/>
      </c>
      <c r="G41" s="1" t="str">
        <f>IF(Feiertage!$B$9+ROW(B39)-1&lt;=Feiertage!$C$9, Feiertage!$B$9+ROW(B39)-1, "")</f>
        <v/>
      </c>
      <c r="H41" s="1" t="str">
        <f>IF(Feiertage!$B$10+ROW(B39)-1&lt;=Feiertage!$C$10, Feiertage!$B$10+ROW(B39)-1, "")</f>
        <v/>
      </c>
      <c r="I41" s="1" t="str">
        <f>IF(Feiertage!$B$11+ROW(B39)-1&lt;=Feiertage!$C$11, Feiertage!$B$11+ROW(B39)-1, "")</f>
        <v/>
      </c>
      <c r="J41" s="1" t="str">
        <f>IF(Feiertage!$B$12+ROW(B39)-1&lt;=Feiertage!$C$12, Feiertage!$B$12+ROW(B39)-1, "")</f>
        <v/>
      </c>
      <c r="K41" s="1" t="str">
        <f>IF(Feiertage!$B$13+ROW(B39)-1&lt;=Feiertage!$C$13, Feiertage!$B$13+ROW(B39)-1, "")</f>
        <v/>
      </c>
      <c r="L41" s="1" t="str">
        <f>IF(Feiertage!$B$14+ROW(B39)-1&lt;=Feiertage!$C$14, Feiertage!$B$14+ROW(B39)-1, "")</f>
        <v/>
      </c>
      <c r="M41" s="1" t="str">
        <f>IF(Feiertage!$B$15+ROW(B39)-1&lt;=Feiertage!$C$15, Feiertage!$B$15+ROW(B39)-1, "")</f>
        <v/>
      </c>
      <c r="N41" s="1" t="str">
        <f>IF(Feiertage!$B$16+ROW(B39)-1&lt;=Feiertage!$C$16, Feiertage!$B$16+ROW(B39)-1, "")</f>
        <v/>
      </c>
      <c r="O41" s="1" t="str">
        <f>IF(Feiertage!$B$17+ROW(B39)-1&lt;=Feiertage!$C$17, Feiertage!$B$17+ROW(B39)-1, "")</f>
        <v/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3">
      <c r="A42" s="1" t="str">
        <f>IF(Feiertage!$B$3+ROW(A40)-1&lt;=Feiertage!$C$3, Feiertage!$B$3+ROW(A40)-1, "")</f>
        <v/>
      </c>
      <c r="B42" s="1" t="str">
        <f>IF(Feiertage!$B$4+ROW(B40)-1&lt;=Feiertage!$C$4, Feiertage!$B$4+ROW(B40)-1, "")</f>
        <v/>
      </c>
      <c r="C42" s="1" t="str">
        <f>IF(Feiertage!$B$5+ROW(B40)-1&lt;=Feiertage!$C$5, Feiertage!$B$5+ROW(B40)-1, "")</f>
        <v/>
      </c>
      <c r="D42" s="1" t="str">
        <f>IF(Feiertage!$B$6+ROW(B40)-1&lt;=Feiertage!$C$6, Feiertage!$B$6+ROW(B40)-1, "")</f>
        <v/>
      </c>
      <c r="E42" s="1" t="str">
        <f>IF(Feiertage!$B$7+ROW(B40)-1&lt;=Feiertage!$C$7, Feiertage!$B$7+ROW(B40)-1, "")</f>
        <v/>
      </c>
      <c r="F42" s="1" t="str">
        <f>IF(Feiertage!$B$8+ROW(B40)-1&lt;=Feiertage!$C$8, Feiertage!$B$8+ROW(B40)-1, "")</f>
        <v/>
      </c>
      <c r="G42" s="1" t="str">
        <f>IF(Feiertage!$B$9+ROW(B40)-1&lt;=Feiertage!$C$9, Feiertage!$B$9+ROW(B40)-1, "")</f>
        <v/>
      </c>
      <c r="H42" s="1" t="str">
        <f>IF(Feiertage!$B$10+ROW(B40)-1&lt;=Feiertage!$C$10, Feiertage!$B$10+ROW(B40)-1, "")</f>
        <v/>
      </c>
      <c r="I42" s="1" t="str">
        <f>IF(Feiertage!$B$11+ROW(B40)-1&lt;=Feiertage!$C$11, Feiertage!$B$11+ROW(B40)-1, "")</f>
        <v/>
      </c>
      <c r="J42" s="1" t="str">
        <f>IF(Feiertage!$B$12+ROW(B40)-1&lt;=Feiertage!$C$12, Feiertage!$B$12+ROW(B40)-1, "")</f>
        <v/>
      </c>
      <c r="K42" s="1" t="str">
        <f>IF(Feiertage!$B$13+ROW(B40)-1&lt;=Feiertage!$C$13, Feiertage!$B$13+ROW(B40)-1, "")</f>
        <v/>
      </c>
      <c r="L42" s="1" t="str">
        <f>IF(Feiertage!$B$14+ROW(B40)-1&lt;=Feiertage!$C$14, Feiertage!$B$14+ROW(B40)-1, "")</f>
        <v/>
      </c>
      <c r="M42" s="1" t="str">
        <f>IF(Feiertage!$B$15+ROW(B40)-1&lt;=Feiertage!$C$15, Feiertage!$B$15+ROW(B40)-1, "")</f>
        <v/>
      </c>
      <c r="N42" s="1" t="str">
        <f>IF(Feiertage!$B$16+ROW(B40)-1&lt;=Feiertage!$C$16, Feiertage!$B$16+ROW(B40)-1, "")</f>
        <v/>
      </c>
      <c r="O42" s="1" t="str">
        <f>IF(Feiertage!$B$17+ROW(B40)-1&lt;=Feiertage!$C$17, Feiertage!$B$17+ROW(B40)-1, "")</f>
        <v/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3">
      <c r="A43" s="1" t="str">
        <f>IF(Feiertage!$B$3+ROW(A41)-1&lt;=Feiertage!$C$3, Feiertage!$B$3+ROW(A41)-1, "")</f>
        <v/>
      </c>
      <c r="B43" s="1" t="str">
        <f>IF(Feiertage!$B$4+ROW(B41)-1&lt;=Feiertage!$C$4, Feiertage!$B$4+ROW(B41)-1, "")</f>
        <v/>
      </c>
      <c r="C43" s="1" t="str">
        <f>IF(Feiertage!$B$5+ROW(B41)-1&lt;=Feiertage!$C$5, Feiertage!$B$5+ROW(B41)-1, "")</f>
        <v/>
      </c>
      <c r="D43" s="1" t="str">
        <f>IF(Feiertage!$B$6+ROW(B41)-1&lt;=Feiertage!$C$6, Feiertage!$B$6+ROW(B41)-1, "")</f>
        <v/>
      </c>
      <c r="E43" s="1" t="str">
        <f>IF(Feiertage!$B$7+ROW(B41)-1&lt;=Feiertage!$C$7, Feiertage!$B$7+ROW(B41)-1, "")</f>
        <v/>
      </c>
      <c r="F43" s="1" t="str">
        <f>IF(Feiertage!$B$8+ROW(B41)-1&lt;=Feiertage!$C$8, Feiertage!$B$8+ROW(B41)-1, "")</f>
        <v/>
      </c>
      <c r="G43" s="1" t="str">
        <f>IF(Feiertage!$B$9+ROW(B41)-1&lt;=Feiertage!$C$9, Feiertage!$B$9+ROW(B41)-1, "")</f>
        <v/>
      </c>
      <c r="H43" s="1" t="str">
        <f>IF(Feiertage!$B$10+ROW(B41)-1&lt;=Feiertage!$C$10, Feiertage!$B$10+ROW(B41)-1, "")</f>
        <v/>
      </c>
      <c r="I43" s="1" t="str">
        <f>IF(Feiertage!$B$11+ROW(B41)-1&lt;=Feiertage!$C$11, Feiertage!$B$11+ROW(B41)-1, "")</f>
        <v/>
      </c>
      <c r="J43" s="1" t="str">
        <f>IF(Feiertage!$B$12+ROW(B41)-1&lt;=Feiertage!$C$12, Feiertage!$B$12+ROW(B41)-1, "")</f>
        <v/>
      </c>
      <c r="K43" s="1" t="str">
        <f>IF(Feiertage!$B$13+ROW(B41)-1&lt;=Feiertage!$C$13, Feiertage!$B$13+ROW(B41)-1, "")</f>
        <v/>
      </c>
      <c r="L43" s="1" t="str">
        <f>IF(Feiertage!$B$14+ROW(B41)-1&lt;=Feiertage!$C$14, Feiertage!$B$14+ROW(B41)-1, "")</f>
        <v/>
      </c>
      <c r="M43" s="1" t="str">
        <f>IF(Feiertage!$B$15+ROW(B41)-1&lt;=Feiertage!$C$15, Feiertage!$B$15+ROW(B41)-1, "")</f>
        <v/>
      </c>
      <c r="N43" s="1" t="str">
        <f>IF(Feiertage!$B$16+ROW(B41)-1&lt;=Feiertage!$C$16, Feiertage!$B$16+ROW(B41)-1, "")</f>
        <v/>
      </c>
      <c r="O43" s="1" t="str">
        <f>IF(Feiertage!$B$17+ROW(B41)-1&lt;=Feiertage!$C$17, Feiertage!$B$17+ROW(B41)-1, "")</f>
        <v/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3">
      <c r="A44" s="1" t="str">
        <f>IF(Feiertage!$B$3+ROW(A42)-1&lt;=Feiertage!$C$3, Feiertage!$B$3+ROW(A42)-1, "")</f>
        <v/>
      </c>
      <c r="B44" s="1" t="str">
        <f>IF(Feiertage!$B$4+ROW(B42)-1&lt;=Feiertage!$C$4, Feiertage!$B$4+ROW(B42)-1, "")</f>
        <v/>
      </c>
      <c r="C44" s="1" t="str">
        <f>IF(Feiertage!$B$5+ROW(B42)-1&lt;=Feiertage!$C$5, Feiertage!$B$5+ROW(B42)-1, "")</f>
        <v/>
      </c>
      <c r="D44" s="1" t="str">
        <f>IF(Feiertage!$B$6+ROW(B42)-1&lt;=Feiertage!$C$6, Feiertage!$B$6+ROW(B42)-1, "")</f>
        <v/>
      </c>
      <c r="E44" s="1" t="str">
        <f>IF(Feiertage!$B$7+ROW(B42)-1&lt;=Feiertage!$C$7, Feiertage!$B$7+ROW(B42)-1, "")</f>
        <v/>
      </c>
      <c r="F44" s="1" t="str">
        <f>IF(Feiertage!$B$8+ROW(B42)-1&lt;=Feiertage!$C$8, Feiertage!$B$8+ROW(B42)-1, "")</f>
        <v/>
      </c>
      <c r="G44" s="1" t="str">
        <f>IF(Feiertage!$B$9+ROW(B42)-1&lt;=Feiertage!$C$9, Feiertage!$B$9+ROW(B42)-1, "")</f>
        <v/>
      </c>
      <c r="H44" s="1" t="str">
        <f>IF(Feiertage!$B$10+ROW(B42)-1&lt;=Feiertage!$C$10, Feiertage!$B$10+ROW(B42)-1, "")</f>
        <v/>
      </c>
      <c r="I44" s="1" t="str">
        <f>IF(Feiertage!$B$11+ROW(B42)-1&lt;=Feiertage!$C$11, Feiertage!$B$11+ROW(B42)-1, "")</f>
        <v/>
      </c>
      <c r="J44" s="1" t="str">
        <f>IF(Feiertage!$B$12+ROW(B42)-1&lt;=Feiertage!$C$12, Feiertage!$B$12+ROW(B42)-1, "")</f>
        <v/>
      </c>
      <c r="K44" s="1" t="str">
        <f>IF(Feiertage!$B$13+ROW(B42)-1&lt;=Feiertage!$C$13, Feiertage!$B$13+ROW(B42)-1, "")</f>
        <v/>
      </c>
      <c r="L44" s="1" t="str">
        <f>IF(Feiertage!$B$14+ROW(B42)-1&lt;=Feiertage!$C$14, Feiertage!$B$14+ROW(B42)-1, "")</f>
        <v/>
      </c>
      <c r="M44" s="1" t="str">
        <f>IF(Feiertage!$B$15+ROW(B42)-1&lt;=Feiertage!$C$15, Feiertage!$B$15+ROW(B42)-1, "")</f>
        <v/>
      </c>
      <c r="N44" s="1" t="str">
        <f>IF(Feiertage!$B$16+ROW(B42)-1&lt;=Feiertage!$C$16, Feiertage!$B$16+ROW(B42)-1, "")</f>
        <v/>
      </c>
      <c r="O44" s="1" t="str">
        <f>IF(Feiertage!$B$17+ROW(B42)-1&lt;=Feiertage!$C$17, Feiertage!$B$17+ROW(B42)-1, "")</f>
        <v/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3">
      <c r="A45" s="1" t="str">
        <f>IF(Feiertage!$B$3+ROW(A43)-1&lt;=Feiertage!$C$3, Feiertage!$B$3+ROW(A43)-1, "")</f>
        <v/>
      </c>
      <c r="B45" s="1" t="str">
        <f>IF(Feiertage!$B$4+ROW(B43)-1&lt;=Feiertage!$C$4, Feiertage!$B$4+ROW(B43)-1, "")</f>
        <v/>
      </c>
      <c r="C45" s="1" t="str">
        <f>IF(Feiertage!$B$5+ROW(B43)-1&lt;=Feiertage!$C$5, Feiertage!$B$5+ROW(B43)-1, "")</f>
        <v/>
      </c>
      <c r="D45" s="1" t="str">
        <f>IF(Feiertage!$B$6+ROW(B43)-1&lt;=Feiertage!$C$6, Feiertage!$B$6+ROW(B43)-1, "")</f>
        <v/>
      </c>
      <c r="E45" s="1" t="str">
        <f>IF(Feiertage!$B$7+ROW(B43)-1&lt;=Feiertage!$C$7, Feiertage!$B$7+ROW(B43)-1, "")</f>
        <v/>
      </c>
      <c r="F45" s="1" t="str">
        <f>IF(Feiertage!$B$8+ROW(B43)-1&lt;=Feiertage!$C$8, Feiertage!$B$8+ROW(B43)-1, "")</f>
        <v/>
      </c>
      <c r="G45" s="1" t="str">
        <f>IF(Feiertage!$B$9+ROW(B43)-1&lt;=Feiertage!$C$9, Feiertage!$B$9+ROW(B43)-1, "")</f>
        <v/>
      </c>
      <c r="H45" s="1" t="str">
        <f>IF(Feiertage!$B$10+ROW(B43)-1&lt;=Feiertage!$C$10, Feiertage!$B$10+ROW(B43)-1, "")</f>
        <v/>
      </c>
      <c r="I45" s="1" t="str">
        <f>IF(Feiertage!$B$11+ROW(B43)-1&lt;=Feiertage!$C$11, Feiertage!$B$11+ROW(B43)-1, "")</f>
        <v/>
      </c>
      <c r="J45" s="1" t="str">
        <f>IF(Feiertage!$B$12+ROW(B43)-1&lt;=Feiertage!$C$12, Feiertage!$B$12+ROW(B43)-1, "")</f>
        <v/>
      </c>
      <c r="K45" s="1" t="str">
        <f>IF(Feiertage!$B$13+ROW(B43)-1&lt;=Feiertage!$C$13, Feiertage!$B$13+ROW(B43)-1, "")</f>
        <v/>
      </c>
      <c r="L45" s="1" t="str">
        <f>IF(Feiertage!$B$14+ROW(B43)-1&lt;=Feiertage!$C$14, Feiertage!$B$14+ROW(B43)-1, "")</f>
        <v/>
      </c>
      <c r="M45" s="1" t="str">
        <f>IF(Feiertage!$B$15+ROW(B43)-1&lt;=Feiertage!$C$15, Feiertage!$B$15+ROW(B43)-1, "")</f>
        <v/>
      </c>
      <c r="N45" s="1" t="str">
        <f>IF(Feiertage!$B$16+ROW(B43)-1&lt;=Feiertage!$C$16, Feiertage!$B$16+ROW(B43)-1, "")</f>
        <v/>
      </c>
      <c r="O45" s="1" t="str">
        <f>IF(Feiertage!$B$17+ROW(B43)-1&lt;=Feiertage!$C$17, Feiertage!$B$17+ROW(B43)-1, "")</f>
        <v/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3">
      <c r="A46" s="1" t="str">
        <f>IF(Feiertage!$B$3+ROW(A44)-1&lt;=Feiertage!$C$3, Feiertage!$B$3+ROW(A44)-1, "")</f>
        <v/>
      </c>
      <c r="B46" s="1" t="str">
        <f>IF(Feiertage!$B$4+ROW(B44)-1&lt;=Feiertage!$C$4, Feiertage!$B$4+ROW(B44)-1, "")</f>
        <v/>
      </c>
      <c r="C46" s="1" t="str">
        <f>IF(Feiertage!$B$5+ROW(B44)-1&lt;=Feiertage!$C$5, Feiertage!$B$5+ROW(B44)-1, "")</f>
        <v/>
      </c>
      <c r="D46" s="1" t="str">
        <f>IF(Feiertage!$B$6+ROW(B44)-1&lt;=Feiertage!$C$6, Feiertage!$B$6+ROW(B44)-1, "")</f>
        <v/>
      </c>
      <c r="E46" s="1" t="str">
        <f>IF(Feiertage!$B$7+ROW(B44)-1&lt;=Feiertage!$C$7, Feiertage!$B$7+ROW(B44)-1, "")</f>
        <v/>
      </c>
      <c r="F46" s="1" t="str">
        <f>IF(Feiertage!$B$8+ROW(B44)-1&lt;=Feiertage!$C$8, Feiertage!$B$8+ROW(B44)-1, "")</f>
        <v/>
      </c>
      <c r="G46" s="1" t="str">
        <f>IF(Feiertage!$B$9+ROW(B44)-1&lt;=Feiertage!$C$9, Feiertage!$B$9+ROW(B44)-1, "")</f>
        <v/>
      </c>
      <c r="H46" s="1" t="str">
        <f>IF(Feiertage!$B$10+ROW(B44)-1&lt;=Feiertage!$C$10, Feiertage!$B$10+ROW(B44)-1, "")</f>
        <v/>
      </c>
      <c r="I46" s="1" t="str">
        <f>IF(Feiertage!$B$11+ROW(B44)-1&lt;=Feiertage!$C$11, Feiertage!$B$11+ROW(B44)-1, "")</f>
        <v/>
      </c>
      <c r="J46" s="1" t="str">
        <f>IF(Feiertage!$B$12+ROW(B44)-1&lt;=Feiertage!$C$12, Feiertage!$B$12+ROW(B44)-1, "")</f>
        <v/>
      </c>
      <c r="K46" s="1" t="str">
        <f>IF(Feiertage!$B$13+ROW(B44)-1&lt;=Feiertage!$C$13, Feiertage!$B$13+ROW(B44)-1, "")</f>
        <v/>
      </c>
      <c r="L46" s="1" t="str">
        <f>IF(Feiertage!$B$14+ROW(B44)-1&lt;=Feiertage!$C$14, Feiertage!$B$14+ROW(B44)-1, "")</f>
        <v/>
      </c>
      <c r="M46" s="1" t="str">
        <f>IF(Feiertage!$B$15+ROW(B44)-1&lt;=Feiertage!$C$15, Feiertage!$B$15+ROW(B44)-1, "")</f>
        <v/>
      </c>
      <c r="N46" s="1" t="str">
        <f>IF(Feiertage!$B$16+ROW(B44)-1&lt;=Feiertage!$C$16, Feiertage!$B$16+ROW(B44)-1, "")</f>
        <v/>
      </c>
      <c r="O46" s="1" t="str">
        <f>IF(Feiertage!$B$17+ROW(B44)-1&lt;=Feiertage!$C$17, Feiertage!$B$17+ROW(B44)-1, "")</f>
        <v/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3">
      <c r="A47" s="1" t="str">
        <f>IF(Feiertage!$B$3+ROW(A45)-1&lt;=Feiertage!$C$3, Feiertage!$B$3+ROW(A45)-1, "")</f>
        <v/>
      </c>
      <c r="B47" s="1" t="str">
        <f>IF(Feiertage!$B$4+ROW(B45)-1&lt;=Feiertage!$C$4, Feiertage!$B$4+ROW(B45)-1, "")</f>
        <v/>
      </c>
      <c r="C47" s="1" t="str">
        <f>IF(Feiertage!$B$5+ROW(B45)-1&lt;=Feiertage!$C$5, Feiertage!$B$5+ROW(B45)-1, "")</f>
        <v/>
      </c>
      <c r="D47" s="1" t="str">
        <f>IF(Feiertage!$B$6+ROW(B45)-1&lt;=Feiertage!$C$6, Feiertage!$B$6+ROW(B45)-1, "")</f>
        <v/>
      </c>
      <c r="E47" s="1" t="str">
        <f>IF(Feiertage!$B$7+ROW(B45)-1&lt;=Feiertage!$C$7, Feiertage!$B$7+ROW(B45)-1, "")</f>
        <v/>
      </c>
      <c r="F47" s="1" t="str">
        <f>IF(Feiertage!$B$8+ROW(B45)-1&lt;=Feiertage!$C$8, Feiertage!$B$8+ROW(B45)-1, "")</f>
        <v/>
      </c>
      <c r="G47" s="1" t="str">
        <f>IF(Feiertage!$B$9+ROW(B45)-1&lt;=Feiertage!$C$9, Feiertage!$B$9+ROW(B45)-1, "")</f>
        <v/>
      </c>
      <c r="H47" s="1" t="str">
        <f>IF(Feiertage!$B$10+ROW(B45)-1&lt;=Feiertage!$C$10, Feiertage!$B$10+ROW(B45)-1, "")</f>
        <v/>
      </c>
      <c r="I47" s="1" t="str">
        <f>IF(Feiertage!$B$11+ROW(B45)-1&lt;=Feiertage!$C$11, Feiertage!$B$11+ROW(B45)-1, "")</f>
        <v/>
      </c>
      <c r="J47" s="1" t="str">
        <f>IF(Feiertage!$B$12+ROW(B45)-1&lt;=Feiertage!$C$12, Feiertage!$B$12+ROW(B45)-1, "")</f>
        <v/>
      </c>
      <c r="K47" s="1" t="str">
        <f>IF(Feiertage!$B$13+ROW(B45)-1&lt;=Feiertage!$C$13, Feiertage!$B$13+ROW(B45)-1, "")</f>
        <v/>
      </c>
      <c r="L47" s="1" t="str">
        <f>IF(Feiertage!$B$14+ROW(B45)-1&lt;=Feiertage!$C$14, Feiertage!$B$14+ROW(B45)-1, "")</f>
        <v/>
      </c>
      <c r="M47" s="1" t="str">
        <f>IF(Feiertage!$B$15+ROW(B45)-1&lt;=Feiertage!$C$15, Feiertage!$B$15+ROW(B45)-1, "")</f>
        <v/>
      </c>
      <c r="N47" s="1" t="str">
        <f>IF(Feiertage!$B$16+ROW(B45)-1&lt;=Feiertage!$C$16, Feiertage!$B$16+ROW(B45)-1, "")</f>
        <v/>
      </c>
      <c r="O47" s="1" t="str">
        <f>IF(Feiertage!$B$17+ROW(B45)-1&lt;=Feiertage!$C$17, Feiertage!$B$17+ROW(B45)-1, "")</f>
        <v/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3">
      <c r="A48" s="1" t="str">
        <f>IF(Feiertage!$B$3+ROW(A46)-1&lt;=Feiertage!$C$3, Feiertage!$B$3+ROW(A46)-1, "")</f>
        <v/>
      </c>
      <c r="B48" s="1" t="str">
        <f>IF(Feiertage!$B$4+ROW(B46)-1&lt;=Feiertage!$C$4, Feiertage!$B$4+ROW(B46)-1, "")</f>
        <v/>
      </c>
      <c r="C48" s="1" t="str">
        <f>IF(Feiertage!$B$5+ROW(B46)-1&lt;=Feiertage!$C$5, Feiertage!$B$5+ROW(B46)-1, "")</f>
        <v/>
      </c>
      <c r="D48" s="1" t="str">
        <f>IF(Feiertage!$B$6+ROW(B46)-1&lt;=Feiertage!$C$6, Feiertage!$B$6+ROW(B46)-1, "")</f>
        <v/>
      </c>
      <c r="E48" s="1" t="str">
        <f>IF(Feiertage!$B$7+ROW(B46)-1&lt;=Feiertage!$C$7, Feiertage!$B$7+ROW(B46)-1, "")</f>
        <v/>
      </c>
      <c r="F48" s="1" t="str">
        <f>IF(Feiertage!$B$8+ROW(B46)-1&lt;=Feiertage!$C$8, Feiertage!$B$8+ROW(B46)-1, "")</f>
        <v/>
      </c>
      <c r="G48" s="1" t="str">
        <f>IF(Feiertage!$B$9+ROW(B46)-1&lt;=Feiertage!$C$9, Feiertage!$B$9+ROW(B46)-1, "")</f>
        <v/>
      </c>
      <c r="H48" s="1" t="str">
        <f>IF(Feiertage!$B$10+ROW(B46)-1&lt;=Feiertage!$C$10, Feiertage!$B$10+ROW(B46)-1, "")</f>
        <v/>
      </c>
      <c r="I48" s="1" t="str">
        <f>IF(Feiertage!$B$11+ROW(B46)-1&lt;=Feiertage!$C$11, Feiertage!$B$11+ROW(B46)-1, "")</f>
        <v/>
      </c>
      <c r="J48" s="1" t="str">
        <f>IF(Feiertage!$B$12+ROW(B46)-1&lt;=Feiertage!$C$12, Feiertage!$B$12+ROW(B46)-1, "")</f>
        <v/>
      </c>
      <c r="K48" s="1" t="str">
        <f>IF(Feiertage!$B$13+ROW(B46)-1&lt;=Feiertage!$C$13, Feiertage!$B$13+ROW(B46)-1, "")</f>
        <v/>
      </c>
      <c r="L48" s="1" t="str">
        <f>IF(Feiertage!$B$14+ROW(B46)-1&lt;=Feiertage!$C$14, Feiertage!$B$14+ROW(B46)-1, "")</f>
        <v/>
      </c>
      <c r="M48" s="1" t="str">
        <f>IF(Feiertage!$B$15+ROW(B46)-1&lt;=Feiertage!$C$15, Feiertage!$B$15+ROW(B46)-1, "")</f>
        <v/>
      </c>
      <c r="N48" s="1" t="str">
        <f>IF(Feiertage!$B$16+ROW(B46)-1&lt;=Feiertage!$C$16, Feiertage!$B$16+ROW(B46)-1, "")</f>
        <v/>
      </c>
      <c r="O48" s="1" t="str">
        <f>IF(Feiertage!$B$17+ROW(B46)-1&lt;=Feiertage!$C$17, Feiertage!$B$17+ROW(B46)-1, "")</f>
        <v/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3">
      <c r="A49" s="1" t="str">
        <f>IF(Feiertage!$B$3+ROW(A47)-1&lt;=Feiertage!$C$3, Feiertage!$B$3+ROW(A47)-1, "")</f>
        <v/>
      </c>
      <c r="B49" s="1" t="str">
        <f>IF(Feiertage!$B$4+ROW(B47)-1&lt;=Feiertage!$C$4, Feiertage!$B$4+ROW(B47)-1, "")</f>
        <v/>
      </c>
      <c r="C49" s="1" t="str">
        <f>IF(Feiertage!$B$5+ROW(B47)-1&lt;=Feiertage!$C$5, Feiertage!$B$5+ROW(B47)-1, "")</f>
        <v/>
      </c>
      <c r="D49" s="1" t="str">
        <f>IF(Feiertage!$B$6+ROW(B47)-1&lt;=Feiertage!$C$6, Feiertage!$B$6+ROW(B47)-1, "")</f>
        <v/>
      </c>
      <c r="E49" s="1" t="str">
        <f>IF(Feiertage!$B$7+ROW(B47)-1&lt;=Feiertage!$C$7, Feiertage!$B$7+ROW(B47)-1, "")</f>
        <v/>
      </c>
      <c r="F49" s="1" t="str">
        <f>IF(Feiertage!$B$8+ROW(B47)-1&lt;=Feiertage!$C$8, Feiertage!$B$8+ROW(B47)-1, "")</f>
        <v/>
      </c>
      <c r="G49" s="1" t="str">
        <f>IF(Feiertage!$B$9+ROW(B47)-1&lt;=Feiertage!$C$9, Feiertage!$B$9+ROW(B47)-1, "")</f>
        <v/>
      </c>
      <c r="H49" s="1" t="str">
        <f>IF(Feiertage!$B$10+ROW(B47)-1&lt;=Feiertage!$C$10, Feiertage!$B$10+ROW(B47)-1, "")</f>
        <v/>
      </c>
      <c r="I49" s="1" t="str">
        <f>IF(Feiertage!$B$11+ROW(B47)-1&lt;=Feiertage!$C$11, Feiertage!$B$11+ROW(B47)-1, "")</f>
        <v/>
      </c>
      <c r="J49" s="1" t="str">
        <f>IF(Feiertage!$B$12+ROW(B47)-1&lt;=Feiertage!$C$12, Feiertage!$B$12+ROW(B47)-1, "")</f>
        <v/>
      </c>
      <c r="K49" s="1" t="str">
        <f>IF(Feiertage!$B$13+ROW(B47)-1&lt;=Feiertage!$C$13, Feiertage!$B$13+ROW(B47)-1, "")</f>
        <v/>
      </c>
      <c r="L49" s="1" t="str">
        <f>IF(Feiertage!$B$14+ROW(B47)-1&lt;=Feiertage!$C$14, Feiertage!$B$14+ROW(B47)-1, "")</f>
        <v/>
      </c>
      <c r="M49" s="1" t="str">
        <f>IF(Feiertage!$B$15+ROW(B47)-1&lt;=Feiertage!$C$15, Feiertage!$B$15+ROW(B47)-1, "")</f>
        <v/>
      </c>
      <c r="N49" s="1" t="str">
        <f>IF(Feiertage!$B$16+ROW(B47)-1&lt;=Feiertage!$C$16, Feiertage!$B$16+ROW(B47)-1, "")</f>
        <v/>
      </c>
      <c r="O49" s="1" t="str">
        <f>IF(Feiertage!$B$17+ROW(B47)-1&lt;=Feiertage!$C$17, Feiertage!$B$17+ROW(B47)-1, "")</f>
        <v/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3">
      <c r="A50" s="1" t="str">
        <f>IF(Feiertage!$B$3+ROW(A48)-1&lt;=Feiertage!$C$3, Feiertage!$B$3+ROW(A48)-1, "")</f>
        <v/>
      </c>
      <c r="B50" s="1" t="str">
        <f>IF(Feiertage!$B$4+ROW(B48)-1&lt;=Feiertage!$C$4, Feiertage!$B$4+ROW(B48)-1, "")</f>
        <v/>
      </c>
      <c r="C50" s="1" t="str">
        <f>IF(Feiertage!$B$5+ROW(B48)-1&lt;=Feiertage!$C$5, Feiertage!$B$5+ROW(B48)-1, "")</f>
        <v/>
      </c>
      <c r="D50" s="1" t="str">
        <f>IF(Feiertage!$B$6+ROW(B48)-1&lt;=Feiertage!$C$6, Feiertage!$B$6+ROW(B48)-1, "")</f>
        <v/>
      </c>
      <c r="E50" s="1" t="str">
        <f>IF(Feiertage!$B$7+ROW(B48)-1&lt;=Feiertage!$C$7, Feiertage!$B$7+ROW(B48)-1, "")</f>
        <v/>
      </c>
      <c r="F50" s="1" t="str">
        <f>IF(Feiertage!$B$8+ROW(B48)-1&lt;=Feiertage!$C$8, Feiertage!$B$8+ROW(B48)-1, "")</f>
        <v/>
      </c>
      <c r="G50" s="1" t="str">
        <f>IF(Feiertage!$B$9+ROW(B48)-1&lt;=Feiertage!$C$9, Feiertage!$B$9+ROW(B48)-1, "")</f>
        <v/>
      </c>
      <c r="H50" s="1" t="str">
        <f>IF(Feiertage!$B$10+ROW(B48)-1&lt;=Feiertage!$C$10, Feiertage!$B$10+ROW(B48)-1, "")</f>
        <v/>
      </c>
      <c r="I50" s="1" t="str">
        <f>IF(Feiertage!$B$11+ROW(B48)-1&lt;=Feiertage!$C$11, Feiertage!$B$11+ROW(B48)-1, "")</f>
        <v/>
      </c>
      <c r="J50" s="1" t="str">
        <f>IF(Feiertage!$B$12+ROW(B48)-1&lt;=Feiertage!$C$12, Feiertage!$B$12+ROW(B48)-1, "")</f>
        <v/>
      </c>
      <c r="K50" s="1" t="str">
        <f>IF(Feiertage!$B$13+ROW(B48)-1&lt;=Feiertage!$C$13, Feiertage!$B$13+ROW(B48)-1, "")</f>
        <v/>
      </c>
      <c r="L50" s="1" t="str">
        <f>IF(Feiertage!$B$14+ROW(B48)-1&lt;=Feiertage!$C$14, Feiertage!$B$14+ROW(B48)-1, "")</f>
        <v/>
      </c>
      <c r="M50" s="1" t="str">
        <f>IF(Feiertage!$B$15+ROW(B48)-1&lt;=Feiertage!$C$15, Feiertage!$B$15+ROW(B48)-1, "")</f>
        <v/>
      </c>
      <c r="N50" s="1" t="str">
        <f>IF(Feiertage!$B$16+ROW(B48)-1&lt;=Feiertage!$C$16, Feiertage!$B$16+ROW(B48)-1, "")</f>
        <v/>
      </c>
      <c r="O50" s="1" t="str">
        <f>IF(Feiertage!$B$17+ROW(B48)-1&lt;=Feiertage!$C$17, Feiertage!$B$17+ROW(B48)-1, "")</f>
        <v/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3">
      <c r="A51" s="1" t="str">
        <f>IF(Feiertage!$B$3+ROW(A49)-1&lt;=Feiertage!$C$3, Feiertage!$B$3+ROW(A49)-1, "")</f>
        <v/>
      </c>
      <c r="B51" s="1" t="str">
        <f>IF(Feiertage!$B$4+ROW(B49)-1&lt;=Feiertage!$C$4, Feiertage!$B$4+ROW(B49)-1, "")</f>
        <v/>
      </c>
      <c r="C51" s="1" t="str">
        <f>IF(Feiertage!$B$5+ROW(B49)-1&lt;=Feiertage!$C$5, Feiertage!$B$5+ROW(B49)-1, "")</f>
        <v/>
      </c>
      <c r="D51" s="1" t="str">
        <f>IF(Feiertage!$B$6+ROW(B49)-1&lt;=Feiertage!$C$6, Feiertage!$B$6+ROW(B49)-1, "")</f>
        <v/>
      </c>
      <c r="E51" s="1" t="str">
        <f>IF(Feiertage!$B$7+ROW(B49)-1&lt;=Feiertage!$C$7, Feiertage!$B$7+ROW(B49)-1, "")</f>
        <v/>
      </c>
      <c r="F51" s="1" t="str">
        <f>IF(Feiertage!$B$8+ROW(B49)-1&lt;=Feiertage!$C$8, Feiertage!$B$8+ROW(B49)-1, "")</f>
        <v/>
      </c>
      <c r="G51" s="1" t="str">
        <f>IF(Feiertage!$B$9+ROW(B49)-1&lt;=Feiertage!$C$9, Feiertage!$B$9+ROW(B49)-1, "")</f>
        <v/>
      </c>
      <c r="H51" s="1" t="str">
        <f>IF(Feiertage!$B$10+ROW(B49)-1&lt;=Feiertage!$C$10, Feiertage!$B$10+ROW(B49)-1, "")</f>
        <v/>
      </c>
      <c r="I51" s="1" t="str">
        <f>IF(Feiertage!$B$11+ROW(B49)-1&lt;=Feiertage!$C$11, Feiertage!$B$11+ROW(B49)-1, "")</f>
        <v/>
      </c>
      <c r="J51" s="1" t="str">
        <f>IF(Feiertage!$B$12+ROW(B49)-1&lt;=Feiertage!$C$12, Feiertage!$B$12+ROW(B49)-1, "")</f>
        <v/>
      </c>
      <c r="K51" s="1" t="str">
        <f>IF(Feiertage!$B$13+ROW(B49)-1&lt;=Feiertage!$C$13, Feiertage!$B$13+ROW(B49)-1, "")</f>
        <v/>
      </c>
      <c r="L51" s="1" t="str">
        <f>IF(Feiertage!$B$14+ROW(B49)-1&lt;=Feiertage!$C$14, Feiertage!$B$14+ROW(B49)-1, "")</f>
        <v/>
      </c>
      <c r="M51" s="1" t="str">
        <f>IF(Feiertage!$B$15+ROW(B49)-1&lt;=Feiertage!$C$15, Feiertage!$B$15+ROW(B49)-1, "")</f>
        <v/>
      </c>
      <c r="N51" s="1" t="str">
        <f>IF(Feiertage!$B$16+ROW(B49)-1&lt;=Feiertage!$C$16, Feiertage!$B$16+ROW(B49)-1, "")</f>
        <v/>
      </c>
      <c r="O51" s="1" t="str">
        <f>IF(Feiertage!$B$17+ROW(B49)-1&lt;=Feiertage!$C$17, Feiertage!$B$17+ROW(B49)-1, "")</f>
        <v/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3">
      <c r="A52" s="1" t="str">
        <f>IF(Feiertage!$B$3+ROW(A50)-1&lt;=Feiertage!$C$3, Feiertage!$B$3+ROW(A50)-1, "")</f>
        <v/>
      </c>
      <c r="B52" s="1" t="str">
        <f>IF(Feiertage!$B$4+ROW(B50)-1&lt;=Feiertage!$C$4, Feiertage!$B$4+ROW(B50)-1, "")</f>
        <v/>
      </c>
      <c r="C52" s="1" t="str">
        <f>IF(Feiertage!$B$5+ROW(B50)-1&lt;=Feiertage!$C$5, Feiertage!$B$5+ROW(B50)-1, "")</f>
        <v/>
      </c>
      <c r="D52" s="1" t="str">
        <f>IF(Feiertage!$B$6+ROW(B50)-1&lt;=Feiertage!$C$6, Feiertage!$B$6+ROW(B50)-1, "")</f>
        <v/>
      </c>
      <c r="E52" s="1" t="str">
        <f>IF(Feiertage!$B$7+ROW(B50)-1&lt;=Feiertage!$C$7, Feiertage!$B$7+ROW(B50)-1, "")</f>
        <v/>
      </c>
      <c r="F52" s="1" t="str">
        <f>IF(Feiertage!$B$8+ROW(B50)-1&lt;=Feiertage!$C$8, Feiertage!$B$8+ROW(B50)-1, "")</f>
        <v/>
      </c>
      <c r="G52" s="1" t="str">
        <f>IF(Feiertage!$B$9+ROW(B50)-1&lt;=Feiertage!$C$9, Feiertage!$B$9+ROW(B50)-1, "")</f>
        <v/>
      </c>
      <c r="H52" s="1" t="str">
        <f>IF(Feiertage!$B$10+ROW(B50)-1&lt;=Feiertage!$C$10, Feiertage!$B$10+ROW(B50)-1, "")</f>
        <v/>
      </c>
      <c r="I52" s="1" t="str">
        <f>IF(Feiertage!$B$11+ROW(B50)-1&lt;=Feiertage!$C$11, Feiertage!$B$11+ROW(B50)-1, "")</f>
        <v/>
      </c>
      <c r="J52" s="1" t="str">
        <f>IF(Feiertage!$B$12+ROW(B50)-1&lt;=Feiertage!$C$12, Feiertage!$B$12+ROW(B50)-1, "")</f>
        <v/>
      </c>
      <c r="K52" s="1" t="str">
        <f>IF(Feiertage!$B$13+ROW(B50)-1&lt;=Feiertage!$C$13, Feiertage!$B$13+ROW(B50)-1, "")</f>
        <v/>
      </c>
      <c r="L52" s="1" t="str">
        <f>IF(Feiertage!$B$14+ROW(B50)-1&lt;=Feiertage!$C$14, Feiertage!$B$14+ROW(B50)-1, "")</f>
        <v/>
      </c>
      <c r="M52" s="1" t="str">
        <f>IF(Feiertage!$B$15+ROW(B50)-1&lt;=Feiertage!$C$15, Feiertage!$B$15+ROW(B50)-1, "")</f>
        <v/>
      </c>
      <c r="N52" s="1" t="str">
        <f>IF(Feiertage!$B$16+ROW(B50)-1&lt;=Feiertage!$C$16, Feiertage!$B$16+ROW(B50)-1, "")</f>
        <v/>
      </c>
      <c r="O52" s="1" t="str">
        <f>IF(Feiertage!$B$17+ROW(B50)-1&lt;=Feiertage!$C$17, Feiertage!$B$17+ROW(B50)-1, "")</f>
        <v/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3">
      <c r="A53" s="1" t="str">
        <f>IF(Feiertage!$B$3+ROW(A51)-1&lt;=Feiertage!$C$3, Feiertage!$B$3+ROW(A51)-1, "")</f>
        <v/>
      </c>
      <c r="B53" s="1" t="str">
        <f>IF(Feiertage!$B$4+ROW(B51)-1&lt;=Feiertage!$C$4, Feiertage!$B$4+ROW(B51)-1, "")</f>
        <v/>
      </c>
      <c r="C53" s="1" t="str">
        <f>IF(Feiertage!$B$5+ROW(B51)-1&lt;=Feiertage!$C$5, Feiertage!$B$5+ROW(B51)-1, "")</f>
        <v/>
      </c>
      <c r="D53" s="1" t="str">
        <f>IF(Feiertage!$B$6+ROW(B51)-1&lt;=Feiertage!$C$6, Feiertage!$B$6+ROW(B51)-1, "")</f>
        <v/>
      </c>
      <c r="E53" s="1" t="str">
        <f>IF(Feiertage!$B$7+ROW(B51)-1&lt;=Feiertage!$C$7, Feiertage!$B$7+ROW(B51)-1, "")</f>
        <v/>
      </c>
      <c r="F53" s="1" t="str">
        <f>IF(Feiertage!$B$8+ROW(B51)-1&lt;=Feiertage!$C$8, Feiertage!$B$8+ROW(B51)-1, "")</f>
        <v/>
      </c>
      <c r="G53" s="1" t="str">
        <f>IF(Feiertage!$B$9+ROW(B51)-1&lt;=Feiertage!$C$9, Feiertage!$B$9+ROW(B51)-1, "")</f>
        <v/>
      </c>
      <c r="H53" s="1" t="str">
        <f>IF(Feiertage!$B$10+ROW(B51)-1&lt;=Feiertage!$C$10, Feiertage!$B$10+ROW(B51)-1, "")</f>
        <v/>
      </c>
      <c r="I53" s="1" t="str">
        <f>IF(Feiertage!$B$11+ROW(B51)-1&lt;=Feiertage!$C$11, Feiertage!$B$11+ROW(B51)-1, "")</f>
        <v/>
      </c>
      <c r="J53" s="1" t="str">
        <f>IF(Feiertage!$B$12+ROW(B51)-1&lt;=Feiertage!$C$12, Feiertage!$B$12+ROW(B51)-1, "")</f>
        <v/>
      </c>
      <c r="K53" s="1" t="str">
        <f>IF(Feiertage!$B$13+ROW(B51)-1&lt;=Feiertage!$C$13, Feiertage!$B$13+ROW(B51)-1, "")</f>
        <v/>
      </c>
      <c r="L53" s="1" t="str">
        <f>IF(Feiertage!$B$14+ROW(B51)-1&lt;=Feiertage!$C$14, Feiertage!$B$14+ROW(B51)-1, "")</f>
        <v/>
      </c>
      <c r="M53" s="1" t="str">
        <f>IF(Feiertage!$B$15+ROW(B51)-1&lt;=Feiertage!$C$15, Feiertage!$B$15+ROW(B51)-1, "")</f>
        <v/>
      </c>
      <c r="N53" s="1" t="str">
        <f>IF(Feiertage!$B$16+ROW(B51)-1&lt;=Feiertage!$C$16, Feiertage!$B$16+ROW(B51)-1, "")</f>
        <v/>
      </c>
      <c r="O53" s="1" t="str">
        <f>IF(Feiertage!$B$17+ROW(B51)-1&lt;=Feiertage!$C$17, Feiertage!$B$17+ROW(B51)-1, "")</f>
        <v/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3">
      <c r="A54" s="1" t="str">
        <f>IF(Feiertage!$B$3+ROW(A52)-1&lt;=Feiertage!$C$3, Feiertage!$B$3+ROW(A52)-1, "")</f>
        <v/>
      </c>
      <c r="B54" s="1" t="str">
        <f>IF(Feiertage!$B$4+ROW(B52)-1&lt;=Feiertage!$C$4, Feiertage!$B$4+ROW(B52)-1, "")</f>
        <v/>
      </c>
      <c r="C54" s="1" t="str">
        <f>IF(Feiertage!$B$5+ROW(B52)-1&lt;=Feiertage!$C$5, Feiertage!$B$5+ROW(B52)-1, "")</f>
        <v/>
      </c>
      <c r="D54" s="1" t="str">
        <f>IF(Feiertage!$B$6+ROW(B52)-1&lt;=Feiertage!$C$6, Feiertage!$B$6+ROW(B52)-1, "")</f>
        <v/>
      </c>
      <c r="E54" s="1" t="str">
        <f>IF(Feiertage!$B$7+ROW(B52)-1&lt;=Feiertage!$C$7, Feiertage!$B$7+ROW(B52)-1, "")</f>
        <v/>
      </c>
      <c r="F54" s="1" t="str">
        <f>IF(Feiertage!$B$8+ROW(B52)-1&lt;=Feiertage!$C$8, Feiertage!$B$8+ROW(B52)-1, "")</f>
        <v/>
      </c>
      <c r="G54" s="1" t="str">
        <f>IF(Feiertage!$B$9+ROW(B52)-1&lt;=Feiertage!$C$9, Feiertage!$B$9+ROW(B52)-1, "")</f>
        <v/>
      </c>
      <c r="H54" s="1" t="str">
        <f>IF(Feiertage!$B$10+ROW(B52)-1&lt;=Feiertage!$C$10, Feiertage!$B$10+ROW(B52)-1, "")</f>
        <v/>
      </c>
      <c r="I54" s="1" t="str">
        <f>IF(Feiertage!$B$11+ROW(B52)-1&lt;=Feiertage!$C$11, Feiertage!$B$11+ROW(B52)-1, "")</f>
        <v/>
      </c>
      <c r="J54" s="1" t="str">
        <f>IF(Feiertage!$B$12+ROW(B52)-1&lt;=Feiertage!$C$12, Feiertage!$B$12+ROW(B52)-1, "")</f>
        <v/>
      </c>
      <c r="K54" s="1" t="str">
        <f>IF(Feiertage!$B$13+ROW(B52)-1&lt;=Feiertage!$C$13, Feiertage!$B$13+ROW(B52)-1, "")</f>
        <v/>
      </c>
      <c r="L54" s="1" t="str">
        <f>IF(Feiertage!$B$14+ROW(B52)-1&lt;=Feiertage!$C$14, Feiertage!$B$14+ROW(B52)-1, "")</f>
        <v/>
      </c>
      <c r="M54" s="1" t="str">
        <f>IF(Feiertage!$B$15+ROW(B52)-1&lt;=Feiertage!$C$15, Feiertage!$B$15+ROW(B52)-1, "")</f>
        <v/>
      </c>
      <c r="N54" s="1" t="str">
        <f>IF(Feiertage!$B$16+ROW(B52)-1&lt;=Feiertage!$C$16, Feiertage!$B$16+ROW(B52)-1, "")</f>
        <v/>
      </c>
      <c r="O54" s="1" t="str">
        <f>IF(Feiertage!$B$17+ROW(B52)-1&lt;=Feiertage!$C$17, Feiertage!$B$17+ROW(B52)-1, "")</f>
        <v/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3">
      <c r="A55" s="1" t="str">
        <f>IF(Feiertage!$B$3+ROW(A53)-1&lt;=Feiertage!$C$3, Feiertage!$B$3+ROW(A53)-1, "")</f>
        <v/>
      </c>
      <c r="B55" s="1" t="str">
        <f>IF(Feiertage!$B$4+ROW(B53)-1&lt;=Feiertage!$C$4, Feiertage!$B$4+ROW(B53)-1, "")</f>
        <v/>
      </c>
      <c r="C55" s="1" t="str">
        <f>IF(Feiertage!$B$5+ROW(B53)-1&lt;=Feiertage!$C$5, Feiertage!$B$5+ROW(B53)-1, "")</f>
        <v/>
      </c>
      <c r="D55" s="1" t="str">
        <f>IF(Feiertage!$B$6+ROW(B53)-1&lt;=Feiertage!$C$6, Feiertage!$B$6+ROW(B53)-1, "")</f>
        <v/>
      </c>
      <c r="E55" s="1" t="str">
        <f>IF(Feiertage!$B$7+ROW(B53)-1&lt;=Feiertage!$C$7, Feiertage!$B$7+ROW(B53)-1, "")</f>
        <v/>
      </c>
      <c r="F55" s="1" t="str">
        <f>IF(Feiertage!$B$8+ROW(B53)-1&lt;=Feiertage!$C$8, Feiertage!$B$8+ROW(B53)-1, "")</f>
        <v/>
      </c>
      <c r="G55" s="1" t="str">
        <f>IF(Feiertage!$B$9+ROW(B53)-1&lt;=Feiertage!$C$9, Feiertage!$B$9+ROW(B53)-1, "")</f>
        <v/>
      </c>
      <c r="H55" s="1" t="str">
        <f>IF(Feiertage!$B$10+ROW(B53)-1&lt;=Feiertage!$C$10, Feiertage!$B$10+ROW(B53)-1, "")</f>
        <v/>
      </c>
      <c r="I55" s="1" t="str">
        <f>IF(Feiertage!$B$11+ROW(B53)-1&lt;=Feiertage!$C$11, Feiertage!$B$11+ROW(B53)-1, "")</f>
        <v/>
      </c>
      <c r="J55" s="1" t="str">
        <f>IF(Feiertage!$B$12+ROW(B53)-1&lt;=Feiertage!$C$12, Feiertage!$B$12+ROW(B53)-1, "")</f>
        <v/>
      </c>
      <c r="K55" s="1" t="str">
        <f>IF(Feiertage!$B$13+ROW(B53)-1&lt;=Feiertage!$C$13, Feiertage!$B$13+ROW(B53)-1, "")</f>
        <v/>
      </c>
      <c r="L55" s="1" t="str">
        <f>IF(Feiertage!$B$14+ROW(B53)-1&lt;=Feiertage!$C$14, Feiertage!$B$14+ROW(B53)-1, "")</f>
        <v/>
      </c>
      <c r="M55" s="1" t="str">
        <f>IF(Feiertage!$B$15+ROW(B53)-1&lt;=Feiertage!$C$15, Feiertage!$B$15+ROW(B53)-1, "")</f>
        <v/>
      </c>
      <c r="N55" s="1" t="str">
        <f>IF(Feiertage!$B$16+ROW(B53)-1&lt;=Feiertage!$C$16, Feiertage!$B$16+ROW(B53)-1, "")</f>
        <v/>
      </c>
      <c r="O55" s="1" t="str">
        <f>IF(Feiertage!$B$17+ROW(B53)-1&lt;=Feiertage!$C$17, Feiertage!$B$17+ROW(B53)-1, "")</f>
        <v/>
      </c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3">
      <c r="A56" s="1" t="str">
        <f>IF(Feiertage!$B$3+ROW(A54)-1&lt;=Feiertage!$C$3, Feiertage!$B$3+ROW(A54)-1, "")</f>
        <v/>
      </c>
      <c r="B56" s="1" t="str">
        <f>IF(Feiertage!$B$4+ROW(B54)-1&lt;=Feiertage!$C$4, Feiertage!$B$4+ROW(B54)-1, "")</f>
        <v/>
      </c>
      <c r="C56" s="1" t="str">
        <f>IF(Feiertage!$B$5+ROW(B54)-1&lt;=Feiertage!$C$5, Feiertage!$B$5+ROW(B54)-1, "")</f>
        <v/>
      </c>
      <c r="D56" s="1" t="str">
        <f>IF(Feiertage!$B$6+ROW(B54)-1&lt;=Feiertage!$C$6, Feiertage!$B$6+ROW(B54)-1, "")</f>
        <v/>
      </c>
      <c r="E56" s="1" t="str">
        <f>IF(Feiertage!$B$7+ROW(B54)-1&lt;=Feiertage!$C$7, Feiertage!$B$7+ROW(B54)-1, "")</f>
        <v/>
      </c>
      <c r="F56" s="1" t="str">
        <f>IF(Feiertage!$B$8+ROW(B54)-1&lt;=Feiertage!$C$8, Feiertage!$B$8+ROW(B54)-1, "")</f>
        <v/>
      </c>
      <c r="G56" s="1" t="str">
        <f>IF(Feiertage!$B$9+ROW(B54)-1&lt;=Feiertage!$C$9, Feiertage!$B$9+ROW(B54)-1, "")</f>
        <v/>
      </c>
      <c r="H56" s="1" t="str">
        <f>IF(Feiertage!$B$10+ROW(B54)-1&lt;=Feiertage!$C$10, Feiertage!$B$10+ROW(B54)-1, "")</f>
        <v/>
      </c>
      <c r="I56" s="1" t="str">
        <f>IF(Feiertage!$B$11+ROW(B54)-1&lt;=Feiertage!$C$11, Feiertage!$B$11+ROW(B54)-1, "")</f>
        <v/>
      </c>
      <c r="J56" s="1" t="str">
        <f>IF(Feiertage!$B$12+ROW(B54)-1&lt;=Feiertage!$C$12, Feiertage!$B$12+ROW(B54)-1, "")</f>
        <v/>
      </c>
      <c r="K56" s="1" t="str">
        <f>IF(Feiertage!$B$13+ROW(B54)-1&lt;=Feiertage!$C$13, Feiertage!$B$13+ROW(B54)-1, "")</f>
        <v/>
      </c>
      <c r="L56" s="1" t="str">
        <f>IF(Feiertage!$B$14+ROW(B54)-1&lt;=Feiertage!$C$14, Feiertage!$B$14+ROW(B54)-1, "")</f>
        <v/>
      </c>
      <c r="M56" s="1" t="str">
        <f>IF(Feiertage!$B$15+ROW(B54)-1&lt;=Feiertage!$C$15, Feiertage!$B$15+ROW(B54)-1, "")</f>
        <v/>
      </c>
      <c r="N56" s="1" t="str">
        <f>IF(Feiertage!$B$16+ROW(B54)-1&lt;=Feiertage!$C$16, Feiertage!$B$16+ROW(B54)-1, "")</f>
        <v/>
      </c>
      <c r="O56" s="1" t="str">
        <f>IF(Feiertage!$B$17+ROW(B54)-1&lt;=Feiertage!$C$17, Feiertage!$B$17+ROW(B54)-1, "")</f>
        <v/>
      </c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3">
      <c r="A57" s="1" t="str">
        <f>IF(Feiertage!$B$3+ROW(A55)-1&lt;=Feiertage!$C$3, Feiertage!$B$3+ROW(A55)-1, "")</f>
        <v/>
      </c>
      <c r="B57" s="1" t="str">
        <f>IF(Feiertage!$B$4+ROW(B55)-1&lt;=Feiertage!$C$4, Feiertage!$B$4+ROW(B55)-1, "")</f>
        <v/>
      </c>
      <c r="C57" s="1" t="str">
        <f>IF(Feiertage!$B$5+ROW(B55)-1&lt;=Feiertage!$C$5, Feiertage!$B$5+ROW(B55)-1, "")</f>
        <v/>
      </c>
      <c r="D57" s="1" t="str">
        <f>IF(Feiertage!$B$6+ROW(B55)-1&lt;=Feiertage!$C$6, Feiertage!$B$6+ROW(B55)-1, "")</f>
        <v/>
      </c>
      <c r="E57" s="1" t="str">
        <f>IF(Feiertage!$B$7+ROW(B55)-1&lt;=Feiertage!$C$7, Feiertage!$B$7+ROW(B55)-1, "")</f>
        <v/>
      </c>
      <c r="F57" s="1" t="str">
        <f>IF(Feiertage!$B$8+ROW(B55)-1&lt;=Feiertage!$C$8, Feiertage!$B$8+ROW(B55)-1, "")</f>
        <v/>
      </c>
      <c r="G57" s="1" t="str">
        <f>IF(Feiertage!$B$9+ROW(B55)-1&lt;=Feiertage!$C$9, Feiertage!$B$9+ROW(B55)-1, "")</f>
        <v/>
      </c>
      <c r="H57" s="1" t="str">
        <f>IF(Feiertage!$B$10+ROW(B55)-1&lt;=Feiertage!$C$10, Feiertage!$B$10+ROW(B55)-1, "")</f>
        <v/>
      </c>
      <c r="I57" s="1" t="str">
        <f>IF(Feiertage!$B$11+ROW(B55)-1&lt;=Feiertage!$C$11, Feiertage!$B$11+ROW(B55)-1, "")</f>
        <v/>
      </c>
      <c r="J57" s="1" t="str">
        <f>IF(Feiertage!$B$12+ROW(B55)-1&lt;=Feiertage!$C$12, Feiertage!$B$12+ROW(B55)-1, "")</f>
        <v/>
      </c>
      <c r="K57" s="1" t="str">
        <f>IF(Feiertage!$B$13+ROW(B55)-1&lt;=Feiertage!$C$13, Feiertage!$B$13+ROW(B55)-1, "")</f>
        <v/>
      </c>
      <c r="L57" s="1" t="str">
        <f>IF(Feiertage!$B$14+ROW(B55)-1&lt;=Feiertage!$C$14, Feiertage!$B$14+ROW(B55)-1, "")</f>
        <v/>
      </c>
      <c r="M57" s="1" t="str">
        <f>IF(Feiertage!$B$15+ROW(B55)-1&lt;=Feiertage!$C$15, Feiertage!$B$15+ROW(B55)-1, "")</f>
        <v/>
      </c>
      <c r="N57" s="1" t="str">
        <f>IF(Feiertage!$B$16+ROW(B55)-1&lt;=Feiertage!$C$16, Feiertage!$B$16+ROW(B55)-1, "")</f>
        <v/>
      </c>
      <c r="O57" s="1" t="str">
        <f>IF(Feiertage!$B$17+ROW(B55)-1&lt;=Feiertage!$C$17, Feiertage!$B$17+ROW(B55)-1, "")</f>
        <v/>
      </c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3">
      <c r="A58" s="1" t="str">
        <f>IF(Feiertage!$B$3+ROW(A56)-1&lt;=Feiertage!$C$3, Feiertage!$B$3+ROW(A56)-1, "")</f>
        <v/>
      </c>
      <c r="B58" s="1" t="str">
        <f>IF(Feiertage!$B$4+ROW(B56)-1&lt;=Feiertage!$C$4, Feiertage!$B$4+ROW(B56)-1, "")</f>
        <v/>
      </c>
      <c r="C58" s="1" t="str">
        <f>IF(Feiertage!$B$5+ROW(B56)-1&lt;=Feiertage!$C$5, Feiertage!$B$5+ROW(B56)-1, "")</f>
        <v/>
      </c>
      <c r="D58" s="1" t="str">
        <f>IF(Feiertage!$B$6+ROW(B56)-1&lt;=Feiertage!$C$6, Feiertage!$B$6+ROW(B56)-1, "")</f>
        <v/>
      </c>
      <c r="E58" s="1" t="str">
        <f>IF(Feiertage!$B$7+ROW(B56)-1&lt;=Feiertage!$C$7, Feiertage!$B$7+ROW(B56)-1, "")</f>
        <v/>
      </c>
      <c r="F58" s="1" t="str">
        <f>IF(Feiertage!$B$8+ROW(B56)-1&lt;=Feiertage!$C$8, Feiertage!$B$8+ROW(B56)-1, "")</f>
        <v/>
      </c>
      <c r="G58" s="1" t="str">
        <f>IF(Feiertage!$B$9+ROW(B56)-1&lt;=Feiertage!$C$9, Feiertage!$B$9+ROW(B56)-1, "")</f>
        <v/>
      </c>
      <c r="H58" s="1" t="str">
        <f>IF(Feiertage!$B$10+ROW(B56)-1&lt;=Feiertage!$C$10, Feiertage!$B$10+ROW(B56)-1, "")</f>
        <v/>
      </c>
      <c r="I58" s="1" t="str">
        <f>IF(Feiertage!$B$11+ROW(B56)-1&lt;=Feiertage!$C$11, Feiertage!$B$11+ROW(B56)-1, "")</f>
        <v/>
      </c>
      <c r="J58" s="1" t="str">
        <f>IF(Feiertage!$B$12+ROW(B56)-1&lt;=Feiertage!$C$12, Feiertage!$B$12+ROW(B56)-1, "")</f>
        <v/>
      </c>
      <c r="K58" s="1" t="str">
        <f>IF(Feiertage!$B$13+ROW(B56)-1&lt;=Feiertage!$C$13, Feiertage!$B$13+ROW(B56)-1, "")</f>
        <v/>
      </c>
      <c r="L58" s="1" t="str">
        <f>IF(Feiertage!$B$14+ROW(B56)-1&lt;=Feiertage!$C$14, Feiertage!$B$14+ROW(B56)-1, "")</f>
        <v/>
      </c>
      <c r="M58" s="1" t="str">
        <f>IF(Feiertage!$B$15+ROW(B56)-1&lt;=Feiertage!$C$15, Feiertage!$B$15+ROW(B56)-1, "")</f>
        <v/>
      </c>
      <c r="N58" s="1" t="str">
        <f>IF(Feiertage!$B$16+ROW(B56)-1&lt;=Feiertage!$C$16, Feiertage!$B$16+ROW(B56)-1, "")</f>
        <v/>
      </c>
      <c r="O58" s="1" t="str">
        <f>IF(Feiertage!$B$17+ROW(B56)-1&lt;=Feiertage!$C$17, Feiertage!$B$17+ROW(B56)-1, "")</f>
        <v/>
      </c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3">
      <c r="A59" s="1" t="str">
        <f>IF(Feiertage!$B$3+ROW(A57)-1&lt;=Feiertage!$C$3, Feiertage!$B$3+ROW(A57)-1, "")</f>
        <v/>
      </c>
      <c r="B59" s="1" t="str">
        <f>IF(Feiertage!$B$4+ROW(B57)-1&lt;=Feiertage!$C$4, Feiertage!$B$4+ROW(B57)-1, "")</f>
        <v/>
      </c>
      <c r="C59" s="1" t="str">
        <f>IF(Feiertage!$B$5+ROW(B57)-1&lt;=Feiertage!$C$5, Feiertage!$B$5+ROW(B57)-1, "")</f>
        <v/>
      </c>
      <c r="D59" s="1" t="str">
        <f>IF(Feiertage!$B$6+ROW(B57)-1&lt;=Feiertage!$C$6, Feiertage!$B$6+ROW(B57)-1, "")</f>
        <v/>
      </c>
      <c r="E59" s="1" t="str">
        <f>IF(Feiertage!$B$7+ROW(B57)-1&lt;=Feiertage!$C$7, Feiertage!$B$7+ROW(B57)-1, "")</f>
        <v/>
      </c>
      <c r="F59" s="1" t="str">
        <f>IF(Feiertage!$B$8+ROW(B57)-1&lt;=Feiertage!$C$8, Feiertage!$B$8+ROW(B57)-1, "")</f>
        <v/>
      </c>
      <c r="G59" s="1" t="str">
        <f>IF(Feiertage!$B$9+ROW(B57)-1&lt;=Feiertage!$C$9, Feiertage!$B$9+ROW(B57)-1, "")</f>
        <v/>
      </c>
      <c r="H59" s="1" t="str">
        <f>IF(Feiertage!$B$10+ROW(B57)-1&lt;=Feiertage!$C$10, Feiertage!$B$10+ROW(B57)-1, "")</f>
        <v/>
      </c>
      <c r="I59" s="1" t="str">
        <f>IF(Feiertage!$B$11+ROW(B57)-1&lt;=Feiertage!$C$11, Feiertage!$B$11+ROW(B57)-1, "")</f>
        <v/>
      </c>
      <c r="J59" s="1" t="str">
        <f>IF(Feiertage!$B$12+ROW(B57)-1&lt;=Feiertage!$C$12, Feiertage!$B$12+ROW(B57)-1, "")</f>
        <v/>
      </c>
      <c r="K59" s="1" t="str">
        <f>IF(Feiertage!$B$13+ROW(B57)-1&lt;=Feiertage!$C$13, Feiertage!$B$13+ROW(B57)-1, "")</f>
        <v/>
      </c>
      <c r="L59" s="1" t="str">
        <f>IF(Feiertage!$B$14+ROW(B57)-1&lt;=Feiertage!$C$14, Feiertage!$B$14+ROW(B57)-1, "")</f>
        <v/>
      </c>
      <c r="M59" s="1" t="str">
        <f>IF(Feiertage!$B$15+ROW(B57)-1&lt;=Feiertage!$C$15, Feiertage!$B$15+ROW(B57)-1, "")</f>
        <v/>
      </c>
      <c r="N59" s="1" t="str">
        <f>IF(Feiertage!$B$16+ROW(B57)-1&lt;=Feiertage!$C$16, Feiertage!$B$16+ROW(B57)-1, "")</f>
        <v/>
      </c>
      <c r="O59" s="1" t="str">
        <f>IF(Feiertage!$B$17+ROW(B57)-1&lt;=Feiertage!$C$17, Feiertage!$B$17+ROW(B57)-1, "")</f>
        <v/>
      </c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3">
      <c r="A60" s="1" t="str">
        <f>IF(Feiertage!$B$3+ROW(A58)-1&lt;=Feiertage!$C$3, Feiertage!$B$3+ROW(A58)-1, "")</f>
        <v/>
      </c>
      <c r="B60" s="1" t="str">
        <f>IF(Feiertage!$B$4+ROW(B58)-1&lt;=Feiertage!$C$4, Feiertage!$B$4+ROW(B58)-1, "")</f>
        <v/>
      </c>
      <c r="C60" s="1" t="str">
        <f>IF(Feiertage!$B$5+ROW(B58)-1&lt;=Feiertage!$C$5, Feiertage!$B$5+ROW(B58)-1, "")</f>
        <v/>
      </c>
      <c r="D60" s="1" t="str">
        <f>IF(Feiertage!$B$6+ROW(B58)-1&lt;=Feiertage!$C$6, Feiertage!$B$6+ROW(B58)-1, "")</f>
        <v/>
      </c>
      <c r="E60" s="1" t="str">
        <f>IF(Feiertage!$B$7+ROW(B58)-1&lt;=Feiertage!$C$7, Feiertage!$B$7+ROW(B58)-1, "")</f>
        <v/>
      </c>
      <c r="F60" s="1" t="str">
        <f>IF(Feiertage!$B$8+ROW(B58)-1&lt;=Feiertage!$C$8, Feiertage!$B$8+ROW(B58)-1, "")</f>
        <v/>
      </c>
      <c r="G60" s="1" t="str">
        <f>IF(Feiertage!$B$9+ROW(B58)-1&lt;=Feiertage!$C$9, Feiertage!$B$9+ROW(B58)-1, "")</f>
        <v/>
      </c>
      <c r="H60" s="1" t="str">
        <f>IF(Feiertage!$B$10+ROW(B58)-1&lt;=Feiertage!$C$10, Feiertage!$B$10+ROW(B58)-1, "")</f>
        <v/>
      </c>
      <c r="I60" s="1" t="str">
        <f>IF(Feiertage!$B$11+ROW(B58)-1&lt;=Feiertage!$C$11, Feiertage!$B$11+ROW(B58)-1, "")</f>
        <v/>
      </c>
      <c r="J60" s="1" t="str">
        <f>IF(Feiertage!$B$12+ROW(B58)-1&lt;=Feiertage!$C$12, Feiertage!$B$12+ROW(B58)-1, "")</f>
        <v/>
      </c>
      <c r="K60" s="1" t="str">
        <f>IF(Feiertage!$B$13+ROW(B58)-1&lt;=Feiertage!$C$13, Feiertage!$B$13+ROW(B58)-1, "")</f>
        <v/>
      </c>
      <c r="L60" s="1" t="str">
        <f>IF(Feiertage!$B$14+ROW(B58)-1&lt;=Feiertage!$C$14, Feiertage!$B$14+ROW(B58)-1, "")</f>
        <v/>
      </c>
      <c r="M60" s="1" t="str">
        <f>IF(Feiertage!$B$15+ROW(B58)-1&lt;=Feiertage!$C$15, Feiertage!$B$15+ROW(B58)-1, "")</f>
        <v/>
      </c>
      <c r="N60" s="1" t="str">
        <f>IF(Feiertage!$B$16+ROW(B58)-1&lt;=Feiertage!$C$16, Feiertage!$B$16+ROW(B58)-1, "")</f>
        <v/>
      </c>
      <c r="O60" s="1" t="str">
        <f>IF(Feiertage!$B$17+ROW(B58)-1&lt;=Feiertage!$C$17, Feiertage!$B$17+ROW(B58)-1, "")</f>
        <v/>
      </c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3">
      <c r="A61" s="1" t="str">
        <f>IF(Feiertage!$B$3+ROW(A59)-1&lt;=Feiertage!$C$3, Feiertage!$B$3+ROW(A59)-1, "")</f>
        <v/>
      </c>
      <c r="B61" s="1" t="str">
        <f>IF(Feiertage!$B$4+ROW(B59)-1&lt;=Feiertage!$C$4, Feiertage!$B$4+ROW(B59)-1, "")</f>
        <v/>
      </c>
      <c r="C61" s="1" t="str">
        <f>IF(Feiertage!$B$5+ROW(B59)-1&lt;=Feiertage!$C$5, Feiertage!$B$5+ROW(B59)-1, "")</f>
        <v/>
      </c>
      <c r="D61" s="1" t="str">
        <f>IF(Feiertage!$B$6+ROW(B59)-1&lt;=Feiertage!$C$6, Feiertage!$B$6+ROW(B59)-1, "")</f>
        <v/>
      </c>
      <c r="E61" s="1" t="str">
        <f>IF(Feiertage!$B$7+ROW(B59)-1&lt;=Feiertage!$C$7, Feiertage!$B$7+ROW(B59)-1, "")</f>
        <v/>
      </c>
      <c r="F61" s="1" t="str">
        <f>IF(Feiertage!$B$8+ROW(B59)-1&lt;=Feiertage!$C$8, Feiertage!$B$8+ROW(B59)-1, "")</f>
        <v/>
      </c>
      <c r="G61" s="1" t="str">
        <f>IF(Feiertage!$B$9+ROW(B59)-1&lt;=Feiertage!$C$9, Feiertage!$B$9+ROW(B59)-1, "")</f>
        <v/>
      </c>
      <c r="H61" s="1" t="str">
        <f>IF(Feiertage!$B$10+ROW(B59)-1&lt;=Feiertage!$C$10, Feiertage!$B$10+ROW(B59)-1, "")</f>
        <v/>
      </c>
      <c r="I61" s="1" t="str">
        <f>IF(Feiertage!$B$11+ROW(B59)-1&lt;=Feiertage!$C$11, Feiertage!$B$11+ROW(B59)-1, "")</f>
        <v/>
      </c>
      <c r="J61" s="1" t="str">
        <f>IF(Feiertage!$B$12+ROW(B59)-1&lt;=Feiertage!$C$12, Feiertage!$B$12+ROW(B59)-1, "")</f>
        <v/>
      </c>
      <c r="K61" s="1" t="str">
        <f>IF(Feiertage!$B$13+ROW(B59)-1&lt;=Feiertage!$C$13, Feiertage!$B$13+ROW(B59)-1, "")</f>
        <v/>
      </c>
      <c r="L61" s="1" t="str">
        <f>IF(Feiertage!$B$14+ROW(B59)-1&lt;=Feiertage!$C$14, Feiertage!$B$14+ROW(B59)-1, "")</f>
        <v/>
      </c>
      <c r="M61" s="1" t="str">
        <f>IF(Feiertage!$B$15+ROW(B59)-1&lt;=Feiertage!$C$15, Feiertage!$B$15+ROW(B59)-1, "")</f>
        <v/>
      </c>
      <c r="N61" s="1" t="str">
        <f>IF(Feiertage!$B$16+ROW(B59)-1&lt;=Feiertage!$C$16, Feiertage!$B$16+ROW(B59)-1, "")</f>
        <v/>
      </c>
      <c r="O61" s="1" t="str">
        <f>IF(Feiertage!$B$17+ROW(B59)-1&lt;=Feiertage!$C$17, Feiertage!$B$17+ROW(B59)-1, "")</f>
        <v/>
      </c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s="1" t="str">
        <f>IF(Feiertage!$B$3+ROW(A60)-1&lt;=Feiertage!$C$3, Feiertage!$B$3+ROW(A60)-1, "")</f>
        <v/>
      </c>
      <c r="B62" s="1" t="str">
        <f>IF(Feiertage!$B$4+ROW(B60)-1&lt;=Feiertage!$C$4, Feiertage!$B$4+ROW(B60)-1, "")</f>
        <v/>
      </c>
      <c r="C62" s="1" t="str">
        <f>IF(Feiertage!$B$5+ROW(B60)-1&lt;=Feiertage!$C$5, Feiertage!$B$5+ROW(B60)-1, "")</f>
        <v/>
      </c>
      <c r="D62" s="1" t="str">
        <f>IF(Feiertage!$B$6+ROW(B60)-1&lt;=Feiertage!$C$6, Feiertage!$B$6+ROW(B60)-1, "")</f>
        <v/>
      </c>
      <c r="E62" s="1" t="str">
        <f>IF(Feiertage!$B$7+ROW(B60)-1&lt;=Feiertage!$C$7, Feiertage!$B$7+ROW(B60)-1, "")</f>
        <v/>
      </c>
      <c r="F62" s="1" t="str">
        <f>IF(Feiertage!$B$8+ROW(B60)-1&lt;=Feiertage!$C$8, Feiertage!$B$8+ROW(B60)-1, "")</f>
        <v/>
      </c>
      <c r="G62" s="1" t="str">
        <f>IF(Feiertage!$B$9+ROW(B60)-1&lt;=Feiertage!$C$9, Feiertage!$B$9+ROW(B60)-1, "")</f>
        <v/>
      </c>
      <c r="H62" s="1" t="str">
        <f>IF(Feiertage!$B$10+ROW(B60)-1&lt;=Feiertage!$C$10, Feiertage!$B$10+ROW(B60)-1, "")</f>
        <v/>
      </c>
      <c r="I62" s="1" t="str">
        <f>IF(Feiertage!$B$11+ROW(B60)-1&lt;=Feiertage!$C$11, Feiertage!$B$11+ROW(B60)-1, "")</f>
        <v/>
      </c>
      <c r="J62" s="1" t="str">
        <f>IF(Feiertage!$B$12+ROW(B60)-1&lt;=Feiertage!$C$12, Feiertage!$B$12+ROW(B60)-1, "")</f>
        <v/>
      </c>
      <c r="K62" s="1" t="str">
        <f>IF(Feiertage!$B$13+ROW(B60)-1&lt;=Feiertage!$C$13, Feiertage!$B$13+ROW(B60)-1, "")</f>
        <v/>
      </c>
      <c r="L62" s="1" t="str">
        <f>IF(Feiertage!$B$14+ROW(B60)-1&lt;=Feiertage!$C$14, Feiertage!$B$14+ROW(B60)-1, "")</f>
        <v/>
      </c>
      <c r="M62" s="1" t="str">
        <f>IF(Feiertage!$B$15+ROW(B60)-1&lt;=Feiertage!$C$15, Feiertage!$B$15+ROW(B60)-1, "")</f>
        <v/>
      </c>
      <c r="N62" s="1" t="str">
        <f>IF(Feiertage!$B$16+ROW(B60)-1&lt;=Feiertage!$C$16, Feiertage!$B$16+ROW(B60)-1, "")</f>
        <v/>
      </c>
      <c r="O62" s="1" t="str">
        <f>IF(Feiertage!$B$17+ROW(B60)-1&lt;=Feiertage!$C$17, Feiertage!$B$17+ROW(B60)-1, "")</f>
        <v/>
      </c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3">
      <c r="A63" s="1" t="str">
        <f>IF(Feiertage!$B$3+ROW(A61)-1&lt;=Feiertage!$C$3, Feiertage!$B$3+ROW(A61)-1, "")</f>
        <v/>
      </c>
      <c r="B63" s="1" t="str">
        <f>IF(Feiertage!$B$4+ROW(B61)-1&lt;=Feiertage!$C$4, Feiertage!$B$4+ROW(B61)-1, "")</f>
        <v/>
      </c>
      <c r="C63" s="1" t="str">
        <f>IF(Feiertage!$B$5+ROW(B61)-1&lt;=Feiertage!$C$5, Feiertage!$B$5+ROW(B61)-1, "")</f>
        <v/>
      </c>
      <c r="D63" s="1" t="str">
        <f>IF(Feiertage!$B$6+ROW(B61)-1&lt;=Feiertage!$C$6, Feiertage!$B$6+ROW(B61)-1, "")</f>
        <v/>
      </c>
      <c r="E63" s="1" t="str">
        <f>IF(Feiertage!$B$7+ROW(B61)-1&lt;=Feiertage!$C$7, Feiertage!$B$7+ROW(B61)-1, "")</f>
        <v/>
      </c>
      <c r="F63" s="1" t="str">
        <f>IF(Feiertage!$B$8+ROW(B61)-1&lt;=Feiertage!$C$8, Feiertage!$B$8+ROW(B61)-1, "")</f>
        <v/>
      </c>
      <c r="G63" s="1" t="str">
        <f>IF(Feiertage!$B$9+ROW(B61)-1&lt;=Feiertage!$C$9, Feiertage!$B$9+ROW(B61)-1, "")</f>
        <v/>
      </c>
      <c r="H63" s="1" t="str">
        <f>IF(Feiertage!$B$10+ROW(B61)-1&lt;=Feiertage!$C$10, Feiertage!$B$10+ROW(B61)-1, "")</f>
        <v/>
      </c>
      <c r="I63" s="1" t="str">
        <f>IF(Feiertage!$B$11+ROW(B61)-1&lt;=Feiertage!$C$11, Feiertage!$B$11+ROW(B61)-1, "")</f>
        <v/>
      </c>
      <c r="J63" s="1" t="str">
        <f>IF(Feiertage!$B$12+ROW(B61)-1&lt;=Feiertage!$C$12, Feiertage!$B$12+ROW(B61)-1, "")</f>
        <v/>
      </c>
      <c r="K63" s="1" t="str">
        <f>IF(Feiertage!$B$13+ROW(B61)-1&lt;=Feiertage!$C$13, Feiertage!$B$13+ROW(B61)-1, "")</f>
        <v/>
      </c>
      <c r="L63" s="1" t="str">
        <f>IF(Feiertage!$B$14+ROW(B61)-1&lt;=Feiertage!$C$14, Feiertage!$B$14+ROW(B61)-1, "")</f>
        <v/>
      </c>
      <c r="M63" s="1" t="str">
        <f>IF(Feiertage!$B$15+ROW(B61)-1&lt;=Feiertage!$C$15, Feiertage!$B$15+ROW(B61)-1, "")</f>
        <v/>
      </c>
      <c r="N63" s="1" t="str">
        <f>IF(Feiertage!$B$16+ROW(B61)-1&lt;=Feiertage!$C$16, Feiertage!$B$16+ROW(B61)-1, "")</f>
        <v/>
      </c>
      <c r="O63" s="1" t="str">
        <f>IF(Feiertage!$B$17+ROW(B61)-1&lt;=Feiertage!$C$17, Feiertage!$B$17+ROW(B61)-1, "")</f>
        <v/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3">
      <c r="A64" s="1" t="str">
        <f>IF(Feiertage!$B$3+ROW(A62)-1&lt;=Feiertage!$C$3, Feiertage!$B$3+ROW(A62)-1, "")</f>
        <v/>
      </c>
      <c r="B64" s="1" t="str">
        <f>IF(Feiertage!$B$4+ROW(B62)-1&lt;=Feiertage!$C$4, Feiertage!$B$4+ROW(B62)-1, "")</f>
        <v/>
      </c>
      <c r="C64" s="1" t="str">
        <f>IF(Feiertage!$B$5+ROW(B62)-1&lt;=Feiertage!$C$5, Feiertage!$B$5+ROW(B62)-1, "")</f>
        <v/>
      </c>
      <c r="D64" s="1" t="str">
        <f>IF(Feiertage!$B$6+ROW(B62)-1&lt;=Feiertage!$C$6, Feiertage!$B$6+ROW(B62)-1, "")</f>
        <v/>
      </c>
      <c r="E64" s="1" t="str">
        <f>IF(Feiertage!$B$7+ROW(B62)-1&lt;=Feiertage!$C$7, Feiertage!$B$7+ROW(B62)-1, "")</f>
        <v/>
      </c>
      <c r="F64" s="1" t="str">
        <f>IF(Feiertage!$B$8+ROW(B62)-1&lt;=Feiertage!$C$8, Feiertage!$B$8+ROW(B62)-1, "")</f>
        <v/>
      </c>
      <c r="G64" s="1" t="str">
        <f>IF(Feiertage!$B$9+ROW(B62)-1&lt;=Feiertage!$C$9, Feiertage!$B$9+ROW(B62)-1, "")</f>
        <v/>
      </c>
      <c r="H64" s="1" t="str">
        <f>IF(Feiertage!$B$10+ROW(B62)-1&lt;=Feiertage!$C$10, Feiertage!$B$10+ROW(B62)-1, "")</f>
        <v/>
      </c>
      <c r="I64" s="1" t="str">
        <f>IF(Feiertage!$B$11+ROW(B62)-1&lt;=Feiertage!$C$11, Feiertage!$B$11+ROW(B62)-1, "")</f>
        <v/>
      </c>
      <c r="J64" s="1" t="str">
        <f>IF(Feiertage!$B$12+ROW(B62)-1&lt;=Feiertage!$C$12, Feiertage!$B$12+ROW(B62)-1, "")</f>
        <v/>
      </c>
      <c r="K64" s="1" t="str">
        <f>IF(Feiertage!$B$13+ROW(B62)-1&lt;=Feiertage!$C$13, Feiertage!$B$13+ROW(B62)-1, "")</f>
        <v/>
      </c>
      <c r="L64" s="1" t="str">
        <f>IF(Feiertage!$B$14+ROW(B62)-1&lt;=Feiertage!$C$14, Feiertage!$B$14+ROW(B62)-1, "")</f>
        <v/>
      </c>
      <c r="M64" s="1" t="str">
        <f>IF(Feiertage!$B$15+ROW(B62)-1&lt;=Feiertage!$C$15, Feiertage!$B$15+ROW(B62)-1, "")</f>
        <v/>
      </c>
      <c r="N64" s="1" t="str">
        <f>IF(Feiertage!$B$16+ROW(B62)-1&lt;=Feiertage!$C$16, Feiertage!$B$16+ROW(B62)-1, "")</f>
        <v/>
      </c>
      <c r="O64" s="1" t="str">
        <f>IF(Feiertage!$B$17+ROW(B62)-1&lt;=Feiertage!$C$17, Feiertage!$B$17+ROW(B62)-1, "")</f>
        <v/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3">
      <c r="A65" s="1" t="str">
        <f>IF(Feiertage!$B$3+ROW(A63)-1&lt;=Feiertage!$C$3, Feiertage!$B$3+ROW(A63)-1, "")</f>
        <v/>
      </c>
      <c r="B65" s="1" t="str">
        <f>IF(Feiertage!$B$4+ROW(B63)-1&lt;=Feiertage!$C$4, Feiertage!$B$4+ROW(B63)-1, "")</f>
        <v/>
      </c>
      <c r="C65" s="1" t="str">
        <f>IF(Feiertage!$B$5+ROW(B63)-1&lt;=Feiertage!$C$5, Feiertage!$B$5+ROW(B63)-1, "")</f>
        <v/>
      </c>
      <c r="D65" s="1" t="str">
        <f>IF(Feiertage!$B$6+ROW(B63)-1&lt;=Feiertage!$C$6, Feiertage!$B$6+ROW(B63)-1, "")</f>
        <v/>
      </c>
      <c r="E65" s="1" t="str">
        <f>IF(Feiertage!$B$7+ROW(B63)-1&lt;=Feiertage!$C$7, Feiertage!$B$7+ROW(B63)-1, "")</f>
        <v/>
      </c>
      <c r="F65" s="1" t="str">
        <f>IF(Feiertage!$B$8+ROW(B63)-1&lt;=Feiertage!$C$8, Feiertage!$B$8+ROW(B63)-1, "")</f>
        <v/>
      </c>
      <c r="G65" s="1" t="str">
        <f>IF(Feiertage!$B$9+ROW(B63)-1&lt;=Feiertage!$C$9, Feiertage!$B$9+ROW(B63)-1, "")</f>
        <v/>
      </c>
      <c r="H65" s="1" t="str">
        <f>IF(Feiertage!$B$10+ROW(B63)-1&lt;=Feiertage!$C$10, Feiertage!$B$10+ROW(B63)-1, "")</f>
        <v/>
      </c>
      <c r="I65" s="1" t="str">
        <f>IF(Feiertage!$B$11+ROW(B63)-1&lt;=Feiertage!$C$11, Feiertage!$B$11+ROW(B63)-1, "")</f>
        <v/>
      </c>
      <c r="J65" s="1" t="str">
        <f>IF(Feiertage!$B$12+ROW(B63)-1&lt;=Feiertage!$C$12, Feiertage!$B$12+ROW(B63)-1, "")</f>
        <v/>
      </c>
      <c r="K65" s="1" t="str">
        <f>IF(Feiertage!$B$13+ROW(B63)-1&lt;=Feiertage!$C$13, Feiertage!$B$13+ROW(B63)-1, "")</f>
        <v/>
      </c>
      <c r="L65" s="1" t="str">
        <f>IF(Feiertage!$B$14+ROW(B63)-1&lt;=Feiertage!$C$14, Feiertage!$B$14+ROW(B63)-1, "")</f>
        <v/>
      </c>
      <c r="M65" s="1" t="str">
        <f>IF(Feiertage!$B$15+ROW(B63)-1&lt;=Feiertage!$C$15, Feiertage!$B$15+ROW(B63)-1, "")</f>
        <v/>
      </c>
      <c r="N65" s="1" t="str">
        <f>IF(Feiertage!$B$16+ROW(B63)-1&lt;=Feiertage!$C$16, Feiertage!$B$16+ROW(B63)-1, "")</f>
        <v/>
      </c>
      <c r="O65" s="1" t="str">
        <f>IF(Feiertage!$B$17+ROW(B63)-1&lt;=Feiertage!$C$17, Feiertage!$B$17+ROW(B63)-1, "")</f>
        <v/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3">
      <c r="A66" s="1" t="str">
        <f>IF(Feiertage!$B$3+ROW(A64)-1&lt;=Feiertage!$C$3, Feiertage!$B$3+ROW(A64)-1, "")</f>
        <v/>
      </c>
      <c r="B66" s="1" t="str">
        <f>IF(Feiertage!$B$4+ROW(B64)-1&lt;=Feiertage!$C$4, Feiertage!$B$4+ROW(B64)-1, "")</f>
        <v/>
      </c>
      <c r="C66" s="1" t="str">
        <f>IF(Feiertage!$B$5+ROW(B64)-1&lt;=Feiertage!$C$5, Feiertage!$B$5+ROW(B64)-1, "")</f>
        <v/>
      </c>
      <c r="D66" s="1" t="str">
        <f>IF(Feiertage!$B$6+ROW(B64)-1&lt;=Feiertage!$C$6, Feiertage!$B$6+ROW(B64)-1, "")</f>
        <v/>
      </c>
      <c r="E66" s="1" t="str">
        <f>IF(Feiertage!$B$7+ROW(B64)-1&lt;=Feiertage!$C$7, Feiertage!$B$7+ROW(B64)-1, "")</f>
        <v/>
      </c>
      <c r="F66" s="1" t="str">
        <f>IF(Feiertage!$B$8+ROW(B64)-1&lt;=Feiertage!$C$8, Feiertage!$B$8+ROW(B64)-1, "")</f>
        <v/>
      </c>
      <c r="G66" s="1" t="str">
        <f>IF(Feiertage!$B$9+ROW(B64)-1&lt;=Feiertage!$C$9, Feiertage!$B$9+ROW(B64)-1, "")</f>
        <v/>
      </c>
      <c r="H66" s="1" t="str">
        <f>IF(Feiertage!$B$10+ROW(B64)-1&lt;=Feiertage!$C$10, Feiertage!$B$10+ROW(B64)-1, "")</f>
        <v/>
      </c>
      <c r="I66" s="1" t="str">
        <f>IF(Feiertage!$B$11+ROW(B64)-1&lt;=Feiertage!$C$11, Feiertage!$B$11+ROW(B64)-1, "")</f>
        <v/>
      </c>
      <c r="J66" s="1" t="str">
        <f>IF(Feiertage!$B$12+ROW(B64)-1&lt;=Feiertage!$C$12, Feiertage!$B$12+ROW(B64)-1, "")</f>
        <v/>
      </c>
      <c r="K66" s="1" t="str">
        <f>IF(Feiertage!$B$13+ROW(B64)-1&lt;=Feiertage!$C$13, Feiertage!$B$13+ROW(B64)-1, "")</f>
        <v/>
      </c>
      <c r="L66" s="1" t="str">
        <f>IF(Feiertage!$B$14+ROW(B64)-1&lt;=Feiertage!$C$14, Feiertage!$B$14+ROW(B64)-1, "")</f>
        <v/>
      </c>
      <c r="M66" s="1" t="str">
        <f>IF(Feiertage!$B$15+ROW(B64)-1&lt;=Feiertage!$C$15, Feiertage!$B$15+ROW(B64)-1, "")</f>
        <v/>
      </c>
      <c r="N66" s="1" t="str">
        <f>IF(Feiertage!$B$16+ROW(B64)-1&lt;=Feiertage!$C$16, Feiertage!$B$16+ROW(B64)-1, "")</f>
        <v/>
      </c>
      <c r="O66" s="1" t="str">
        <f>IF(Feiertage!$B$17+ROW(B64)-1&lt;=Feiertage!$C$17, Feiertage!$B$17+ROW(B64)-1, "")</f>
        <v/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3">
      <c r="A67" s="1" t="str">
        <f>IF(Feiertage!$B$3+ROW(A65)-1&lt;=Feiertage!$C$3, Feiertage!$B$3+ROW(A65)-1, "")</f>
        <v/>
      </c>
      <c r="B67" s="1" t="str">
        <f>IF(Feiertage!$B$4+ROW(B65)-1&lt;=Feiertage!$C$4, Feiertage!$B$4+ROW(B65)-1, "")</f>
        <v/>
      </c>
      <c r="C67" s="1" t="str">
        <f>IF(Feiertage!$B$5+ROW(B65)-1&lt;=Feiertage!$C$5, Feiertage!$B$5+ROW(B65)-1, "")</f>
        <v/>
      </c>
      <c r="D67" s="1" t="str">
        <f>IF(Feiertage!$B$6+ROW(B65)-1&lt;=Feiertage!$C$6, Feiertage!$B$6+ROW(B65)-1, "")</f>
        <v/>
      </c>
      <c r="E67" s="1" t="str">
        <f>IF(Feiertage!$B$7+ROW(B65)-1&lt;=Feiertage!$C$7, Feiertage!$B$7+ROW(B65)-1, "")</f>
        <v/>
      </c>
      <c r="F67" s="1" t="str">
        <f>IF(Feiertage!$B$8+ROW(B65)-1&lt;=Feiertage!$C$8, Feiertage!$B$8+ROW(B65)-1, "")</f>
        <v/>
      </c>
      <c r="G67" s="1" t="str">
        <f>IF(Feiertage!$B$9+ROW(B65)-1&lt;=Feiertage!$C$9, Feiertage!$B$9+ROW(B65)-1, "")</f>
        <v/>
      </c>
      <c r="H67" s="1" t="str">
        <f>IF(Feiertage!$B$10+ROW(B65)-1&lt;=Feiertage!$C$10, Feiertage!$B$10+ROW(B65)-1, "")</f>
        <v/>
      </c>
      <c r="I67" s="1" t="str">
        <f>IF(Feiertage!$B$11+ROW(B65)-1&lt;=Feiertage!$C$11, Feiertage!$B$11+ROW(B65)-1, "")</f>
        <v/>
      </c>
      <c r="J67" s="1" t="str">
        <f>IF(Feiertage!$B$12+ROW(B65)-1&lt;=Feiertage!$C$12, Feiertage!$B$12+ROW(B65)-1, "")</f>
        <v/>
      </c>
      <c r="K67" s="1" t="str">
        <f>IF(Feiertage!$B$13+ROW(B65)-1&lt;=Feiertage!$C$13, Feiertage!$B$13+ROW(B65)-1, "")</f>
        <v/>
      </c>
      <c r="L67" s="1" t="str">
        <f>IF(Feiertage!$B$14+ROW(B65)-1&lt;=Feiertage!$C$14, Feiertage!$B$14+ROW(B65)-1, "")</f>
        <v/>
      </c>
      <c r="M67" s="1" t="str">
        <f>IF(Feiertage!$B$15+ROW(B65)-1&lt;=Feiertage!$C$15, Feiertage!$B$15+ROW(B65)-1, "")</f>
        <v/>
      </c>
      <c r="N67" s="1" t="str">
        <f>IF(Feiertage!$B$16+ROW(B65)-1&lt;=Feiertage!$C$16, Feiertage!$B$16+ROW(B65)-1, "")</f>
        <v/>
      </c>
      <c r="O67" s="1" t="str">
        <f>IF(Feiertage!$B$17+ROW(B65)-1&lt;=Feiertage!$C$17, Feiertage!$B$17+ROW(B65)-1, "")</f>
        <v/>
      </c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3">
      <c r="A68" s="1" t="str">
        <f>IF(Feiertage!$B$3+ROW(A66)-1&lt;=Feiertage!$C$3, Feiertage!$B$3+ROW(A66)-1, "")</f>
        <v/>
      </c>
      <c r="B68" s="1" t="str">
        <f>IF(Feiertage!$B$4+ROW(B66)-1&lt;=Feiertage!$C$4, Feiertage!$B$4+ROW(B66)-1, "")</f>
        <v/>
      </c>
      <c r="C68" s="1" t="str">
        <f>IF(Feiertage!$B$5+ROW(B66)-1&lt;=Feiertage!$C$5, Feiertage!$B$5+ROW(B66)-1, "")</f>
        <v/>
      </c>
      <c r="D68" s="1" t="str">
        <f>IF(Feiertage!$B$6+ROW(B66)-1&lt;=Feiertage!$C$6, Feiertage!$B$6+ROW(B66)-1, "")</f>
        <v/>
      </c>
      <c r="E68" s="1" t="str">
        <f>IF(Feiertage!$B$7+ROW(B66)-1&lt;=Feiertage!$C$7, Feiertage!$B$7+ROW(B66)-1, "")</f>
        <v/>
      </c>
      <c r="F68" s="1" t="str">
        <f>IF(Feiertage!$B$8+ROW(B66)-1&lt;=Feiertage!$C$8, Feiertage!$B$8+ROW(B66)-1, "")</f>
        <v/>
      </c>
      <c r="G68" s="1" t="str">
        <f>IF(Feiertage!$B$9+ROW(B66)-1&lt;=Feiertage!$C$9, Feiertage!$B$9+ROW(B66)-1, "")</f>
        <v/>
      </c>
      <c r="H68" s="1" t="str">
        <f>IF(Feiertage!$B$10+ROW(B66)-1&lt;=Feiertage!$C$10, Feiertage!$B$10+ROW(B66)-1, "")</f>
        <v/>
      </c>
      <c r="I68" s="1" t="str">
        <f>IF(Feiertage!$B$11+ROW(B66)-1&lt;=Feiertage!$C$11, Feiertage!$B$11+ROW(B66)-1, "")</f>
        <v/>
      </c>
      <c r="J68" s="1" t="str">
        <f>IF(Feiertage!$B$12+ROW(B66)-1&lt;=Feiertage!$C$12, Feiertage!$B$12+ROW(B66)-1, "")</f>
        <v/>
      </c>
      <c r="K68" s="1" t="str">
        <f>IF(Feiertage!$B$13+ROW(B66)-1&lt;=Feiertage!$C$13, Feiertage!$B$13+ROW(B66)-1, "")</f>
        <v/>
      </c>
      <c r="L68" s="1" t="str">
        <f>IF(Feiertage!$B$14+ROW(B66)-1&lt;=Feiertage!$C$14, Feiertage!$B$14+ROW(B66)-1, "")</f>
        <v/>
      </c>
      <c r="M68" s="1" t="str">
        <f>IF(Feiertage!$B$15+ROW(B66)-1&lt;=Feiertage!$C$15, Feiertage!$B$15+ROW(B66)-1, "")</f>
        <v/>
      </c>
      <c r="N68" s="1" t="str">
        <f>IF(Feiertage!$B$16+ROW(B66)-1&lt;=Feiertage!$C$16, Feiertage!$B$16+ROW(B66)-1, "")</f>
        <v/>
      </c>
      <c r="O68" s="1" t="str">
        <f>IF(Feiertage!$B$17+ROW(B66)-1&lt;=Feiertage!$C$17, Feiertage!$B$17+ROW(B66)-1, "")</f>
        <v/>
      </c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3">
      <c r="A69" s="1" t="str">
        <f>IF(Feiertage!$B$3+ROW(A67)-1&lt;=Feiertage!$C$3, Feiertage!$B$3+ROW(A67)-1, "")</f>
        <v/>
      </c>
      <c r="B69" s="1" t="str">
        <f>IF(Feiertage!$B$4+ROW(B67)-1&lt;=Feiertage!$C$4, Feiertage!$B$4+ROW(B67)-1, "")</f>
        <v/>
      </c>
      <c r="C69" s="1" t="str">
        <f>IF(Feiertage!$B$5+ROW(B67)-1&lt;=Feiertage!$C$5, Feiertage!$B$5+ROW(B67)-1, "")</f>
        <v/>
      </c>
      <c r="D69" s="1" t="str">
        <f>IF(Feiertage!$B$6+ROW(B67)-1&lt;=Feiertage!$C$6, Feiertage!$B$6+ROW(B67)-1, "")</f>
        <v/>
      </c>
      <c r="E69" s="1" t="str">
        <f>IF(Feiertage!$B$7+ROW(B67)-1&lt;=Feiertage!$C$7, Feiertage!$B$7+ROW(B67)-1, "")</f>
        <v/>
      </c>
      <c r="F69" s="1" t="str">
        <f>IF(Feiertage!$B$8+ROW(B67)-1&lt;=Feiertage!$C$8, Feiertage!$B$8+ROW(B67)-1, "")</f>
        <v/>
      </c>
      <c r="G69" s="1" t="str">
        <f>IF(Feiertage!$B$9+ROW(B67)-1&lt;=Feiertage!$C$9, Feiertage!$B$9+ROW(B67)-1, "")</f>
        <v/>
      </c>
      <c r="H69" s="1" t="str">
        <f>IF(Feiertage!$B$10+ROW(B67)-1&lt;=Feiertage!$C$10, Feiertage!$B$10+ROW(B67)-1, "")</f>
        <v/>
      </c>
      <c r="I69" s="1" t="str">
        <f>IF(Feiertage!$B$11+ROW(B67)-1&lt;=Feiertage!$C$11, Feiertage!$B$11+ROW(B67)-1, "")</f>
        <v/>
      </c>
      <c r="J69" s="1" t="str">
        <f>IF(Feiertage!$B$12+ROW(B67)-1&lt;=Feiertage!$C$12, Feiertage!$B$12+ROW(B67)-1, "")</f>
        <v/>
      </c>
      <c r="K69" s="1" t="str">
        <f>IF(Feiertage!$B$13+ROW(B67)-1&lt;=Feiertage!$C$13, Feiertage!$B$13+ROW(B67)-1, "")</f>
        <v/>
      </c>
      <c r="L69" s="1" t="str">
        <f>IF(Feiertage!$B$14+ROW(B67)-1&lt;=Feiertage!$C$14, Feiertage!$B$14+ROW(B67)-1, "")</f>
        <v/>
      </c>
      <c r="M69" s="1" t="str">
        <f>IF(Feiertage!$B$15+ROW(B67)-1&lt;=Feiertage!$C$15, Feiertage!$B$15+ROW(B67)-1, "")</f>
        <v/>
      </c>
      <c r="N69" s="1" t="str">
        <f>IF(Feiertage!$B$16+ROW(B67)-1&lt;=Feiertage!$C$16, Feiertage!$B$16+ROW(B67)-1, "")</f>
        <v/>
      </c>
      <c r="O69" s="1" t="str">
        <f>IF(Feiertage!$B$17+ROW(B67)-1&lt;=Feiertage!$C$17, Feiertage!$B$17+ROW(B67)-1, "")</f>
        <v/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3">
      <c r="A70" s="1" t="str">
        <f>IF(Feiertage!$B$3+ROW(A68)-1&lt;=Feiertage!$C$3, Feiertage!$B$3+ROW(A68)-1, "")</f>
        <v/>
      </c>
      <c r="B70" s="1" t="str">
        <f>IF(Feiertage!$B$4+ROW(B68)-1&lt;=Feiertage!$C$4, Feiertage!$B$4+ROW(B68)-1, "")</f>
        <v/>
      </c>
      <c r="C70" s="1" t="str">
        <f>IF(Feiertage!$B$5+ROW(B68)-1&lt;=Feiertage!$C$5, Feiertage!$B$5+ROW(B68)-1, "")</f>
        <v/>
      </c>
      <c r="D70" s="1" t="str">
        <f>IF(Feiertage!$B$6+ROW(B68)-1&lt;=Feiertage!$C$6, Feiertage!$B$6+ROW(B68)-1, "")</f>
        <v/>
      </c>
      <c r="E70" s="1" t="str">
        <f>IF(Feiertage!$B$7+ROW(B68)-1&lt;=Feiertage!$C$7, Feiertage!$B$7+ROW(B68)-1, "")</f>
        <v/>
      </c>
      <c r="F70" s="1" t="str">
        <f>IF(Feiertage!$B$8+ROW(B68)-1&lt;=Feiertage!$C$8, Feiertage!$B$8+ROW(B68)-1, "")</f>
        <v/>
      </c>
      <c r="G70" s="1" t="str">
        <f>IF(Feiertage!$B$9+ROW(B68)-1&lt;=Feiertage!$C$9, Feiertage!$B$9+ROW(B68)-1, "")</f>
        <v/>
      </c>
      <c r="H70" s="1" t="str">
        <f>IF(Feiertage!$B$10+ROW(B68)-1&lt;=Feiertage!$C$10, Feiertage!$B$10+ROW(B68)-1, "")</f>
        <v/>
      </c>
      <c r="I70" s="1" t="str">
        <f>IF(Feiertage!$B$11+ROW(B68)-1&lt;=Feiertage!$C$11, Feiertage!$B$11+ROW(B68)-1, "")</f>
        <v/>
      </c>
      <c r="J70" s="1" t="str">
        <f>IF(Feiertage!$B$12+ROW(B68)-1&lt;=Feiertage!$C$12, Feiertage!$B$12+ROW(B68)-1, "")</f>
        <v/>
      </c>
      <c r="K70" s="1" t="str">
        <f>IF(Feiertage!$B$13+ROW(B68)-1&lt;=Feiertage!$C$13, Feiertage!$B$13+ROW(B68)-1, "")</f>
        <v/>
      </c>
      <c r="L70" s="1" t="str">
        <f>IF(Feiertage!$B$14+ROW(B68)-1&lt;=Feiertage!$C$14, Feiertage!$B$14+ROW(B68)-1, "")</f>
        <v/>
      </c>
      <c r="M70" s="1" t="str">
        <f>IF(Feiertage!$B$15+ROW(B68)-1&lt;=Feiertage!$C$15, Feiertage!$B$15+ROW(B68)-1, "")</f>
        <v/>
      </c>
      <c r="N70" s="1" t="str">
        <f>IF(Feiertage!$B$16+ROW(B68)-1&lt;=Feiertage!$C$16, Feiertage!$B$16+ROW(B68)-1, "")</f>
        <v/>
      </c>
      <c r="O70" s="1" t="str">
        <f>IF(Feiertage!$B$17+ROW(B68)-1&lt;=Feiertage!$C$17, Feiertage!$B$17+ROW(B68)-1, "")</f>
        <v/>
      </c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3">
      <c r="A71" s="1" t="str">
        <f>IF(Feiertage!$B$3+ROW(A69)-1&lt;=Feiertage!$C$3, Feiertage!$B$3+ROW(A69)-1, "")</f>
        <v/>
      </c>
      <c r="B71" s="1" t="str">
        <f>IF(Feiertage!$B$4+ROW(B69)-1&lt;=Feiertage!$C$4, Feiertage!$B$4+ROW(B69)-1, "")</f>
        <v/>
      </c>
      <c r="C71" s="1" t="str">
        <f>IF(Feiertage!$B$5+ROW(B69)-1&lt;=Feiertage!$C$5, Feiertage!$B$5+ROW(B69)-1, "")</f>
        <v/>
      </c>
      <c r="D71" s="1" t="str">
        <f>IF(Feiertage!$B$6+ROW(B69)-1&lt;=Feiertage!$C$6, Feiertage!$B$6+ROW(B69)-1, "")</f>
        <v/>
      </c>
      <c r="E71" s="1" t="str">
        <f>IF(Feiertage!$B$7+ROW(B69)-1&lt;=Feiertage!$C$7, Feiertage!$B$7+ROW(B69)-1, "")</f>
        <v/>
      </c>
      <c r="F71" s="1" t="str">
        <f>IF(Feiertage!$B$8+ROW(B69)-1&lt;=Feiertage!$C$8, Feiertage!$B$8+ROW(B69)-1, "")</f>
        <v/>
      </c>
      <c r="G71" s="1" t="str">
        <f>IF(Feiertage!$B$9+ROW(B69)-1&lt;=Feiertage!$C$9, Feiertage!$B$9+ROW(B69)-1, "")</f>
        <v/>
      </c>
      <c r="H71" s="1" t="str">
        <f>IF(Feiertage!$B$10+ROW(B69)-1&lt;=Feiertage!$C$10, Feiertage!$B$10+ROW(B69)-1, "")</f>
        <v/>
      </c>
      <c r="I71" s="1" t="str">
        <f>IF(Feiertage!$B$11+ROW(B69)-1&lt;=Feiertage!$C$11, Feiertage!$B$11+ROW(B69)-1, "")</f>
        <v/>
      </c>
      <c r="J71" s="1" t="str">
        <f>IF(Feiertage!$B$12+ROW(B69)-1&lt;=Feiertage!$C$12, Feiertage!$B$12+ROW(B69)-1, "")</f>
        <v/>
      </c>
      <c r="K71" s="1" t="str">
        <f>IF(Feiertage!$B$13+ROW(B69)-1&lt;=Feiertage!$C$13, Feiertage!$B$13+ROW(B69)-1, "")</f>
        <v/>
      </c>
      <c r="L71" s="1" t="str">
        <f>IF(Feiertage!$B$14+ROW(B69)-1&lt;=Feiertage!$C$14, Feiertage!$B$14+ROW(B69)-1, "")</f>
        <v/>
      </c>
      <c r="M71" s="1" t="str">
        <f>IF(Feiertage!$B$15+ROW(B69)-1&lt;=Feiertage!$C$15, Feiertage!$B$15+ROW(B69)-1, "")</f>
        <v/>
      </c>
      <c r="N71" s="1" t="str">
        <f>IF(Feiertage!$B$16+ROW(B69)-1&lt;=Feiertage!$C$16, Feiertage!$B$16+ROW(B69)-1, "")</f>
        <v/>
      </c>
      <c r="O71" s="1" t="str">
        <f>IF(Feiertage!$B$17+ROW(B69)-1&lt;=Feiertage!$C$17, Feiertage!$B$17+ROW(B69)-1, "")</f>
        <v/>
      </c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3">
      <c r="A72" s="1" t="str">
        <f>IF(Feiertage!$B$3+ROW(A70)-1&lt;=Feiertage!$C$3, Feiertage!$B$3+ROW(A70)-1, "")</f>
        <v/>
      </c>
      <c r="B72" s="1" t="str">
        <f>IF(Feiertage!$B$4+ROW(B70)-1&lt;=Feiertage!$C$4, Feiertage!$B$4+ROW(B70)-1, "")</f>
        <v/>
      </c>
      <c r="C72" s="1" t="str">
        <f>IF(Feiertage!$B$5+ROW(B70)-1&lt;=Feiertage!$C$5, Feiertage!$B$5+ROW(B70)-1, "")</f>
        <v/>
      </c>
      <c r="D72" s="1" t="str">
        <f>IF(Feiertage!$B$6+ROW(B70)-1&lt;=Feiertage!$C$6, Feiertage!$B$6+ROW(B70)-1, "")</f>
        <v/>
      </c>
      <c r="E72" s="1" t="str">
        <f>IF(Feiertage!$B$7+ROW(B70)-1&lt;=Feiertage!$C$7, Feiertage!$B$7+ROW(B70)-1, "")</f>
        <v/>
      </c>
      <c r="F72" s="1" t="str">
        <f>IF(Feiertage!$B$8+ROW(B70)-1&lt;=Feiertage!$C$8, Feiertage!$B$8+ROW(B70)-1, "")</f>
        <v/>
      </c>
      <c r="G72" s="1" t="str">
        <f>IF(Feiertage!$B$9+ROW(B70)-1&lt;=Feiertage!$C$9, Feiertage!$B$9+ROW(B70)-1, "")</f>
        <v/>
      </c>
      <c r="H72" s="1" t="str">
        <f>IF(Feiertage!$B$10+ROW(B70)-1&lt;=Feiertage!$C$10, Feiertage!$B$10+ROW(B70)-1, "")</f>
        <v/>
      </c>
      <c r="I72" s="1" t="str">
        <f>IF(Feiertage!$B$11+ROW(B70)-1&lt;=Feiertage!$C$11, Feiertage!$B$11+ROW(B70)-1, "")</f>
        <v/>
      </c>
      <c r="J72" s="1" t="str">
        <f>IF(Feiertage!$B$12+ROW(B70)-1&lt;=Feiertage!$C$12, Feiertage!$B$12+ROW(B70)-1, "")</f>
        <v/>
      </c>
      <c r="K72" s="1" t="str">
        <f>IF(Feiertage!$B$13+ROW(B70)-1&lt;=Feiertage!$C$13, Feiertage!$B$13+ROW(B70)-1, "")</f>
        <v/>
      </c>
      <c r="L72" s="1" t="str">
        <f>IF(Feiertage!$B$14+ROW(B70)-1&lt;=Feiertage!$C$14, Feiertage!$B$14+ROW(B70)-1, "")</f>
        <v/>
      </c>
      <c r="M72" s="1" t="str">
        <f>IF(Feiertage!$B$15+ROW(B70)-1&lt;=Feiertage!$C$15, Feiertage!$B$15+ROW(B70)-1, "")</f>
        <v/>
      </c>
      <c r="N72" s="1" t="str">
        <f>IF(Feiertage!$B$16+ROW(B70)-1&lt;=Feiertage!$C$16, Feiertage!$B$16+ROW(B70)-1, "")</f>
        <v/>
      </c>
      <c r="O72" s="1" t="str">
        <f>IF(Feiertage!$B$17+ROW(B70)-1&lt;=Feiertage!$C$17, Feiertage!$B$17+ROW(B70)-1, "")</f>
        <v/>
      </c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3">
      <c r="A73" s="1" t="str">
        <f>IF(Feiertage!$B$3+ROW(A71)-1&lt;=Feiertage!$C$3, Feiertage!$B$3+ROW(A71)-1, "")</f>
        <v/>
      </c>
      <c r="B73" s="1" t="str">
        <f>IF(Feiertage!$B$4+ROW(B71)-1&lt;=Feiertage!$C$4, Feiertage!$B$4+ROW(B71)-1, "")</f>
        <v/>
      </c>
      <c r="C73" s="1" t="str">
        <f>IF(Feiertage!$B$5+ROW(B71)-1&lt;=Feiertage!$C$5, Feiertage!$B$5+ROW(B71)-1, "")</f>
        <v/>
      </c>
      <c r="D73" s="1" t="str">
        <f>IF(Feiertage!$B$6+ROW(B71)-1&lt;=Feiertage!$C$6, Feiertage!$B$6+ROW(B71)-1, "")</f>
        <v/>
      </c>
      <c r="E73" s="1" t="str">
        <f>IF(Feiertage!$B$7+ROW(B71)-1&lt;=Feiertage!$C$7, Feiertage!$B$7+ROW(B71)-1, "")</f>
        <v/>
      </c>
      <c r="F73" s="1" t="str">
        <f>IF(Feiertage!$B$8+ROW(B71)-1&lt;=Feiertage!$C$8, Feiertage!$B$8+ROW(B71)-1, "")</f>
        <v/>
      </c>
      <c r="G73" s="1" t="str">
        <f>IF(Feiertage!$B$9+ROW(B71)-1&lt;=Feiertage!$C$9, Feiertage!$B$9+ROW(B71)-1, "")</f>
        <v/>
      </c>
      <c r="H73" s="1" t="str">
        <f>IF(Feiertage!$B$10+ROW(B71)-1&lt;=Feiertage!$C$10, Feiertage!$B$10+ROW(B71)-1, "")</f>
        <v/>
      </c>
      <c r="I73" s="1" t="str">
        <f>IF(Feiertage!$B$11+ROW(B71)-1&lt;=Feiertage!$C$11, Feiertage!$B$11+ROW(B71)-1, "")</f>
        <v/>
      </c>
      <c r="J73" s="1" t="str">
        <f>IF(Feiertage!$B$12+ROW(B71)-1&lt;=Feiertage!$C$12, Feiertage!$B$12+ROW(B71)-1, "")</f>
        <v/>
      </c>
      <c r="K73" s="1" t="str">
        <f>IF(Feiertage!$B$13+ROW(B71)-1&lt;=Feiertage!$C$13, Feiertage!$B$13+ROW(B71)-1, "")</f>
        <v/>
      </c>
      <c r="L73" s="1" t="str">
        <f>IF(Feiertage!$B$14+ROW(B71)-1&lt;=Feiertage!$C$14, Feiertage!$B$14+ROW(B71)-1, "")</f>
        <v/>
      </c>
      <c r="M73" s="1" t="str">
        <f>IF(Feiertage!$B$15+ROW(B71)-1&lt;=Feiertage!$C$15, Feiertage!$B$15+ROW(B71)-1, "")</f>
        <v/>
      </c>
      <c r="N73" s="1" t="str">
        <f>IF(Feiertage!$B$16+ROW(B71)-1&lt;=Feiertage!$C$16, Feiertage!$B$16+ROW(B71)-1, "")</f>
        <v/>
      </c>
      <c r="O73" s="1" t="str">
        <f>IF(Feiertage!$B$17+ROW(B71)-1&lt;=Feiertage!$C$17, Feiertage!$B$17+ROW(B71)-1, "")</f>
        <v/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3">
      <c r="A74" s="1" t="str">
        <f>IF(Feiertage!$B$3+ROW(A72)-1&lt;=Feiertage!$C$3, Feiertage!$B$3+ROW(A72)-1, "")</f>
        <v/>
      </c>
      <c r="B74" s="1" t="str">
        <f>IF(Feiertage!$B$4+ROW(B72)-1&lt;=Feiertage!$C$4, Feiertage!$B$4+ROW(B72)-1, "")</f>
        <v/>
      </c>
      <c r="C74" s="1" t="str">
        <f>IF(Feiertage!$B$5+ROW(B72)-1&lt;=Feiertage!$C$5, Feiertage!$B$5+ROW(B72)-1, "")</f>
        <v/>
      </c>
      <c r="D74" s="1" t="str">
        <f>IF(Feiertage!$B$6+ROW(B72)-1&lt;=Feiertage!$C$6, Feiertage!$B$6+ROW(B72)-1, "")</f>
        <v/>
      </c>
      <c r="E74" s="1" t="str">
        <f>IF(Feiertage!$B$7+ROW(B72)-1&lt;=Feiertage!$C$7, Feiertage!$B$7+ROW(B72)-1, "")</f>
        <v/>
      </c>
      <c r="F74" s="1" t="str">
        <f>IF(Feiertage!$B$8+ROW(B72)-1&lt;=Feiertage!$C$8, Feiertage!$B$8+ROW(B72)-1, "")</f>
        <v/>
      </c>
      <c r="G74" s="1" t="str">
        <f>IF(Feiertage!$B$9+ROW(B72)-1&lt;=Feiertage!$C$9, Feiertage!$B$9+ROW(B72)-1, "")</f>
        <v/>
      </c>
      <c r="H74" s="1" t="str">
        <f>IF(Feiertage!$B$10+ROW(B72)-1&lt;=Feiertage!$C$10, Feiertage!$B$10+ROW(B72)-1, "")</f>
        <v/>
      </c>
      <c r="I74" s="1" t="str">
        <f>IF(Feiertage!$B$11+ROW(B72)-1&lt;=Feiertage!$C$11, Feiertage!$B$11+ROW(B72)-1, "")</f>
        <v/>
      </c>
      <c r="J74" s="1" t="str">
        <f>IF(Feiertage!$B$12+ROW(B72)-1&lt;=Feiertage!$C$12, Feiertage!$B$12+ROW(B72)-1, "")</f>
        <v/>
      </c>
      <c r="K74" s="1" t="str">
        <f>IF(Feiertage!$B$13+ROW(B72)-1&lt;=Feiertage!$C$13, Feiertage!$B$13+ROW(B72)-1, "")</f>
        <v/>
      </c>
      <c r="L74" s="1" t="str">
        <f>IF(Feiertage!$B$14+ROW(B72)-1&lt;=Feiertage!$C$14, Feiertage!$B$14+ROW(B72)-1, "")</f>
        <v/>
      </c>
      <c r="M74" s="1" t="str">
        <f>IF(Feiertage!$B$15+ROW(B72)-1&lt;=Feiertage!$C$15, Feiertage!$B$15+ROW(B72)-1, "")</f>
        <v/>
      </c>
      <c r="N74" s="1" t="str">
        <f>IF(Feiertage!$B$16+ROW(B72)-1&lt;=Feiertage!$C$16, Feiertage!$B$16+ROW(B72)-1, "")</f>
        <v/>
      </c>
      <c r="O74" s="1" t="str">
        <f>IF(Feiertage!$B$17+ROW(B72)-1&lt;=Feiertage!$C$17, Feiertage!$B$17+ROW(B72)-1, "")</f>
        <v/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3">
      <c r="A75" s="1" t="str">
        <f>IF(Feiertage!$B$3+ROW(A73)-1&lt;=Feiertage!$C$3, Feiertage!$B$3+ROW(A73)-1, "")</f>
        <v/>
      </c>
      <c r="B75" s="1" t="str">
        <f>IF(Feiertage!$B$4+ROW(B73)-1&lt;=Feiertage!$C$4, Feiertage!$B$4+ROW(B73)-1, "")</f>
        <v/>
      </c>
      <c r="C75" s="1" t="str">
        <f>IF(Feiertage!$B$5+ROW(B73)-1&lt;=Feiertage!$C$5, Feiertage!$B$5+ROW(B73)-1, "")</f>
        <v/>
      </c>
      <c r="D75" s="1" t="str">
        <f>IF(Feiertage!$B$6+ROW(B73)-1&lt;=Feiertage!$C$6, Feiertage!$B$6+ROW(B73)-1, "")</f>
        <v/>
      </c>
      <c r="E75" s="1" t="str">
        <f>IF(Feiertage!$B$7+ROW(B73)-1&lt;=Feiertage!$C$7, Feiertage!$B$7+ROW(B73)-1, "")</f>
        <v/>
      </c>
      <c r="F75" s="1" t="str">
        <f>IF(Feiertage!$B$8+ROW(B73)-1&lt;=Feiertage!$C$8, Feiertage!$B$8+ROW(B73)-1, "")</f>
        <v/>
      </c>
      <c r="G75" s="1" t="str">
        <f>IF(Feiertage!$B$9+ROW(B73)-1&lt;=Feiertage!$C$9, Feiertage!$B$9+ROW(B73)-1, "")</f>
        <v/>
      </c>
      <c r="H75" s="1" t="str">
        <f>IF(Feiertage!$B$10+ROW(B73)-1&lt;=Feiertage!$C$10, Feiertage!$B$10+ROW(B73)-1, "")</f>
        <v/>
      </c>
      <c r="I75" s="1" t="str">
        <f>IF(Feiertage!$B$11+ROW(B73)-1&lt;=Feiertage!$C$11, Feiertage!$B$11+ROW(B73)-1, "")</f>
        <v/>
      </c>
      <c r="J75" s="1" t="str">
        <f>IF(Feiertage!$B$12+ROW(B73)-1&lt;=Feiertage!$C$12, Feiertage!$B$12+ROW(B73)-1, "")</f>
        <v/>
      </c>
      <c r="K75" s="1" t="str">
        <f>IF(Feiertage!$B$13+ROW(B73)-1&lt;=Feiertage!$C$13, Feiertage!$B$13+ROW(B73)-1, "")</f>
        <v/>
      </c>
      <c r="L75" s="1" t="str">
        <f>IF(Feiertage!$B$14+ROW(B73)-1&lt;=Feiertage!$C$14, Feiertage!$B$14+ROW(B73)-1, "")</f>
        <v/>
      </c>
      <c r="M75" s="1" t="str">
        <f>IF(Feiertage!$B$15+ROW(B73)-1&lt;=Feiertage!$C$15, Feiertage!$B$15+ROW(B73)-1, "")</f>
        <v/>
      </c>
      <c r="N75" s="1" t="str">
        <f>IF(Feiertage!$B$16+ROW(B73)-1&lt;=Feiertage!$C$16, Feiertage!$B$16+ROW(B73)-1, "")</f>
        <v/>
      </c>
      <c r="O75" s="1" t="str">
        <f>IF(Feiertage!$B$17+ROW(B73)-1&lt;=Feiertage!$C$17, Feiertage!$B$17+ROW(B73)-1, "")</f>
        <v/>
      </c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3">
      <c r="A76" s="1" t="str">
        <f>IF(Feiertage!$B$3+ROW(A74)-1&lt;=Feiertage!$C$3, Feiertage!$B$3+ROW(A74)-1, "")</f>
        <v/>
      </c>
      <c r="B76" s="1" t="str">
        <f>IF(Feiertage!$B$4+ROW(B74)-1&lt;=Feiertage!$C$4, Feiertage!$B$4+ROW(B74)-1, "")</f>
        <v/>
      </c>
      <c r="C76" s="1" t="str">
        <f>IF(Feiertage!$B$5+ROW(B74)-1&lt;=Feiertage!$C$5, Feiertage!$B$5+ROW(B74)-1, "")</f>
        <v/>
      </c>
      <c r="D76" s="1" t="str">
        <f>IF(Feiertage!$B$6+ROW(B74)-1&lt;=Feiertage!$C$6, Feiertage!$B$6+ROW(B74)-1, "")</f>
        <v/>
      </c>
      <c r="E76" s="1" t="str">
        <f>IF(Feiertage!$B$7+ROW(B74)-1&lt;=Feiertage!$C$7, Feiertage!$B$7+ROW(B74)-1, "")</f>
        <v/>
      </c>
      <c r="F76" s="1" t="str">
        <f>IF(Feiertage!$B$8+ROW(B74)-1&lt;=Feiertage!$C$8, Feiertage!$B$8+ROW(B74)-1, "")</f>
        <v/>
      </c>
      <c r="G76" s="1" t="str">
        <f>IF(Feiertage!$B$9+ROW(B74)-1&lt;=Feiertage!$C$9, Feiertage!$B$9+ROW(B74)-1, "")</f>
        <v/>
      </c>
      <c r="H76" s="1" t="str">
        <f>IF(Feiertage!$B$10+ROW(B74)-1&lt;=Feiertage!$C$10, Feiertage!$B$10+ROW(B74)-1, "")</f>
        <v/>
      </c>
      <c r="I76" s="1" t="str">
        <f>IF(Feiertage!$B$11+ROW(B74)-1&lt;=Feiertage!$C$11, Feiertage!$B$11+ROW(B74)-1, "")</f>
        <v/>
      </c>
      <c r="J76" s="1" t="str">
        <f>IF(Feiertage!$B$12+ROW(B74)-1&lt;=Feiertage!$C$12, Feiertage!$B$12+ROW(B74)-1, "")</f>
        <v/>
      </c>
      <c r="K76" s="1" t="str">
        <f>IF(Feiertage!$B$13+ROW(B74)-1&lt;=Feiertage!$C$13, Feiertage!$B$13+ROW(B74)-1, "")</f>
        <v/>
      </c>
      <c r="L76" s="1" t="str">
        <f>IF(Feiertage!$B$14+ROW(B74)-1&lt;=Feiertage!$C$14, Feiertage!$B$14+ROW(B74)-1, "")</f>
        <v/>
      </c>
      <c r="M76" s="1" t="str">
        <f>IF(Feiertage!$B$15+ROW(B74)-1&lt;=Feiertage!$C$15, Feiertage!$B$15+ROW(B74)-1, "")</f>
        <v/>
      </c>
      <c r="N76" s="1" t="str">
        <f>IF(Feiertage!$B$16+ROW(B74)-1&lt;=Feiertage!$C$16, Feiertage!$B$16+ROW(B74)-1, "")</f>
        <v/>
      </c>
      <c r="O76" s="1" t="str">
        <f>IF(Feiertage!$B$17+ROW(B74)-1&lt;=Feiertage!$C$17, Feiertage!$B$17+ROW(B74)-1, "")</f>
        <v/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3">
      <c r="A77" s="1" t="str">
        <f>IF(Feiertage!$B$3+ROW(A75)-1&lt;=Feiertage!$C$3, Feiertage!$B$3+ROW(A75)-1, "")</f>
        <v/>
      </c>
      <c r="B77" s="1" t="str">
        <f>IF(Feiertage!$B$4+ROW(B75)-1&lt;=Feiertage!$C$4, Feiertage!$B$4+ROW(B75)-1, "")</f>
        <v/>
      </c>
      <c r="C77" s="1" t="str">
        <f>IF(Feiertage!$B$5+ROW(B75)-1&lt;=Feiertage!$C$5, Feiertage!$B$5+ROW(B75)-1, "")</f>
        <v/>
      </c>
      <c r="D77" s="1" t="str">
        <f>IF(Feiertage!$B$6+ROW(B75)-1&lt;=Feiertage!$C$6, Feiertage!$B$6+ROW(B75)-1, "")</f>
        <v/>
      </c>
      <c r="E77" s="1" t="str">
        <f>IF(Feiertage!$B$7+ROW(B75)-1&lt;=Feiertage!$C$7, Feiertage!$B$7+ROW(B75)-1, "")</f>
        <v/>
      </c>
      <c r="F77" s="1" t="str">
        <f>IF(Feiertage!$B$8+ROW(B75)-1&lt;=Feiertage!$C$8, Feiertage!$B$8+ROW(B75)-1, "")</f>
        <v/>
      </c>
      <c r="G77" s="1" t="str">
        <f>IF(Feiertage!$B$9+ROW(B75)-1&lt;=Feiertage!$C$9, Feiertage!$B$9+ROW(B75)-1, "")</f>
        <v/>
      </c>
      <c r="H77" s="1" t="str">
        <f>IF(Feiertage!$B$10+ROW(B75)-1&lt;=Feiertage!$C$10, Feiertage!$B$10+ROW(B75)-1, "")</f>
        <v/>
      </c>
      <c r="I77" s="1" t="str">
        <f>IF(Feiertage!$B$11+ROW(B75)-1&lt;=Feiertage!$C$11, Feiertage!$B$11+ROW(B75)-1, "")</f>
        <v/>
      </c>
      <c r="J77" s="1" t="str">
        <f>IF(Feiertage!$B$12+ROW(B75)-1&lt;=Feiertage!$C$12, Feiertage!$B$12+ROW(B75)-1, "")</f>
        <v/>
      </c>
      <c r="K77" s="1" t="str">
        <f>IF(Feiertage!$B$13+ROW(B75)-1&lt;=Feiertage!$C$13, Feiertage!$B$13+ROW(B75)-1, "")</f>
        <v/>
      </c>
      <c r="L77" s="1" t="str">
        <f>IF(Feiertage!$B$14+ROW(B75)-1&lt;=Feiertage!$C$14, Feiertage!$B$14+ROW(B75)-1, "")</f>
        <v/>
      </c>
      <c r="M77" s="1" t="str">
        <f>IF(Feiertage!$B$15+ROW(B75)-1&lt;=Feiertage!$C$15, Feiertage!$B$15+ROW(B75)-1, "")</f>
        <v/>
      </c>
      <c r="N77" s="1" t="str">
        <f>IF(Feiertage!$B$16+ROW(B75)-1&lt;=Feiertage!$C$16, Feiertage!$B$16+ROW(B75)-1, "")</f>
        <v/>
      </c>
      <c r="O77" s="1" t="str">
        <f>IF(Feiertage!$B$17+ROW(B75)-1&lt;=Feiertage!$C$17, Feiertage!$B$17+ROW(B75)-1, "")</f>
        <v/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3">
      <c r="A78" s="1" t="str">
        <f>IF(Feiertage!$B$3+ROW(A76)-1&lt;=Feiertage!$C$3, Feiertage!$B$3+ROW(A76)-1, "")</f>
        <v/>
      </c>
      <c r="B78" s="1" t="str">
        <f>IF(Feiertage!$B$4+ROW(B76)-1&lt;=Feiertage!$C$4, Feiertage!$B$4+ROW(B76)-1, "")</f>
        <v/>
      </c>
      <c r="C78" s="1" t="str">
        <f>IF(Feiertage!$B$5+ROW(B76)-1&lt;=Feiertage!$C$5, Feiertage!$B$5+ROW(B76)-1, "")</f>
        <v/>
      </c>
      <c r="D78" s="1" t="str">
        <f>IF(Feiertage!$B$6+ROW(B76)-1&lt;=Feiertage!$C$6, Feiertage!$B$6+ROW(B76)-1, "")</f>
        <v/>
      </c>
      <c r="E78" s="1" t="str">
        <f>IF(Feiertage!$B$7+ROW(B76)-1&lt;=Feiertage!$C$7, Feiertage!$B$7+ROW(B76)-1, "")</f>
        <v/>
      </c>
      <c r="F78" s="1" t="str">
        <f>IF(Feiertage!$B$8+ROW(B76)-1&lt;=Feiertage!$C$8, Feiertage!$B$8+ROW(B76)-1, "")</f>
        <v/>
      </c>
      <c r="G78" s="1" t="str">
        <f>IF(Feiertage!$B$9+ROW(B76)-1&lt;=Feiertage!$C$9, Feiertage!$B$9+ROW(B76)-1, "")</f>
        <v/>
      </c>
      <c r="H78" s="1" t="str">
        <f>IF(Feiertage!$B$10+ROW(B76)-1&lt;=Feiertage!$C$10, Feiertage!$B$10+ROW(B76)-1, "")</f>
        <v/>
      </c>
      <c r="I78" s="1" t="str">
        <f>IF(Feiertage!$B$11+ROW(B76)-1&lt;=Feiertage!$C$11, Feiertage!$B$11+ROW(B76)-1, "")</f>
        <v/>
      </c>
      <c r="J78" s="1" t="str">
        <f>IF(Feiertage!$B$12+ROW(B76)-1&lt;=Feiertage!$C$12, Feiertage!$B$12+ROW(B76)-1, "")</f>
        <v/>
      </c>
      <c r="K78" s="1" t="str">
        <f>IF(Feiertage!$B$13+ROW(B76)-1&lt;=Feiertage!$C$13, Feiertage!$B$13+ROW(B76)-1, "")</f>
        <v/>
      </c>
      <c r="L78" s="1" t="str">
        <f>IF(Feiertage!$B$14+ROW(B76)-1&lt;=Feiertage!$C$14, Feiertage!$B$14+ROW(B76)-1, "")</f>
        <v/>
      </c>
      <c r="M78" s="1" t="str">
        <f>IF(Feiertage!$B$15+ROW(B76)-1&lt;=Feiertage!$C$15, Feiertage!$B$15+ROW(B76)-1, "")</f>
        <v/>
      </c>
      <c r="N78" s="1" t="str">
        <f>IF(Feiertage!$B$16+ROW(B76)-1&lt;=Feiertage!$C$16, Feiertage!$B$16+ROW(B76)-1, "")</f>
        <v/>
      </c>
      <c r="O78" s="1" t="str">
        <f>IF(Feiertage!$B$17+ROW(B76)-1&lt;=Feiertage!$C$17, Feiertage!$B$17+ROW(B76)-1, "")</f>
        <v/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3">
      <c r="A79" s="1" t="str">
        <f>IF(Feiertage!$B$3+ROW(A77)-1&lt;=Feiertage!$C$3, Feiertage!$B$3+ROW(A77)-1, "")</f>
        <v/>
      </c>
      <c r="B79" s="1" t="str">
        <f>IF(Feiertage!$B$4+ROW(B77)-1&lt;=Feiertage!$C$4, Feiertage!$B$4+ROW(B77)-1, "")</f>
        <v/>
      </c>
      <c r="C79" s="1" t="str">
        <f>IF(Feiertage!$B$5+ROW(B77)-1&lt;=Feiertage!$C$5, Feiertage!$B$5+ROW(B77)-1, "")</f>
        <v/>
      </c>
      <c r="D79" s="1" t="str">
        <f>IF(Feiertage!$B$6+ROW(B77)-1&lt;=Feiertage!$C$6, Feiertage!$B$6+ROW(B77)-1, "")</f>
        <v/>
      </c>
      <c r="E79" s="1" t="str">
        <f>IF(Feiertage!$B$7+ROW(B77)-1&lt;=Feiertage!$C$7, Feiertage!$B$7+ROW(B77)-1, "")</f>
        <v/>
      </c>
      <c r="F79" s="1" t="str">
        <f>IF(Feiertage!$B$8+ROW(B77)-1&lt;=Feiertage!$C$8, Feiertage!$B$8+ROW(B77)-1, "")</f>
        <v/>
      </c>
      <c r="G79" s="1" t="str">
        <f>IF(Feiertage!$B$9+ROW(B77)-1&lt;=Feiertage!$C$9, Feiertage!$B$9+ROW(B77)-1, "")</f>
        <v/>
      </c>
      <c r="H79" s="1" t="str">
        <f>IF(Feiertage!$B$10+ROW(B77)-1&lt;=Feiertage!$C$10, Feiertage!$B$10+ROW(B77)-1, "")</f>
        <v/>
      </c>
      <c r="I79" s="1" t="str">
        <f>IF(Feiertage!$B$11+ROW(B77)-1&lt;=Feiertage!$C$11, Feiertage!$B$11+ROW(B77)-1, "")</f>
        <v/>
      </c>
      <c r="J79" s="1" t="str">
        <f>IF(Feiertage!$B$12+ROW(B77)-1&lt;=Feiertage!$C$12, Feiertage!$B$12+ROW(B77)-1, "")</f>
        <v/>
      </c>
      <c r="K79" s="1" t="str">
        <f>IF(Feiertage!$B$13+ROW(B77)-1&lt;=Feiertage!$C$13, Feiertage!$B$13+ROW(B77)-1, "")</f>
        <v/>
      </c>
      <c r="L79" s="1" t="str">
        <f>IF(Feiertage!$B$14+ROW(B77)-1&lt;=Feiertage!$C$14, Feiertage!$B$14+ROW(B77)-1, "")</f>
        <v/>
      </c>
      <c r="M79" s="1" t="str">
        <f>IF(Feiertage!$B$15+ROW(B77)-1&lt;=Feiertage!$C$15, Feiertage!$B$15+ROW(B77)-1, "")</f>
        <v/>
      </c>
      <c r="N79" s="1" t="str">
        <f>IF(Feiertage!$B$16+ROW(B77)-1&lt;=Feiertage!$C$16, Feiertage!$B$16+ROW(B77)-1, "")</f>
        <v/>
      </c>
      <c r="O79" s="1" t="str">
        <f>IF(Feiertage!$B$17+ROW(B77)-1&lt;=Feiertage!$C$17, Feiertage!$B$17+ROW(B77)-1, "")</f>
        <v/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3">
      <c r="A80" s="1" t="str">
        <f>IF(Feiertage!$B$3+ROW(A78)-1&lt;=Feiertage!$C$3, Feiertage!$B$3+ROW(A78)-1, "")</f>
        <v/>
      </c>
      <c r="B80" s="1" t="str">
        <f>IF(Feiertage!$B$4+ROW(B78)-1&lt;=Feiertage!$C$4, Feiertage!$B$4+ROW(B78)-1, "")</f>
        <v/>
      </c>
      <c r="C80" s="1" t="str">
        <f>IF(Feiertage!$B$5+ROW(B78)-1&lt;=Feiertage!$C$5, Feiertage!$B$5+ROW(B78)-1, "")</f>
        <v/>
      </c>
      <c r="D80" s="1" t="str">
        <f>IF(Feiertage!$B$6+ROW(B78)-1&lt;=Feiertage!$C$6, Feiertage!$B$6+ROW(B78)-1, "")</f>
        <v/>
      </c>
      <c r="E80" s="1" t="str">
        <f>IF(Feiertage!$B$7+ROW(B78)-1&lt;=Feiertage!$C$7, Feiertage!$B$7+ROW(B78)-1, "")</f>
        <v/>
      </c>
      <c r="F80" s="1" t="str">
        <f>IF(Feiertage!$B$8+ROW(B78)-1&lt;=Feiertage!$C$8, Feiertage!$B$8+ROW(B78)-1, "")</f>
        <v/>
      </c>
      <c r="G80" s="1" t="str">
        <f>IF(Feiertage!$B$9+ROW(B78)-1&lt;=Feiertage!$C$9, Feiertage!$B$9+ROW(B78)-1, "")</f>
        <v/>
      </c>
      <c r="H80" s="1" t="str">
        <f>IF(Feiertage!$B$10+ROW(B78)-1&lt;=Feiertage!$C$10, Feiertage!$B$10+ROW(B78)-1, "")</f>
        <v/>
      </c>
      <c r="I80" s="1" t="str">
        <f>IF(Feiertage!$B$11+ROW(B78)-1&lt;=Feiertage!$C$11, Feiertage!$B$11+ROW(B78)-1, "")</f>
        <v/>
      </c>
      <c r="J80" s="1" t="str">
        <f>IF(Feiertage!$B$12+ROW(B78)-1&lt;=Feiertage!$C$12, Feiertage!$B$12+ROW(B78)-1, "")</f>
        <v/>
      </c>
      <c r="K80" s="1" t="str">
        <f>IF(Feiertage!$B$13+ROW(B78)-1&lt;=Feiertage!$C$13, Feiertage!$B$13+ROW(B78)-1, "")</f>
        <v/>
      </c>
      <c r="L80" s="1" t="str">
        <f>IF(Feiertage!$B$14+ROW(B78)-1&lt;=Feiertage!$C$14, Feiertage!$B$14+ROW(B78)-1, "")</f>
        <v/>
      </c>
      <c r="M80" s="1" t="str">
        <f>IF(Feiertage!$B$15+ROW(B78)-1&lt;=Feiertage!$C$15, Feiertage!$B$15+ROW(B78)-1, "")</f>
        <v/>
      </c>
      <c r="N80" s="1" t="str">
        <f>IF(Feiertage!$B$16+ROW(B78)-1&lt;=Feiertage!$C$16, Feiertage!$B$16+ROW(B78)-1, "")</f>
        <v/>
      </c>
      <c r="O80" s="1" t="str">
        <f>IF(Feiertage!$B$17+ROW(B78)-1&lt;=Feiertage!$C$17, Feiertage!$B$17+ROW(B78)-1, "")</f>
        <v/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3">
      <c r="A81" s="1" t="str">
        <f>IF(Feiertage!$B$3+ROW(A79)-1&lt;=Feiertage!$C$3, Feiertage!$B$3+ROW(A79)-1, "")</f>
        <v/>
      </c>
      <c r="B81" s="1" t="str">
        <f>IF(Feiertage!$B$4+ROW(B79)-1&lt;=Feiertage!$C$4, Feiertage!$B$4+ROW(B79)-1, "")</f>
        <v/>
      </c>
      <c r="C81" s="1" t="str">
        <f>IF(Feiertage!$B$5+ROW(B79)-1&lt;=Feiertage!$C$5, Feiertage!$B$5+ROW(B79)-1, "")</f>
        <v/>
      </c>
      <c r="D81" s="1" t="str">
        <f>IF(Feiertage!$B$6+ROW(B79)-1&lt;=Feiertage!$C$6, Feiertage!$B$6+ROW(B79)-1, "")</f>
        <v/>
      </c>
      <c r="E81" s="1" t="str">
        <f>IF(Feiertage!$B$7+ROW(B79)-1&lt;=Feiertage!$C$7, Feiertage!$B$7+ROW(B79)-1, "")</f>
        <v/>
      </c>
      <c r="F81" s="1" t="str">
        <f>IF(Feiertage!$B$8+ROW(B79)-1&lt;=Feiertage!$C$8, Feiertage!$B$8+ROW(B79)-1, "")</f>
        <v/>
      </c>
      <c r="G81" s="1" t="str">
        <f>IF(Feiertage!$B$9+ROW(B79)-1&lt;=Feiertage!$C$9, Feiertage!$B$9+ROW(B79)-1, "")</f>
        <v/>
      </c>
      <c r="H81" s="1" t="str">
        <f>IF(Feiertage!$B$10+ROW(B79)-1&lt;=Feiertage!$C$10, Feiertage!$B$10+ROW(B79)-1, "")</f>
        <v/>
      </c>
      <c r="I81" s="1" t="str">
        <f>IF(Feiertage!$B$11+ROW(B79)-1&lt;=Feiertage!$C$11, Feiertage!$B$11+ROW(B79)-1, "")</f>
        <v/>
      </c>
      <c r="J81" s="1" t="str">
        <f>IF(Feiertage!$B$12+ROW(B79)-1&lt;=Feiertage!$C$12, Feiertage!$B$12+ROW(B79)-1, "")</f>
        <v/>
      </c>
      <c r="K81" s="1" t="str">
        <f>IF(Feiertage!$B$13+ROW(B79)-1&lt;=Feiertage!$C$13, Feiertage!$B$13+ROW(B79)-1, "")</f>
        <v/>
      </c>
      <c r="L81" s="1" t="str">
        <f>IF(Feiertage!$B$14+ROW(B79)-1&lt;=Feiertage!$C$14, Feiertage!$B$14+ROW(B79)-1, "")</f>
        <v/>
      </c>
      <c r="M81" s="1" t="str">
        <f>IF(Feiertage!$B$15+ROW(B79)-1&lt;=Feiertage!$C$15, Feiertage!$B$15+ROW(B79)-1, "")</f>
        <v/>
      </c>
      <c r="N81" s="1" t="str">
        <f>IF(Feiertage!$B$16+ROW(B79)-1&lt;=Feiertage!$C$16, Feiertage!$B$16+ROW(B79)-1, "")</f>
        <v/>
      </c>
      <c r="O81" s="1" t="str">
        <f>IF(Feiertage!$B$17+ROW(B79)-1&lt;=Feiertage!$C$17, Feiertage!$B$17+ROW(B79)-1, "")</f>
        <v/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3">
      <c r="A82" s="1" t="str">
        <f>IF(Feiertage!$B$3+ROW(A80)-1&lt;=Feiertage!$C$3, Feiertage!$B$3+ROW(A80)-1, "")</f>
        <v/>
      </c>
      <c r="B82" s="1" t="str">
        <f>IF(Feiertage!$B$4+ROW(B80)-1&lt;=Feiertage!$C$4, Feiertage!$B$4+ROW(B80)-1, "")</f>
        <v/>
      </c>
      <c r="C82" s="1" t="str">
        <f>IF(Feiertage!$B$5+ROW(B80)-1&lt;=Feiertage!$C$5, Feiertage!$B$5+ROW(B80)-1, "")</f>
        <v/>
      </c>
      <c r="D82" s="1" t="str">
        <f>IF(Feiertage!$B$6+ROW(B80)-1&lt;=Feiertage!$C$6, Feiertage!$B$6+ROW(B80)-1, "")</f>
        <v/>
      </c>
      <c r="E82" s="1" t="str">
        <f>IF(Feiertage!$B$7+ROW(B80)-1&lt;=Feiertage!$C$7, Feiertage!$B$7+ROW(B80)-1, "")</f>
        <v/>
      </c>
      <c r="F82" s="1" t="str">
        <f>IF(Feiertage!$B$8+ROW(B80)-1&lt;=Feiertage!$C$8, Feiertage!$B$8+ROW(B80)-1, "")</f>
        <v/>
      </c>
      <c r="G82" s="1" t="str">
        <f>IF(Feiertage!$B$9+ROW(B80)-1&lt;=Feiertage!$C$9, Feiertage!$B$9+ROW(B80)-1, "")</f>
        <v/>
      </c>
      <c r="H82" s="1" t="str">
        <f>IF(Feiertage!$B$10+ROW(B80)-1&lt;=Feiertage!$C$10, Feiertage!$B$10+ROW(B80)-1, "")</f>
        <v/>
      </c>
      <c r="I82" s="1" t="str">
        <f>IF(Feiertage!$B$11+ROW(B80)-1&lt;=Feiertage!$C$11, Feiertage!$B$11+ROW(B80)-1, "")</f>
        <v/>
      </c>
      <c r="J82" s="1" t="str">
        <f>IF(Feiertage!$B$12+ROW(B80)-1&lt;=Feiertage!$C$12, Feiertage!$B$12+ROW(B80)-1, "")</f>
        <v/>
      </c>
      <c r="K82" s="1" t="str">
        <f>IF(Feiertage!$B$13+ROW(B80)-1&lt;=Feiertage!$C$13, Feiertage!$B$13+ROW(B80)-1, "")</f>
        <v/>
      </c>
      <c r="L82" s="1" t="str">
        <f>IF(Feiertage!$B$14+ROW(B80)-1&lt;=Feiertage!$C$14, Feiertage!$B$14+ROW(B80)-1, "")</f>
        <v/>
      </c>
      <c r="M82" s="1" t="str">
        <f>IF(Feiertage!$B$15+ROW(B80)-1&lt;=Feiertage!$C$15, Feiertage!$B$15+ROW(B80)-1, "")</f>
        <v/>
      </c>
      <c r="N82" s="1" t="str">
        <f>IF(Feiertage!$B$16+ROW(B80)-1&lt;=Feiertage!$C$16, Feiertage!$B$16+ROW(B80)-1, "")</f>
        <v/>
      </c>
      <c r="O82" s="1" t="str">
        <f>IF(Feiertage!$B$17+ROW(B80)-1&lt;=Feiertage!$C$17, Feiertage!$B$17+ROW(B80)-1, "")</f>
        <v/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3">
      <c r="A83" s="1" t="str">
        <f>IF(Feiertage!$B$3+ROW(A81)-1&lt;=Feiertage!$C$3, Feiertage!$B$3+ROW(A81)-1, "")</f>
        <v/>
      </c>
      <c r="B83" s="1" t="str">
        <f>IF(Feiertage!$B$4+ROW(B81)-1&lt;=Feiertage!$C$4, Feiertage!$B$4+ROW(B81)-1, "")</f>
        <v/>
      </c>
      <c r="C83" s="1" t="str">
        <f>IF(Feiertage!$B$5+ROW(B81)-1&lt;=Feiertage!$C$5, Feiertage!$B$5+ROW(B81)-1, "")</f>
        <v/>
      </c>
      <c r="D83" s="1" t="str">
        <f>IF(Feiertage!$B$6+ROW(B81)-1&lt;=Feiertage!$C$6, Feiertage!$B$6+ROW(B81)-1, "")</f>
        <v/>
      </c>
      <c r="E83" s="1" t="str">
        <f>IF(Feiertage!$B$7+ROW(B81)-1&lt;=Feiertage!$C$7, Feiertage!$B$7+ROW(B81)-1, "")</f>
        <v/>
      </c>
      <c r="F83" s="1" t="str">
        <f>IF(Feiertage!$B$8+ROW(B81)-1&lt;=Feiertage!$C$8, Feiertage!$B$8+ROW(B81)-1, "")</f>
        <v/>
      </c>
      <c r="G83" s="1" t="str">
        <f>IF(Feiertage!$B$9+ROW(B81)-1&lt;=Feiertage!$C$9, Feiertage!$B$9+ROW(B81)-1, "")</f>
        <v/>
      </c>
      <c r="H83" s="1" t="str">
        <f>IF(Feiertage!$B$10+ROW(B81)-1&lt;=Feiertage!$C$10, Feiertage!$B$10+ROW(B81)-1, "")</f>
        <v/>
      </c>
      <c r="I83" s="1" t="str">
        <f>IF(Feiertage!$B$11+ROW(B81)-1&lt;=Feiertage!$C$11, Feiertage!$B$11+ROW(B81)-1, "")</f>
        <v/>
      </c>
      <c r="J83" s="1" t="str">
        <f>IF(Feiertage!$B$12+ROW(B81)-1&lt;=Feiertage!$C$12, Feiertage!$B$12+ROW(B81)-1, "")</f>
        <v/>
      </c>
      <c r="K83" s="1" t="str">
        <f>IF(Feiertage!$B$13+ROW(B81)-1&lt;=Feiertage!$C$13, Feiertage!$B$13+ROW(B81)-1, "")</f>
        <v/>
      </c>
      <c r="L83" s="1" t="str">
        <f>IF(Feiertage!$B$14+ROW(B81)-1&lt;=Feiertage!$C$14, Feiertage!$B$14+ROW(B81)-1, "")</f>
        <v/>
      </c>
      <c r="M83" s="1" t="str">
        <f>IF(Feiertage!$B$15+ROW(B81)-1&lt;=Feiertage!$C$15, Feiertage!$B$15+ROW(B81)-1, "")</f>
        <v/>
      </c>
      <c r="N83" s="1" t="str">
        <f>IF(Feiertage!$B$16+ROW(B81)-1&lt;=Feiertage!$C$16, Feiertage!$B$16+ROW(B81)-1, "")</f>
        <v/>
      </c>
      <c r="O83" s="1" t="str">
        <f>IF(Feiertage!$B$17+ROW(B81)-1&lt;=Feiertage!$C$17, Feiertage!$B$17+ROW(B81)-1, "")</f>
        <v/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3">
      <c r="A84" s="1" t="str">
        <f>IF(Feiertage!$B$3+ROW(A82)-1&lt;=Feiertage!$C$3, Feiertage!$B$3+ROW(A82)-1, "")</f>
        <v/>
      </c>
      <c r="B84" s="1" t="str">
        <f>IF(Feiertage!$B$4+ROW(B82)-1&lt;=Feiertage!$C$4, Feiertage!$B$4+ROW(B82)-1, "")</f>
        <v/>
      </c>
      <c r="C84" s="1" t="str">
        <f>IF(Feiertage!$B$5+ROW(B82)-1&lt;=Feiertage!$C$5, Feiertage!$B$5+ROW(B82)-1, "")</f>
        <v/>
      </c>
      <c r="D84" s="1" t="str">
        <f>IF(Feiertage!$B$6+ROW(B82)-1&lt;=Feiertage!$C$6, Feiertage!$B$6+ROW(B82)-1, "")</f>
        <v/>
      </c>
      <c r="E84" s="1" t="str">
        <f>IF(Feiertage!$B$7+ROW(B82)-1&lt;=Feiertage!$C$7, Feiertage!$B$7+ROW(B82)-1, "")</f>
        <v/>
      </c>
      <c r="F84" s="1" t="str">
        <f>IF(Feiertage!$B$8+ROW(B82)-1&lt;=Feiertage!$C$8, Feiertage!$B$8+ROW(B82)-1, "")</f>
        <v/>
      </c>
      <c r="G84" s="1" t="str">
        <f>IF(Feiertage!$B$9+ROW(B82)-1&lt;=Feiertage!$C$9, Feiertage!$B$9+ROW(B82)-1, "")</f>
        <v/>
      </c>
      <c r="H84" s="1" t="str">
        <f>IF(Feiertage!$B$10+ROW(B82)-1&lt;=Feiertage!$C$10, Feiertage!$B$10+ROW(B82)-1, "")</f>
        <v/>
      </c>
      <c r="I84" s="1" t="str">
        <f>IF(Feiertage!$B$11+ROW(B82)-1&lt;=Feiertage!$C$11, Feiertage!$B$11+ROW(B82)-1, "")</f>
        <v/>
      </c>
      <c r="J84" s="1" t="str">
        <f>IF(Feiertage!$B$12+ROW(B82)-1&lt;=Feiertage!$C$12, Feiertage!$B$12+ROW(B82)-1, "")</f>
        <v/>
      </c>
      <c r="K84" s="1" t="str">
        <f>IF(Feiertage!$B$13+ROW(B82)-1&lt;=Feiertage!$C$13, Feiertage!$B$13+ROW(B82)-1, "")</f>
        <v/>
      </c>
      <c r="L84" s="1" t="str">
        <f>IF(Feiertage!$B$14+ROW(B82)-1&lt;=Feiertage!$C$14, Feiertage!$B$14+ROW(B82)-1, "")</f>
        <v/>
      </c>
      <c r="M84" s="1" t="str">
        <f>IF(Feiertage!$B$15+ROW(B82)-1&lt;=Feiertage!$C$15, Feiertage!$B$15+ROW(B82)-1, "")</f>
        <v/>
      </c>
      <c r="N84" s="1" t="str">
        <f>IF(Feiertage!$B$16+ROW(B82)-1&lt;=Feiertage!$C$16, Feiertage!$B$16+ROW(B82)-1, "")</f>
        <v/>
      </c>
      <c r="O84" s="1" t="str">
        <f>IF(Feiertage!$B$17+ROW(B82)-1&lt;=Feiertage!$C$17, Feiertage!$B$17+ROW(B82)-1, "")</f>
        <v/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3">
      <c r="A85" s="1" t="str">
        <f>IF(Feiertage!$B$3+ROW(A83)-1&lt;=Feiertage!$C$3, Feiertage!$B$3+ROW(A83)-1, "")</f>
        <v/>
      </c>
      <c r="B85" s="1" t="str">
        <f>IF(Feiertage!$B$4+ROW(B83)-1&lt;=Feiertage!$C$4, Feiertage!$B$4+ROW(B83)-1, "")</f>
        <v/>
      </c>
      <c r="C85" s="1" t="str">
        <f>IF(Feiertage!$B$5+ROW(B83)-1&lt;=Feiertage!$C$5, Feiertage!$B$5+ROW(B83)-1, "")</f>
        <v/>
      </c>
      <c r="D85" s="1" t="str">
        <f>IF(Feiertage!$B$6+ROW(B83)-1&lt;=Feiertage!$C$6, Feiertage!$B$6+ROW(B83)-1, "")</f>
        <v/>
      </c>
      <c r="E85" s="1" t="str">
        <f>IF(Feiertage!$B$7+ROW(B83)-1&lt;=Feiertage!$C$7, Feiertage!$B$7+ROW(B83)-1, "")</f>
        <v/>
      </c>
      <c r="F85" s="1" t="str">
        <f>IF(Feiertage!$B$8+ROW(B83)-1&lt;=Feiertage!$C$8, Feiertage!$B$8+ROW(B83)-1, "")</f>
        <v/>
      </c>
      <c r="G85" s="1" t="str">
        <f>IF(Feiertage!$B$9+ROW(B83)-1&lt;=Feiertage!$C$9, Feiertage!$B$9+ROW(B83)-1, "")</f>
        <v/>
      </c>
      <c r="H85" s="1" t="str">
        <f>IF(Feiertage!$B$10+ROW(B83)-1&lt;=Feiertage!$C$10, Feiertage!$B$10+ROW(B83)-1, "")</f>
        <v/>
      </c>
      <c r="I85" s="1" t="str">
        <f>IF(Feiertage!$B$11+ROW(B83)-1&lt;=Feiertage!$C$11, Feiertage!$B$11+ROW(B83)-1, "")</f>
        <v/>
      </c>
      <c r="J85" s="1" t="str">
        <f>IF(Feiertage!$B$12+ROW(B83)-1&lt;=Feiertage!$C$12, Feiertage!$B$12+ROW(B83)-1, "")</f>
        <v/>
      </c>
      <c r="K85" s="1" t="str">
        <f>IF(Feiertage!$B$13+ROW(B83)-1&lt;=Feiertage!$C$13, Feiertage!$B$13+ROW(B83)-1, "")</f>
        <v/>
      </c>
      <c r="L85" s="1" t="str">
        <f>IF(Feiertage!$B$14+ROW(B83)-1&lt;=Feiertage!$C$14, Feiertage!$B$14+ROW(B83)-1, "")</f>
        <v/>
      </c>
      <c r="M85" s="1" t="str">
        <f>IF(Feiertage!$B$15+ROW(B83)-1&lt;=Feiertage!$C$15, Feiertage!$B$15+ROW(B83)-1, "")</f>
        <v/>
      </c>
      <c r="N85" s="1" t="str">
        <f>IF(Feiertage!$B$16+ROW(B83)-1&lt;=Feiertage!$C$16, Feiertage!$B$16+ROW(B83)-1, "")</f>
        <v/>
      </c>
      <c r="O85" s="1" t="str">
        <f>IF(Feiertage!$B$17+ROW(B83)-1&lt;=Feiertage!$C$17, Feiertage!$B$17+ROW(B83)-1, "")</f>
        <v/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3">
      <c r="A86" s="1" t="str">
        <f>IF(Feiertage!$B$3+ROW(A84)-1&lt;=Feiertage!$C$3, Feiertage!$B$3+ROW(A84)-1, "")</f>
        <v/>
      </c>
      <c r="B86" s="1" t="str">
        <f>IF(Feiertage!$B$4+ROW(B84)-1&lt;=Feiertage!$C$4, Feiertage!$B$4+ROW(B84)-1, "")</f>
        <v/>
      </c>
      <c r="C86" s="1" t="str">
        <f>IF(Feiertage!$B$5+ROW(B84)-1&lt;=Feiertage!$C$5, Feiertage!$B$5+ROW(B84)-1, "")</f>
        <v/>
      </c>
      <c r="D86" s="1" t="str">
        <f>IF(Feiertage!$B$6+ROW(B84)-1&lt;=Feiertage!$C$6, Feiertage!$B$6+ROW(B84)-1, "")</f>
        <v/>
      </c>
      <c r="E86" s="1" t="str">
        <f>IF(Feiertage!$B$7+ROW(B84)-1&lt;=Feiertage!$C$7, Feiertage!$B$7+ROW(B84)-1, "")</f>
        <v/>
      </c>
      <c r="F86" s="1" t="str">
        <f>IF(Feiertage!$B$8+ROW(B84)-1&lt;=Feiertage!$C$8, Feiertage!$B$8+ROW(B84)-1, "")</f>
        <v/>
      </c>
      <c r="G86" s="1" t="str">
        <f>IF(Feiertage!$B$9+ROW(B84)-1&lt;=Feiertage!$C$9, Feiertage!$B$9+ROW(B84)-1, "")</f>
        <v/>
      </c>
      <c r="H86" s="1" t="str">
        <f>IF(Feiertage!$B$10+ROW(B84)-1&lt;=Feiertage!$C$10, Feiertage!$B$10+ROW(B84)-1, "")</f>
        <v/>
      </c>
      <c r="I86" s="1" t="str">
        <f>IF(Feiertage!$B$11+ROW(B84)-1&lt;=Feiertage!$C$11, Feiertage!$B$11+ROW(B84)-1, "")</f>
        <v/>
      </c>
      <c r="J86" s="1" t="str">
        <f>IF(Feiertage!$B$12+ROW(B84)-1&lt;=Feiertage!$C$12, Feiertage!$B$12+ROW(B84)-1, "")</f>
        <v/>
      </c>
      <c r="K86" s="1" t="str">
        <f>IF(Feiertage!$B$13+ROW(B84)-1&lt;=Feiertage!$C$13, Feiertage!$B$13+ROW(B84)-1, "")</f>
        <v/>
      </c>
      <c r="L86" s="1" t="str">
        <f>IF(Feiertage!$B$14+ROW(B84)-1&lt;=Feiertage!$C$14, Feiertage!$B$14+ROW(B84)-1, "")</f>
        <v/>
      </c>
      <c r="M86" s="1" t="str">
        <f>IF(Feiertage!$B$15+ROW(B84)-1&lt;=Feiertage!$C$15, Feiertage!$B$15+ROW(B84)-1, "")</f>
        <v/>
      </c>
      <c r="N86" s="1" t="str">
        <f>IF(Feiertage!$B$16+ROW(B84)-1&lt;=Feiertage!$C$16, Feiertage!$B$16+ROW(B84)-1, "")</f>
        <v/>
      </c>
      <c r="O86" s="1" t="str">
        <f>IF(Feiertage!$B$17+ROW(B84)-1&lt;=Feiertage!$C$17, Feiertage!$B$17+ROW(B84)-1, "")</f>
        <v/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3">
      <c r="A87" s="1" t="str">
        <f>IF(Feiertage!$B$3+ROW(A85)-1&lt;=Feiertage!$C$3, Feiertage!$B$3+ROW(A85)-1, "")</f>
        <v/>
      </c>
      <c r="B87" s="1" t="str">
        <f>IF(Feiertage!$B$4+ROW(B85)-1&lt;=Feiertage!$C$4, Feiertage!$B$4+ROW(B85)-1, "")</f>
        <v/>
      </c>
      <c r="C87" s="1" t="str">
        <f>IF(Feiertage!$B$5+ROW(B85)-1&lt;=Feiertage!$C$5, Feiertage!$B$5+ROW(B85)-1, "")</f>
        <v/>
      </c>
      <c r="D87" s="1" t="str">
        <f>IF(Feiertage!$B$6+ROW(B85)-1&lt;=Feiertage!$C$6, Feiertage!$B$6+ROW(B85)-1, "")</f>
        <v/>
      </c>
      <c r="E87" s="1" t="str">
        <f>IF(Feiertage!$B$7+ROW(B85)-1&lt;=Feiertage!$C$7, Feiertage!$B$7+ROW(B85)-1, "")</f>
        <v/>
      </c>
      <c r="F87" s="1" t="str">
        <f>IF(Feiertage!$B$8+ROW(B85)-1&lt;=Feiertage!$C$8, Feiertage!$B$8+ROW(B85)-1, "")</f>
        <v/>
      </c>
      <c r="G87" s="1" t="str">
        <f>IF(Feiertage!$B$9+ROW(B85)-1&lt;=Feiertage!$C$9, Feiertage!$B$9+ROW(B85)-1, "")</f>
        <v/>
      </c>
      <c r="H87" s="1" t="str">
        <f>IF(Feiertage!$B$10+ROW(B85)-1&lt;=Feiertage!$C$10, Feiertage!$B$10+ROW(B85)-1, "")</f>
        <v/>
      </c>
      <c r="I87" s="1" t="str">
        <f>IF(Feiertage!$B$11+ROW(B85)-1&lt;=Feiertage!$C$11, Feiertage!$B$11+ROW(B85)-1, "")</f>
        <v/>
      </c>
      <c r="J87" s="1" t="str">
        <f>IF(Feiertage!$B$12+ROW(B85)-1&lt;=Feiertage!$C$12, Feiertage!$B$12+ROW(B85)-1, "")</f>
        <v/>
      </c>
      <c r="K87" s="1" t="str">
        <f>IF(Feiertage!$B$13+ROW(B85)-1&lt;=Feiertage!$C$13, Feiertage!$B$13+ROW(B85)-1, "")</f>
        <v/>
      </c>
      <c r="L87" s="1" t="str">
        <f>IF(Feiertage!$B$14+ROW(B85)-1&lt;=Feiertage!$C$14, Feiertage!$B$14+ROW(B85)-1, "")</f>
        <v/>
      </c>
      <c r="M87" s="1" t="str">
        <f>IF(Feiertage!$B$15+ROW(B85)-1&lt;=Feiertage!$C$15, Feiertage!$B$15+ROW(B85)-1, "")</f>
        <v/>
      </c>
      <c r="N87" s="1" t="str">
        <f>IF(Feiertage!$B$16+ROW(B85)-1&lt;=Feiertage!$C$16, Feiertage!$B$16+ROW(B85)-1, "")</f>
        <v/>
      </c>
      <c r="O87" s="1" t="str">
        <f>IF(Feiertage!$B$17+ROW(B85)-1&lt;=Feiertage!$C$17, Feiertage!$B$17+ROW(B85)-1, "")</f>
        <v/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3">
      <c r="A88" s="1" t="str">
        <f>IF(Feiertage!$B$3+ROW(A86)-1&lt;=Feiertage!$C$3, Feiertage!$B$3+ROW(A86)-1, "")</f>
        <v/>
      </c>
      <c r="B88" s="1" t="str">
        <f>IF(Feiertage!$B$4+ROW(B86)-1&lt;=Feiertage!$C$4, Feiertage!$B$4+ROW(B86)-1, "")</f>
        <v/>
      </c>
      <c r="C88" s="1" t="str">
        <f>IF(Feiertage!$B$5+ROW(B86)-1&lt;=Feiertage!$C$5, Feiertage!$B$5+ROW(B86)-1, "")</f>
        <v/>
      </c>
      <c r="D88" s="1" t="str">
        <f>IF(Feiertage!$B$6+ROW(B86)-1&lt;=Feiertage!$C$6, Feiertage!$B$6+ROW(B86)-1, "")</f>
        <v/>
      </c>
      <c r="E88" s="1" t="str">
        <f>IF(Feiertage!$B$7+ROW(B86)-1&lt;=Feiertage!$C$7, Feiertage!$B$7+ROW(B86)-1, "")</f>
        <v/>
      </c>
      <c r="F88" s="1" t="str">
        <f>IF(Feiertage!$B$8+ROW(B86)-1&lt;=Feiertage!$C$8, Feiertage!$B$8+ROW(B86)-1, "")</f>
        <v/>
      </c>
      <c r="G88" s="1" t="str">
        <f>IF(Feiertage!$B$9+ROW(B86)-1&lt;=Feiertage!$C$9, Feiertage!$B$9+ROW(B86)-1, "")</f>
        <v/>
      </c>
      <c r="H88" s="1" t="str">
        <f>IF(Feiertage!$B$10+ROW(B86)-1&lt;=Feiertage!$C$10, Feiertage!$B$10+ROW(B86)-1, "")</f>
        <v/>
      </c>
      <c r="I88" s="1" t="str">
        <f>IF(Feiertage!$B$11+ROW(B86)-1&lt;=Feiertage!$C$11, Feiertage!$B$11+ROW(B86)-1, "")</f>
        <v/>
      </c>
      <c r="J88" s="1" t="str">
        <f>IF(Feiertage!$B$12+ROW(B86)-1&lt;=Feiertage!$C$12, Feiertage!$B$12+ROW(B86)-1, "")</f>
        <v/>
      </c>
      <c r="K88" s="1" t="str">
        <f>IF(Feiertage!$B$13+ROW(B86)-1&lt;=Feiertage!$C$13, Feiertage!$B$13+ROW(B86)-1, "")</f>
        <v/>
      </c>
      <c r="L88" s="1" t="str">
        <f>IF(Feiertage!$B$14+ROW(B86)-1&lt;=Feiertage!$C$14, Feiertage!$B$14+ROW(B86)-1, "")</f>
        <v/>
      </c>
      <c r="M88" s="1" t="str">
        <f>IF(Feiertage!$B$15+ROW(B86)-1&lt;=Feiertage!$C$15, Feiertage!$B$15+ROW(B86)-1, "")</f>
        <v/>
      </c>
      <c r="N88" s="1" t="str">
        <f>IF(Feiertage!$B$16+ROW(B86)-1&lt;=Feiertage!$C$16, Feiertage!$B$16+ROW(B86)-1, "")</f>
        <v/>
      </c>
      <c r="O88" s="1" t="str">
        <f>IF(Feiertage!$B$17+ROW(B86)-1&lt;=Feiertage!$C$17, Feiertage!$B$17+ROW(B86)-1, "")</f>
        <v/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3">
      <c r="A89" s="1" t="str">
        <f>IF(Feiertage!$B$3+ROW(A87)-1&lt;=Feiertage!$C$3, Feiertage!$B$3+ROW(A87)-1, "")</f>
        <v/>
      </c>
      <c r="B89" s="1" t="str">
        <f>IF(Feiertage!$B$4+ROW(B87)-1&lt;=Feiertage!$C$4, Feiertage!$B$4+ROW(B87)-1, "")</f>
        <v/>
      </c>
      <c r="C89" s="1" t="str">
        <f>IF(Feiertage!$B$5+ROW(B87)-1&lt;=Feiertage!$C$5, Feiertage!$B$5+ROW(B87)-1, "")</f>
        <v/>
      </c>
      <c r="D89" s="1" t="str">
        <f>IF(Feiertage!$B$6+ROW(B87)-1&lt;=Feiertage!$C$6, Feiertage!$B$6+ROW(B87)-1, "")</f>
        <v/>
      </c>
      <c r="E89" s="1" t="str">
        <f>IF(Feiertage!$B$7+ROW(B87)-1&lt;=Feiertage!$C$7, Feiertage!$B$7+ROW(B87)-1, "")</f>
        <v/>
      </c>
      <c r="F89" s="1" t="str">
        <f>IF(Feiertage!$B$8+ROW(B87)-1&lt;=Feiertage!$C$8, Feiertage!$B$8+ROW(B87)-1, "")</f>
        <v/>
      </c>
      <c r="G89" s="1" t="str">
        <f>IF(Feiertage!$B$9+ROW(B87)-1&lt;=Feiertage!$C$9, Feiertage!$B$9+ROW(B87)-1, "")</f>
        <v/>
      </c>
      <c r="H89" s="1" t="str">
        <f>IF(Feiertage!$B$10+ROW(B87)-1&lt;=Feiertage!$C$10, Feiertage!$B$10+ROW(B87)-1, "")</f>
        <v/>
      </c>
      <c r="I89" s="1" t="str">
        <f>IF(Feiertage!$B$11+ROW(B87)-1&lt;=Feiertage!$C$11, Feiertage!$B$11+ROW(B87)-1, "")</f>
        <v/>
      </c>
      <c r="J89" s="1" t="str">
        <f>IF(Feiertage!$B$12+ROW(B87)-1&lt;=Feiertage!$C$12, Feiertage!$B$12+ROW(B87)-1, "")</f>
        <v/>
      </c>
      <c r="K89" s="1" t="str">
        <f>IF(Feiertage!$B$13+ROW(B87)-1&lt;=Feiertage!$C$13, Feiertage!$B$13+ROW(B87)-1, "")</f>
        <v/>
      </c>
      <c r="L89" s="1" t="str">
        <f>IF(Feiertage!$B$14+ROW(B87)-1&lt;=Feiertage!$C$14, Feiertage!$B$14+ROW(B87)-1, "")</f>
        <v/>
      </c>
      <c r="M89" s="1" t="str">
        <f>IF(Feiertage!$B$15+ROW(B87)-1&lt;=Feiertage!$C$15, Feiertage!$B$15+ROW(B87)-1, "")</f>
        <v/>
      </c>
      <c r="N89" s="1" t="str">
        <f>IF(Feiertage!$B$16+ROW(B87)-1&lt;=Feiertage!$C$16, Feiertage!$B$16+ROW(B87)-1, "")</f>
        <v/>
      </c>
      <c r="O89" s="1" t="str">
        <f>IF(Feiertage!$B$17+ROW(B87)-1&lt;=Feiertage!$C$17, Feiertage!$B$17+ROW(B87)-1, "")</f>
        <v/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3">
      <c r="A90" s="1" t="str">
        <f>IF(Feiertage!$B$3+ROW(A88)-1&lt;=Feiertage!$C$3, Feiertage!$B$3+ROW(A88)-1, "")</f>
        <v/>
      </c>
      <c r="B90" s="1" t="str">
        <f>IF(Feiertage!$B$4+ROW(B88)-1&lt;=Feiertage!$C$4, Feiertage!$B$4+ROW(B88)-1, "")</f>
        <v/>
      </c>
      <c r="C90" s="1" t="str">
        <f>IF(Feiertage!$B$5+ROW(B88)-1&lt;=Feiertage!$C$5, Feiertage!$B$5+ROW(B88)-1, "")</f>
        <v/>
      </c>
      <c r="D90" s="1" t="str">
        <f>IF(Feiertage!$B$6+ROW(B88)-1&lt;=Feiertage!$C$6, Feiertage!$B$6+ROW(B88)-1, "")</f>
        <v/>
      </c>
      <c r="E90" s="1" t="str">
        <f>IF(Feiertage!$B$7+ROW(B88)-1&lt;=Feiertage!$C$7, Feiertage!$B$7+ROW(B88)-1, "")</f>
        <v/>
      </c>
      <c r="F90" s="1" t="str">
        <f>IF(Feiertage!$B$8+ROW(B88)-1&lt;=Feiertage!$C$8, Feiertage!$B$8+ROW(B88)-1, "")</f>
        <v/>
      </c>
      <c r="G90" s="1" t="str">
        <f>IF(Feiertage!$B$9+ROW(B88)-1&lt;=Feiertage!$C$9, Feiertage!$B$9+ROW(B88)-1, "")</f>
        <v/>
      </c>
      <c r="H90" s="1" t="str">
        <f>IF(Feiertage!$B$10+ROW(B88)-1&lt;=Feiertage!$C$10, Feiertage!$B$10+ROW(B88)-1, "")</f>
        <v/>
      </c>
      <c r="I90" s="1" t="str">
        <f>IF(Feiertage!$B$11+ROW(B88)-1&lt;=Feiertage!$C$11, Feiertage!$B$11+ROW(B88)-1, "")</f>
        <v/>
      </c>
      <c r="J90" s="1" t="str">
        <f>IF(Feiertage!$B$12+ROW(B88)-1&lt;=Feiertage!$C$12, Feiertage!$B$12+ROW(B88)-1, "")</f>
        <v/>
      </c>
      <c r="K90" s="1" t="str">
        <f>IF(Feiertage!$B$13+ROW(B88)-1&lt;=Feiertage!$C$13, Feiertage!$B$13+ROW(B88)-1, "")</f>
        <v/>
      </c>
      <c r="L90" s="1" t="str">
        <f>IF(Feiertage!$B$14+ROW(B88)-1&lt;=Feiertage!$C$14, Feiertage!$B$14+ROW(B88)-1, "")</f>
        <v/>
      </c>
      <c r="M90" s="1" t="str">
        <f>IF(Feiertage!$B$15+ROW(B88)-1&lt;=Feiertage!$C$15, Feiertage!$B$15+ROW(B88)-1, "")</f>
        <v/>
      </c>
      <c r="N90" s="1" t="str">
        <f>IF(Feiertage!$B$16+ROW(B88)-1&lt;=Feiertage!$C$16, Feiertage!$B$16+ROW(B88)-1, "")</f>
        <v/>
      </c>
      <c r="O90" s="1" t="str">
        <f>IF(Feiertage!$B$17+ROW(B88)-1&lt;=Feiertage!$C$17, Feiertage!$B$17+ROW(B88)-1, "")</f>
        <v/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3">
      <c r="A91" s="1" t="str">
        <f>IF(Feiertage!$B$3+ROW(A89)-1&lt;=Feiertage!$C$3, Feiertage!$B$3+ROW(A89)-1, "")</f>
        <v/>
      </c>
      <c r="B91" s="1" t="str">
        <f>IF(Feiertage!$B$4+ROW(B89)-1&lt;=Feiertage!$C$4, Feiertage!$B$4+ROW(B89)-1, "")</f>
        <v/>
      </c>
      <c r="C91" s="1" t="str">
        <f>IF(Feiertage!$B$5+ROW(B89)-1&lt;=Feiertage!$C$5, Feiertage!$B$5+ROW(B89)-1, "")</f>
        <v/>
      </c>
      <c r="D91" s="1" t="str">
        <f>IF(Feiertage!$B$6+ROW(B89)-1&lt;=Feiertage!$C$6, Feiertage!$B$6+ROW(B89)-1, "")</f>
        <v/>
      </c>
      <c r="E91" s="1" t="str">
        <f>IF(Feiertage!$B$7+ROW(B89)-1&lt;=Feiertage!$C$7, Feiertage!$B$7+ROW(B89)-1, "")</f>
        <v/>
      </c>
      <c r="F91" s="1" t="str">
        <f>IF(Feiertage!$B$8+ROW(B89)-1&lt;=Feiertage!$C$8, Feiertage!$B$8+ROW(B89)-1, "")</f>
        <v/>
      </c>
      <c r="G91" s="1" t="str">
        <f>IF(Feiertage!$B$9+ROW(B89)-1&lt;=Feiertage!$C$9, Feiertage!$B$9+ROW(B89)-1, "")</f>
        <v/>
      </c>
      <c r="H91" s="1" t="str">
        <f>IF(Feiertage!$B$10+ROW(B89)-1&lt;=Feiertage!$C$10, Feiertage!$B$10+ROW(B89)-1, "")</f>
        <v/>
      </c>
      <c r="I91" s="1" t="str">
        <f>IF(Feiertage!$B$11+ROW(B89)-1&lt;=Feiertage!$C$11, Feiertage!$B$11+ROW(B89)-1, "")</f>
        <v/>
      </c>
      <c r="J91" s="1" t="str">
        <f>IF(Feiertage!$B$12+ROW(B89)-1&lt;=Feiertage!$C$12, Feiertage!$B$12+ROW(B89)-1, "")</f>
        <v/>
      </c>
      <c r="K91" s="1" t="str">
        <f>IF(Feiertage!$B$13+ROW(B89)-1&lt;=Feiertage!$C$13, Feiertage!$B$13+ROW(B89)-1, "")</f>
        <v/>
      </c>
      <c r="L91" s="1" t="str">
        <f>IF(Feiertage!$B$14+ROW(B89)-1&lt;=Feiertage!$C$14, Feiertage!$B$14+ROW(B89)-1, "")</f>
        <v/>
      </c>
      <c r="M91" s="1" t="str">
        <f>IF(Feiertage!$B$15+ROW(B89)-1&lt;=Feiertage!$C$15, Feiertage!$B$15+ROW(B89)-1, "")</f>
        <v/>
      </c>
      <c r="N91" s="1" t="str">
        <f>IF(Feiertage!$B$16+ROW(B89)-1&lt;=Feiertage!$C$16, Feiertage!$B$16+ROW(B89)-1, "")</f>
        <v/>
      </c>
      <c r="O91" s="1" t="str">
        <f>IF(Feiertage!$B$17+ROW(B89)-1&lt;=Feiertage!$C$17, Feiertage!$B$17+ROW(B89)-1, "")</f>
        <v/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3">
      <c r="A92" s="1" t="str">
        <f>IF(Feiertage!$B$3+ROW(A90)-1&lt;=Feiertage!$C$3, Feiertage!$B$3+ROW(A90)-1, "")</f>
        <v/>
      </c>
      <c r="B92" s="1" t="str">
        <f>IF(Feiertage!$B$4+ROW(B90)-1&lt;=Feiertage!$C$4, Feiertage!$B$4+ROW(B90)-1, "")</f>
        <v/>
      </c>
      <c r="C92" s="1" t="str">
        <f>IF(Feiertage!$B$5+ROW(B90)-1&lt;=Feiertage!$C$5, Feiertage!$B$5+ROW(B90)-1, "")</f>
        <v/>
      </c>
      <c r="D92" s="1" t="str">
        <f>IF(Feiertage!$B$6+ROW(B90)-1&lt;=Feiertage!$C$6, Feiertage!$B$6+ROW(B90)-1, "")</f>
        <v/>
      </c>
      <c r="E92" s="1" t="str">
        <f>IF(Feiertage!$B$7+ROW(B90)-1&lt;=Feiertage!$C$7, Feiertage!$B$7+ROW(B90)-1, "")</f>
        <v/>
      </c>
      <c r="F92" s="1" t="str">
        <f>IF(Feiertage!$B$8+ROW(B90)-1&lt;=Feiertage!$C$8, Feiertage!$B$8+ROW(B90)-1, "")</f>
        <v/>
      </c>
      <c r="G92" s="1" t="str">
        <f>IF(Feiertage!$B$9+ROW(B90)-1&lt;=Feiertage!$C$9, Feiertage!$B$9+ROW(B90)-1, "")</f>
        <v/>
      </c>
      <c r="H92" s="1" t="str">
        <f>IF(Feiertage!$B$10+ROW(B90)-1&lt;=Feiertage!$C$10, Feiertage!$B$10+ROW(B90)-1, "")</f>
        <v/>
      </c>
      <c r="I92" s="1" t="str">
        <f>IF(Feiertage!$B$11+ROW(B90)-1&lt;=Feiertage!$C$11, Feiertage!$B$11+ROW(B90)-1, "")</f>
        <v/>
      </c>
      <c r="J92" s="1" t="str">
        <f>IF(Feiertage!$B$12+ROW(B90)-1&lt;=Feiertage!$C$12, Feiertage!$B$12+ROW(B90)-1, "")</f>
        <v/>
      </c>
      <c r="K92" s="1" t="str">
        <f>IF(Feiertage!$B$13+ROW(B90)-1&lt;=Feiertage!$C$13, Feiertage!$B$13+ROW(B90)-1, "")</f>
        <v/>
      </c>
      <c r="L92" s="1" t="str">
        <f>IF(Feiertage!$B$14+ROW(B90)-1&lt;=Feiertage!$C$14, Feiertage!$B$14+ROW(B90)-1, "")</f>
        <v/>
      </c>
      <c r="M92" s="1" t="str">
        <f>IF(Feiertage!$B$15+ROW(B90)-1&lt;=Feiertage!$C$15, Feiertage!$B$15+ROW(B90)-1, "")</f>
        <v/>
      </c>
      <c r="N92" s="1" t="str">
        <f>IF(Feiertage!$B$16+ROW(B90)-1&lt;=Feiertage!$C$16, Feiertage!$B$16+ROW(B90)-1, "")</f>
        <v/>
      </c>
      <c r="O92" s="1" t="str">
        <f>IF(Feiertage!$B$17+ROW(B90)-1&lt;=Feiertage!$C$17, Feiertage!$B$17+ROW(B90)-1, "")</f>
        <v/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3">
      <c r="A93" s="1" t="str">
        <f>IF(Feiertage!$B$3+ROW(A91)-1&lt;=Feiertage!$C$3, Feiertage!$B$3+ROW(A91)-1, "")</f>
        <v/>
      </c>
      <c r="B93" s="1" t="str">
        <f>IF(Feiertage!$B$4+ROW(B91)-1&lt;=Feiertage!$C$4, Feiertage!$B$4+ROW(B91)-1, "")</f>
        <v/>
      </c>
      <c r="C93" s="1" t="str">
        <f>IF(Feiertage!$B$5+ROW(B91)-1&lt;=Feiertage!$C$5, Feiertage!$B$5+ROW(B91)-1, "")</f>
        <v/>
      </c>
      <c r="D93" s="1" t="str">
        <f>IF(Feiertage!$B$6+ROW(B91)-1&lt;=Feiertage!$C$6, Feiertage!$B$6+ROW(B91)-1, "")</f>
        <v/>
      </c>
      <c r="E93" s="1" t="str">
        <f>IF(Feiertage!$B$7+ROW(B91)-1&lt;=Feiertage!$C$7, Feiertage!$B$7+ROW(B91)-1, "")</f>
        <v/>
      </c>
      <c r="F93" s="1" t="str">
        <f>IF(Feiertage!$B$8+ROW(B91)-1&lt;=Feiertage!$C$8, Feiertage!$B$8+ROW(B91)-1, "")</f>
        <v/>
      </c>
      <c r="G93" s="1" t="str">
        <f>IF(Feiertage!$B$9+ROW(B91)-1&lt;=Feiertage!$C$9, Feiertage!$B$9+ROW(B91)-1, "")</f>
        <v/>
      </c>
      <c r="H93" s="1" t="str">
        <f>IF(Feiertage!$B$10+ROW(B91)-1&lt;=Feiertage!$C$10, Feiertage!$B$10+ROW(B91)-1, "")</f>
        <v/>
      </c>
      <c r="I93" s="1" t="str">
        <f>IF(Feiertage!$B$11+ROW(B91)-1&lt;=Feiertage!$C$11, Feiertage!$B$11+ROW(B91)-1, "")</f>
        <v/>
      </c>
      <c r="J93" s="1" t="str">
        <f>IF(Feiertage!$B$12+ROW(B91)-1&lt;=Feiertage!$C$12, Feiertage!$B$12+ROW(B91)-1, "")</f>
        <v/>
      </c>
      <c r="K93" s="1" t="str">
        <f>IF(Feiertage!$B$13+ROW(B91)-1&lt;=Feiertage!$C$13, Feiertage!$B$13+ROW(B91)-1, "")</f>
        <v/>
      </c>
      <c r="L93" s="1" t="str">
        <f>IF(Feiertage!$B$14+ROW(B91)-1&lt;=Feiertage!$C$14, Feiertage!$B$14+ROW(B91)-1, "")</f>
        <v/>
      </c>
      <c r="M93" s="1" t="str">
        <f>IF(Feiertage!$B$15+ROW(B91)-1&lt;=Feiertage!$C$15, Feiertage!$B$15+ROW(B91)-1, "")</f>
        <v/>
      </c>
      <c r="N93" s="1" t="str">
        <f>IF(Feiertage!$B$16+ROW(B91)-1&lt;=Feiertage!$C$16, Feiertage!$B$16+ROW(B91)-1, "")</f>
        <v/>
      </c>
      <c r="O93" s="1" t="str">
        <f>IF(Feiertage!$B$17+ROW(B91)-1&lt;=Feiertage!$C$17, Feiertage!$B$17+ROW(B91)-1, "")</f>
        <v/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3">
      <c r="A94" s="1" t="str">
        <f>IF(Feiertage!$B$3+ROW(A92)-1&lt;=Feiertage!$C$3, Feiertage!$B$3+ROW(A92)-1, "")</f>
        <v/>
      </c>
      <c r="B94" s="1" t="str">
        <f>IF(Feiertage!$B$4+ROW(B92)-1&lt;=Feiertage!$C$4, Feiertage!$B$4+ROW(B92)-1, "")</f>
        <v/>
      </c>
      <c r="C94" s="1" t="str">
        <f>IF(Feiertage!$B$5+ROW(B92)-1&lt;=Feiertage!$C$5, Feiertage!$B$5+ROW(B92)-1, "")</f>
        <v/>
      </c>
      <c r="D94" s="1" t="str">
        <f>IF(Feiertage!$B$6+ROW(B92)-1&lt;=Feiertage!$C$6, Feiertage!$B$6+ROW(B92)-1, "")</f>
        <v/>
      </c>
      <c r="E94" s="1" t="str">
        <f>IF(Feiertage!$B$7+ROW(B92)-1&lt;=Feiertage!$C$7, Feiertage!$B$7+ROW(B92)-1, "")</f>
        <v/>
      </c>
      <c r="F94" s="1" t="str">
        <f>IF(Feiertage!$B$8+ROW(B92)-1&lt;=Feiertage!$C$8, Feiertage!$B$8+ROW(B92)-1, "")</f>
        <v/>
      </c>
      <c r="G94" s="1" t="str">
        <f>IF(Feiertage!$B$9+ROW(B92)-1&lt;=Feiertage!$C$9, Feiertage!$B$9+ROW(B92)-1, "")</f>
        <v/>
      </c>
      <c r="H94" s="1" t="str">
        <f>IF(Feiertage!$B$10+ROW(B92)-1&lt;=Feiertage!$C$10, Feiertage!$B$10+ROW(B92)-1, "")</f>
        <v/>
      </c>
      <c r="I94" s="1" t="str">
        <f>IF(Feiertage!$B$11+ROW(B92)-1&lt;=Feiertage!$C$11, Feiertage!$B$11+ROW(B92)-1, "")</f>
        <v/>
      </c>
      <c r="J94" s="1" t="str">
        <f>IF(Feiertage!$B$12+ROW(B92)-1&lt;=Feiertage!$C$12, Feiertage!$B$12+ROW(B92)-1, "")</f>
        <v/>
      </c>
      <c r="K94" s="1" t="str">
        <f>IF(Feiertage!$B$13+ROW(B92)-1&lt;=Feiertage!$C$13, Feiertage!$B$13+ROW(B92)-1, "")</f>
        <v/>
      </c>
      <c r="L94" s="1" t="str">
        <f>IF(Feiertage!$B$14+ROW(B92)-1&lt;=Feiertage!$C$14, Feiertage!$B$14+ROW(B92)-1, "")</f>
        <v/>
      </c>
      <c r="M94" s="1" t="str">
        <f>IF(Feiertage!$B$15+ROW(B92)-1&lt;=Feiertage!$C$15, Feiertage!$B$15+ROW(B92)-1, "")</f>
        <v/>
      </c>
      <c r="N94" s="1" t="str">
        <f>IF(Feiertage!$B$16+ROW(B92)-1&lt;=Feiertage!$C$16, Feiertage!$B$16+ROW(B92)-1, "")</f>
        <v/>
      </c>
      <c r="O94" s="1" t="str">
        <f>IF(Feiertage!$B$17+ROW(B92)-1&lt;=Feiertage!$C$17, Feiertage!$B$17+ROW(B92)-1, "")</f>
        <v/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3">
      <c r="A95" s="1" t="str">
        <f>IF(Feiertage!$B$3+ROW(A93)-1&lt;=Feiertage!$C$3, Feiertage!$B$3+ROW(A93)-1, "")</f>
        <v/>
      </c>
      <c r="B95" s="1" t="str">
        <f>IF(Feiertage!$B$4+ROW(B93)-1&lt;=Feiertage!$C$4, Feiertage!$B$4+ROW(B93)-1, "")</f>
        <v/>
      </c>
      <c r="C95" s="1" t="str">
        <f>IF(Feiertage!$B$5+ROW(B93)-1&lt;=Feiertage!$C$5, Feiertage!$B$5+ROW(B93)-1, "")</f>
        <v/>
      </c>
      <c r="D95" s="1" t="str">
        <f>IF(Feiertage!$B$6+ROW(B93)-1&lt;=Feiertage!$C$6, Feiertage!$B$6+ROW(B93)-1, "")</f>
        <v/>
      </c>
      <c r="E95" s="1" t="str">
        <f>IF(Feiertage!$B$7+ROW(B93)-1&lt;=Feiertage!$C$7, Feiertage!$B$7+ROW(B93)-1, "")</f>
        <v/>
      </c>
      <c r="F95" s="1" t="str">
        <f>IF(Feiertage!$B$8+ROW(B93)-1&lt;=Feiertage!$C$8, Feiertage!$B$8+ROW(B93)-1, "")</f>
        <v/>
      </c>
      <c r="G95" s="1" t="str">
        <f>IF(Feiertage!$B$9+ROW(B93)-1&lt;=Feiertage!$C$9, Feiertage!$B$9+ROW(B93)-1, "")</f>
        <v/>
      </c>
      <c r="H95" s="1" t="str">
        <f>IF(Feiertage!$B$10+ROW(B93)-1&lt;=Feiertage!$C$10, Feiertage!$B$10+ROW(B93)-1, "")</f>
        <v/>
      </c>
      <c r="I95" s="1" t="str">
        <f>IF(Feiertage!$B$11+ROW(B93)-1&lt;=Feiertage!$C$11, Feiertage!$B$11+ROW(B93)-1, "")</f>
        <v/>
      </c>
      <c r="J95" s="1" t="str">
        <f>IF(Feiertage!$B$12+ROW(B93)-1&lt;=Feiertage!$C$12, Feiertage!$B$12+ROW(B93)-1, "")</f>
        <v/>
      </c>
      <c r="K95" s="1" t="str">
        <f>IF(Feiertage!$B$13+ROW(B93)-1&lt;=Feiertage!$C$13, Feiertage!$B$13+ROW(B93)-1, "")</f>
        <v/>
      </c>
      <c r="L95" s="1" t="str">
        <f>IF(Feiertage!$B$14+ROW(B93)-1&lt;=Feiertage!$C$14, Feiertage!$B$14+ROW(B93)-1, "")</f>
        <v/>
      </c>
      <c r="M95" s="1" t="str">
        <f>IF(Feiertage!$B$15+ROW(B93)-1&lt;=Feiertage!$C$15, Feiertage!$B$15+ROW(B93)-1, "")</f>
        <v/>
      </c>
      <c r="N95" s="1" t="str">
        <f>IF(Feiertage!$B$16+ROW(B93)-1&lt;=Feiertage!$C$16, Feiertage!$B$16+ROW(B93)-1, "")</f>
        <v/>
      </c>
      <c r="O95" s="1" t="str">
        <f>IF(Feiertage!$B$17+ROW(B93)-1&lt;=Feiertage!$C$17, Feiertage!$B$17+ROW(B93)-1, "")</f>
        <v/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3">
      <c r="A96" s="1" t="str">
        <f>IF(Feiertage!$B$3+ROW(A94)-1&lt;=Feiertage!$C$3, Feiertage!$B$3+ROW(A94)-1, "")</f>
        <v/>
      </c>
      <c r="B96" s="1" t="str">
        <f>IF(Feiertage!$B$4+ROW(B94)-1&lt;=Feiertage!$C$4, Feiertage!$B$4+ROW(B94)-1, "")</f>
        <v/>
      </c>
      <c r="C96" s="1" t="str">
        <f>IF(Feiertage!$B$5+ROW(B94)-1&lt;=Feiertage!$C$5, Feiertage!$B$5+ROW(B94)-1, "")</f>
        <v/>
      </c>
      <c r="D96" s="1" t="str">
        <f>IF(Feiertage!$B$6+ROW(B94)-1&lt;=Feiertage!$C$6, Feiertage!$B$6+ROW(B94)-1, "")</f>
        <v/>
      </c>
      <c r="E96" s="1" t="str">
        <f>IF(Feiertage!$B$7+ROW(B94)-1&lt;=Feiertage!$C$7, Feiertage!$B$7+ROW(B94)-1, "")</f>
        <v/>
      </c>
      <c r="F96" s="1" t="str">
        <f>IF(Feiertage!$B$8+ROW(B94)-1&lt;=Feiertage!$C$8, Feiertage!$B$8+ROW(B94)-1, "")</f>
        <v/>
      </c>
      <c r="G96" s="1" t="str">
        <f>IF(Feiertage!$B$9+ROW(B94)-1&lt;=Feiertage!$C$9, Feiertage!$B$9+ROW(B94)-1, "")</f>
        <v/>
      </c>
      <c r="H96" s="1" t="str">
        <f>IF(Feiertage!$B$10+ROW(B94)-1&lt;=Feiertage!$C$10, Feiertage!$B$10+ROW(B94)-1, "")</f>
        <v/>
      </c>
      <c r="I96" s="1" t="str">
        <f>IF(Feiertage!$B$11+ROW(B94)-1&lt;=Feiertage!$C$11, Feiertage!$B$11+ROW(B94)-1, "")</f>
        <v/>
      </c>
      <c r="J96" s="1" t="str">
        <f>IF(Feiertage!$B$12+ROW(B94)-1&lt;=Feiertage!$C$12, Feiertage!$B$12+ROW(B94)-1, "")</f>
        <v/>
      </c>
      <c r="K96" s="1" t="str">
        <f>IF(Feiertage!$B$13+ROW(B94)-1&lt;=Feiertage!$C$13, Feiertage!$B$13+ROW(B94)-1, "")</f>
        <v/>
      </c>
      <c r="L96" s="1" t="str">
        <f>IF(Feiertage!$B$14+ROW(B94)-1&lt;=Feiertage!$C$14, Feiertage!$B$14+ROW(B94)-1, "")</f>
        <v/>
      </c>
      <c r="M96" s="1" t="str">
        <f>IF(Feiertage!$B$15+ROW(B94)-1&lt;=Feiertage!$C$15, Feiertage!$B$15+ROW(B94)-1, "")</f>
        <v/>
      </c>
      <c r="N96" s="1" t="str">
        <f>IF(Feiertage!$B$16+ROW(B94)-1&lt;=Feiertage!$C$16, Feiertage!$B$16+ROW(B94)-1, "")</f>
        <v/>
      </c>
      <c r="O96" s="1" t="str">
        <f>IF(Feiertage!$B$17+ROW(B94)-1&lt;=Feiertage!$C$17, Feiertage!$B$17+ROW(B94)-1, "")</f>
        <v/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3">
      <c r="A97" s="1" t="str">
        <f>IF(Feiertage!$B$3+ROW(A95)-1&lt;=Feiertage!$C$3, Feiertage!$B$3+ROW(A95)-1, "")</f>
        <v/>
      </c>
      <c r="B97" s="1" t="str">
        <f>IF(Feiertage!$B$4+ROW(B95)-1&lt;=Feiertage!$C$4, Feiertage!$B$4+ROW(B95)-1, "")</f>
        <v/>
      </c>
      <c r="C97" s="1" t="str">
        <f>IF(Feiertage!$B$5+ROW(B95)-1&lt;=Feiertage!$C$5, Feiertage!$B$5+ROW(B95)-1, "")</f>
        <v/>
      </c>
      <c r="D97" s="1" t="str">
        <f>IF(Feiertage!$B$6+ROW(B95)-1&lt;=Feiertage!$C$6, Feiertage!$B$6+ROW(B95)-1, "")</f>
        <v/>
      </c>
      <c r="E97" s="1" t="str">
        <f>IF(Feiertage!$B$7+ROW(B95)-1&lt;=Feiertage!$C$7, Feiertage!$B$7+ROW(B95)-1, "")</f>
        <v/>
      </c>
      <c r="F97" s="1" t="str">
        <f>IF(Feiertage!$B$8+ROW(B95)-1&lt;=Feiertage!$C$8, Feiertage!$B$8+ROW(B95)-1, "")</f>
        <v/>
      </c>
      <c r="G97" s="1" t="str">
        <f>IF(Feiertage!$B$9+ROW(B95)-1&lt;=Feiertage!$C$9, Feiertage!$B$9+ROW(B95)-1, "")</f>
        <v/>
      </c>
      <c r="H97" s="1" t="str">
        <f>IF(Feiertage!$B$10+ROW(B95)-1&lt;=Feiertage!$C$10, Feiertage!$B$10+ROW(B95)-1, "")</f>
        <v/>
      </c>
      <c r="I97" s="1" t="str">
        <f>IF(Feiertage!$B$11+ROW(B95)-1&lt;=Feiertage!$C$11, Feiertage!$B$11+ROW(B95)-1, "")</f>
        <v/>
      </c>
      <c r="J97" s="1" t="str">
        <f>IF(Feiertage!$B$12+ROW(B95)-1&lt;=Feiertage!$C$12, Feiertage!$B$12+ROW(B95)-1, "")</f>
        <v/>
      </c>
      <c r="K97" s="1" t="str">
        <f>IF(Feiertage!$B$13+ROW(B95)-1&lt;=Feiertage!$C$13, Feiertage!$B$13+ROW(B95)-1, "")</f>
        <v/>
      </c>
      <c r="L97" s="1" t="str">
        <f>IF(Feiertage!$B$14+ROW(B95)-1&lt;=Feiertage!$C$14, Feiertage!$B$14+ROW(B95)-1, "")</f>
        <v/>
      </c>
      <c r="M97" s="1" t="str">
        <f>IF(Feiertage!$B$15+ROW(B95)-1&lt;=Feiertage!$C$15, Feiertage!$B$15+ROW(B95)-1, "")</f>
        <v/>
      </c>
      <c r="N97" s="1" t="str">
        <f>IF(Feiertage!$B$16+ROW(B95)-1&lt;=Feiertage!$C$16, Feiertage!$B$16+ROW(B95)-1, "")</f>
        <v/>
      </c>
      <c r="O97" s="1" t="str">
        <f>IF(Feiertage!$B$17+ROW(B95)-1&lt;=Feiertage!$C$17, Feiertage!$B$17+ROW(B95)-1, "")</f>
        <v/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3">
      <c r="A98" s="1" t="str">
        <f>IF(Feiertage!$B$3+ROW(A96)-1&lt;=Feiertage!$C$3, Feiertage!$B$3+ROW(A96)-1, "")</f>
        <v/>
      </c>
      <c r="B98" s="1" t="str">
        <f>IF(Feiertage!$B$4+ROW(B96)-1&lt;=Feiertage!$C$4, Feiertage!$B$4+ROW(B96)-1, "")</f>
        <v/>
      </c>
      <c r="C98" s="1" t="str">
        <f>IF(Feiertage!$B$5+ROW(B96)-1&lt;=Feiertage!$C$5, Feiertage!$B$5+ROW(B96)-1, "")</f>
        <v/>
      </c>
      <c r="D98" s="1" t="str">
        <f>IF(Feiertage!$B$6+ROW(B96)-1&lt;=Feiertage!$C$6, Feiertage!$B$6+ROW(B96)-1, "")</f>
        <v/>
      </c>
      <c r="E98" s="1" t="str">
        <f>IF(Feiertage!$B$7+ROW(B96)-1&lt;=Feiertage!$C$7, Feiertage!$B$7+ROW(B96)-1, "")</f>
        <v/>
      </c>
      <c r="F98" s="1" t="str">
        <f>IF(Feiertage!$B$8+ROW(B96)-1&lt;=Feiertage!$C$8, Feiertage!$B$8+ROW(B96)-1, "")</f>
        <v/>
      </c>
      <c r="G98" s="1" t="str">
        <f>IF(Feiertage!$B$9+ROW(B96)-1&lt;=Feiertage!$C$9, Feiertage!$B$9+ROW(B96)-1, "")</f>
        <v/>
      </c>
      <c r="H98" s="1" t="str">
        <f>IF(Feiertage!$B$10+ROW(B96)-1&lt;=Feiertage!$C$10, Feiertage!$B$10+ROW(B96)-1, "")</f>
        <v/>
      </c>
      <c r="I98" s="1" t="str">
        <f>IF(Feiertage!$B$11+ROW(B96)-1&lt;=Feiertage!$C$11, Feiertage!$B$11+ROW(B96)-1, "")</f>
        <v/>
      </c>
      <c r="J98" s="1" t="str">
        <f>IF(Feiertage!$B$12+ROW(B96)-1&lt;=Feiertage!$C$12, Feiertage!$B$12+ROW(B96)-1, "")</f>
        <v/>
      </c>
      <c r="K98" s="1" t="str">
        <f>IF(Feiertage!$B$13+ROW(B96)-1&lt;=Feiertage!$C$13, Feiertage!$B$13+ROW(B96)-1, "")</f>
        <v/>
      </c>
      <c r="L98" s="1" t="str">
        <f>IF(Feiertage!$B$14+ROW(B96)-1&lt;=Feiertage!$C$14, Feiertage!$B$14+ROW(B96)-1, "")</f>
        <v/>
      </c>
      <c r="M98" s="1" t="str">
        <f>IF(Feiertage!$B$15+ROW(B96)-1&lt;=Feiertage!$C$15, Feiertage!$B$15+ROW(B96)-1, "")</f>
        <v/>
      </c>
      <c r="N98" s="1" t="str">
        <f>IF(Feiertage!$B$16+ROW(B96)-1&lt;=Feiertage!$C$16, Feiertage!$B$16+ROW(B96)-1, "")</f>
        <v/>
      </c>
      <c r="O98" s="1" t="str">
        <f>IF(Feiertage!$B$17+ROW(B96)-1&lt;=Feiertage!$C$17, Feiertage!$B$17+ROW(B96)-1, "")</f>
        <v/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3">
      <c r="A99" s="1" t="str">
        <f>IF(Feiertage!$B$3+ROW(A97)-1&lt;=Feiertage!$C$3, Feiertage!$B$3+ROW(A97)-1, "")</f>
        <v/>
      </c>
      <c r="B99" s="1" t="str">
        <f>IF(Feiertage!$B$4+ROW(B97)-1&lt;=Feiertage!$C$4, Feiertage!$B$4+ROW(B97)-1, "")</f>
        <v/>
      </c>
      <c r="C99" s="1" t="str">
        <f>IF(Feiertage!$B$5+ROW(B97)-1&lt;=Feiertage!$C$5, Feiertage!$B$5+ROW(B97)-1, "")</f>
        <v/>
      </c>
      <c r="D99" s="1" t="str">
        <f>IF(Feiertage!$B$6+ROW(B97)-1&lt;=Feiertage!$C$6, Feiertage!$B$6+ROW(B97)-1, "")</f>
        <v/>
      </c>
      <c r="E99" s="1" t="str">
        <f>IF(Feiertage!$B$7+ROW(B97)-1&lt;=Feiertage!$C$7, Feiertage!$B$7+ROW(B97)-1, "")</f>
        <v/>
      </c>
      <c r="F99" s="1" t="str">
        <f>IF(Feiertage!$B$8+ROW(B97)-1&lt;=Feiertage!$C$8, Feiertage!$B$8+ROW(B97)-1, "")</f>
        <v/>
      </c>
      <c r="G99" s="1" t="str">
        <f>IF(Feiertage!$B$9+ROW(B97)-1&lt;=Feiertage!$C$9, Feiertage!$B$9+ROW(B97)-1, "")</f>
        <v/>
      </c>
      <c r="H99" s="1" t="str">
        <f>IF(Feiertage!$B$10+ROW(B97)-1&lt;=Feiertage!$C$10, Feiertage!$B$10+ROW(B97)-1, "")</f>
        <v/>
      </c>
      <c r="I99" s="1" t="str">
        <f>IF(Feiertage!$B$11+ROW(B97)-1&lt;=Feiertage!$C$11, Feiertage!$B$11+ROW(B97)-1, "")</f>
        <v/>
      </c>
      <c r="J99" s="1" t="str">
        <f>IF(Feiertage!$B$12+ROW(B97)-1&lt;=Feiertage!$C$12, Feiertage!$B$12+ROW(B97)-1, "")</f>
        <v/>
      </c>
      <c r="K99" s="1" t="str">
        <f>IF(Feiertage!$B$13+ROW(B97)-1&lt;=Feiertage!$C$13, Feiertage!$B$13+ROW(B97)-1, "")</f>
        <v/>
      </c>
      <c r="L99" s="1" t="str">
        <f>IF(Feiertage!$B$14+ROW(B97)-1&lt;=Feiertage!$C$14, Feiertage!$B$14+ROW(B97)-1, "")</f>
        <v/>
      </c>
      <c r="M99" s="1" t="str">
        <f>IF(Feiertage!$B$15+ROW(B97)-1&lt;=Feiertage!$C$15, Feiertage!$B$15+ROW(B97)-1, "")</f>
        <v/>
      </c>
      <c r="N99" s="1" t="str">
        <f>IF(Feiertage!$B$16+ROW(B97)-1&lt;=Feiertage!$C$16, Feiertage!$B$16+ROW(B97)-1, "")</f>
        <v/>
      </c>
      <c r="O99" s="1" t="str">
        <f>IF(Feiertage!$B$17+ROW(B97)-1&lt;=Feiertage!$C$17, Feiertage!$B$17+ROW(B97)-1, "")</f>
        <v/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3">
      <c r="A100" s="1" t="str">
        <f>IF(Feiertage!$B$3+ROW(A98)-1&lt;=Feiertage!$C$3, Feiertage!$B$3+ROW(A98)-1, "")</f>
        <v/>
      </c>
      <c r="B100" s="1" t="str">
        <f>IF(Feiertage!$B$4+ROW(B98)-1&lt;=Feiertage!$C$4, Feiertage!$B$4+ROW(B98)-1, "")</f>
        <v/>
      </c>
      <c r="C100" s="1" t="str">
        <f>IF(Feiertage!$B$5+ROW(B98)-1&lt;=Feiertage!$C$5, Feiertage!$B$5+ROW(B98)-1, "")</f>
        <v/>
      </c>
      <c r="D100" s="1" t="str">
        <f>IF(Feiertage!$B$6+ROW(B98)-1&lt;=Feiertage!$C$6, Feiertage!$B$6+ROW(B98)-1, "")</f>
        <v/>
      </c>
      <c r="E100" s="1" t="str">
        <f>IF(Feiertage!$B$7+ROW(B98)-1&lt;=Feiertage!$C$7, Feiertage!$B$7+ROW(B98)-1, "")</f>
        <v/>
      </c>
      <c r="F100" s="1" t="str">
        <f>IF(Feiertage!$B$8+ROW(B98)-1&lt;=Feiertage!$C$8, Feiertage!$B$8+ROW(B98)-1, "")</f>
        <v/>
      </c>
      <c r="G100" s="1" t="str">
        <f>IF(Feiertage!$B$9+ROW(B98)-1&lt;=Feiertage!$C$9, Feiertage!$B$9+ROW(B98)-1, "")</f>
        <v/>
      </c>
      <c r="H100" s="1" t="str">
        <f>IF(Feiertage!$B$10+ROW(B98)-1&lt;=Feiertage!$C$10, Feiertage!$B$10+ROW(B98)-1, "")</f>
        <v/>
      </c>
      <c r="I100" s="1" t="str">
        <f>IF(Feiertage!$B$11+ROW(B98)-1&lt;=Feiertage!$C$11, Feiertage!$B$11+ROW(B98)-1, "")</f>
        <v/>
      </c>
      <c r="J100" s="1" t="str">
        <f>IF(Feiertage!$B$12+ROW(B98)-1&lt;=Feiertage!$C$12, Feiertage!$B$12+ROW(B98)-1, "")</f>
        <v/>
      </c>
      <c r="K100" s="1" t="str">
        <f>IF(Feiertage!$B$13+ROW(B98)-1&lt;=Feiertage!$C$13, Feiertage!$B$13+ROW(B98)-1, "")</f>
        <v/>
      </c>
      <c r="L100" s="1" t="str">
        <f>IF(Feiertage!$B$14+ROW(B98)-1&lt;=Feiertage!$C$14, Feiertage!$B$14+ROW(B98)-1, "")</f>
        <v/>
      </c>
      <c r="M100" s="1" t="str">
        <f>IF(Feiertage!$B$15+ROW(B98)-1&lt;=Feiertage!$C$15, Feiertage!$B$15+ROW(B98)-1, "")</f>
        <v/>
      </c>
      <c r="N100" s="1" t="str">
        <f>IF(Feiertage!$B$16+ROW(B98)-1&lt;=Feiertage!$C$16, Feiertage!$B$16+ROW(B98)-1, "")</f>
        <v/>
      </c>
      <c r="O100" s="1" t="str">
        <f>IF(Feiertage!$B$17+ROW(B98)-1&lt;=Feiertage!$C$17, Feiertage!$B$17+ROW(B98)-1, "")</f>
        <v/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3">
      <c r="A101" s="1" t="str">
        <f>IF(Feiertage!$B$3+ROW(A99)-1&lt;=Feiertage!$C$3, Feiertage!$B$3+ROW(A99)-1, "")</f>
        <v/>
      </c>
      <c r="B101" s="1" t="str">
        <f>IF(Feiertage!$B$4+ROW(B99)-1&lt;=Feiertage!$C$4, Feiertage!$B$4+ROW(B99)-1, "")</f>
        <v/>
      </c>
      <c r="C101" s="1" t="str">
        <f>IF(Feiertage!$B$5+ROW(B99)-1&lt;=Feiertage!$C$5, Feiertage!$B$5+ROW(B99)-1, "")</f>
        <v/>
      </c>
      <c r="D101" s="1" t="str">
        <f>IF(Feiertage!$B$6+ROW(B99)-1&lt;=Feiertage!$C$6, Feiertage!$B$6+ROW(B99)-1, "")</f>
        <v/>
      </c>
      <c r="E101" s="1" t="str">
        <f>IF(Feiertage!$B$7+ROW(B99)-1&lt;=Feiertage!$C$7, Feiertage!$B$7+ROW(B99)-1, "")</f>
        <v/>
      </c>
      <c r="F101" s="1" t="str">
        <f>IF(Feiertage!$B$8+ROW(B99)-1&lt;=Feiertage!$C$8, Feiertage!$B$8+ROW(B99)-1, "")</f>
        <v/>
      </c>
      <c r="G101" s="1" t="str">
        <f>IF(Feiertage!$B$9+ROW(B99)-1&lt;=Feiertage!$C$9, Feiertage!$B$9+ROW(B99)-1, "")</f>
        <v/>
      </c>
      <c r="H101" s="1" t="str">
        <f>IF(Feiertage!$B$10+ROW(B99)-1&lt;=Feiertage!$C$10, Feiertage!$B$10+ROW(B99)-1, "")</f>
        <v/>
      </c>
      <c r="I101" s="1" t="str">
        <f>IF(Feiertage!$B$11+ROW(B99)-1&lt;=Feiertage!$C$11, Feiertage!$B$11+ROW(B99)-1, "")</f>
        <v/>
      </c>
      <c r="J101" s="1" t="str">
        <f>IF(Feiertage!$B$12+ROW(B99)-1&lt;=Feiertage!$C$12, Feiertage!$B$12+ROW(B99)-1, "")</f>
        <v/>
      </c>
      <c r="K101" s="1" t="str">
        <f>IF(Feiertage!$B$13+ROW(B99)-1&lt;=Feiertage!$C$13, Feiertage!$B$13+ROW(B99)-1, "")</f>
        <v/>
      </c>
      <c r="L101" s="1" t="str">
        <f>IF(Feiertage!$B$14+ROW(B99)-1&lt;=Feiertage!$C$14, Feiertage!$B$14+ROW(B99)-1, "")</f>
        <v/>
      </c>
      <c r="M101" s="1" t="str">
        <f>IF(Feiertage!$B$15+ROW(B99)-1&lt;=Feiertage!$C$15, Feiertage!$B$15+ROW(B99)-1, "")</f>
        <v/>
      </c>
      <c r="N101" s="1" t="str">
        <f>IF(Feiertage!$B$16+ROW(B99)-1&lt;=Feiertage!$C$16, Feiertage!$B$16+ROW(B99)-1, "")</f>
        <v/>
      </c>
      <c r="O101" s="1" t="str">
        <f>IF(Feiertage!$B$17+ROW(B99)-1&lt;=Feiertage!$C$17, Feiertage!$B$17+ROW(B99)-1, "")</f>
        <v/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3">
      <c r="A102" s="1" t="str">
        <f>IF(Feiertage!$B$3+ROW(A100)-1&lt;=Feiertage!$C$3, Feiertage!$B$3+ROW(A100)-1, "")</f>
        <v/>
      </c>
      <c r="B102" s="1" t="str">
        <f>IF(Feiertage!$B$4+ROW(B100)-1&lt;=Feiertage!$C$4, Feiertage!$B$4+ROW(B100)-1, "")</f>
        <v/>
      </c>
      <c r="C102" s="1" t="str">
        <f>IF(Feiertage!$B$5+ROW(B100)-1&lt;=Feiertage!$C$5, Feiertage!$B$5+ROW(B100)-1, "")</f>
        <v/>
      </c>
      <c r="D102" s="1" t="str">
        <f>IF(Feiertage!$B$6+ROW(B100)-1&lt;=Feiertage!$C$6, Feiertage!$B$6+ROW(B100)-1, "")</f>
        <v/>
      </c>
      <c r="E102" s="1" t="str">
        <f>IF(Feiertage!$B$7+ROW(B100)-1&lt;=Feiertage!$C$7, Feiertage!$B$7+ROW(B100)-1, "")</f>
        <v/>
      </c>
      <c r="F102" s="1" t="str">
        <f>IF(Feiertage!$B$8+ROW(B100)-1&lt;=Feiertage!$C$8, Feiertage!$B$8+ROW(B100)-1, "")</f>
        <v/>
      </c>
      <c r="G102" s="1" t="str">
        <f>IF(Feiertage!$B$9+ROW(B100)-1&lt;=Feiertage!$C$9, Feiertage!$B$9+ROW(B100)-1, "")</f>
        <v/>
      </c>
      <c r="H102" s="1" t="str">
        <f>IF(Feiertage!$B$10+ROW(B100)-1&lt;=Feiertage!$C$10, Feiertage!$B$10+ROW(B100)-1, "")</f>
        <v/>
      </c>
      <c r="I102" s="1" t="str">
        <f>IF(Feiertage!$B$11+ROW(B100)-1&lt;=Feiertage!$C$11, Feiertage!$B$11+ROW(B100)-1, "")</f>
        <v/>
      </c>
      <c r="J102" s="1" t="str">
        <f>IF(Feiertage!$B$12+ROW(B100)-1&lt;=Feiertage!$C$12, Feiertage!$B$12+ROW(B100)-1, "")</f>
        <v/>
      </c>
      <c r="K102" s="1" t="str">
        <f>IF(Feiertage!$B$13+ROW(B100)-1&lt;=Feiertage!$C$13, Feiertage!$B$13+ROW(B100)-1, "")</f>
        <v/>
      </c>
      <c r="L102" s="1" t="str">
        <f>IF(Feiertage!$B$14+ROW(B100)-1&lt;=Feiertage!$C$14, Feiertage!$B$14+ROW(B100)-1, "")</f>
        <v/>
      </c>
      <c r="M102" s="1" t="str">
        <f>IF(Feiertage!$B$15+ROW(B100)-1&lt;=Feiertage!$C$15, Feiertage!$B$15+ROW(B100)-1, "")</f>
        <v/>
      </c>
      <c r="N102" s="1" t="str">
        <f>IF(Feiertage!$B$16+ROW(B100)-1&lt;=Feiertage!$C$16, Feiertage!$B$16+ROW(B100)-1, "")</f>
        <v/>
      </c>
      <c r="O102" s="1" t="str">
        <f>IF(Feiertage!$B$17+ROW(B100)-1&lt;=Feiertage!$C$17, Feiertage!$B$17+ROW(B100)-1, "")</f>
        <v/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3">
      <c r="A103" s="1" t="str">
        <f>IF(Feiertage!$B$3+ROW(A101)-1&lt;=Feiertage!$C$3, Feiertage!$B$3+ROW(A101)-1, "")</f>
        <v/>
      </c>
      <c r="B103" s="1" t="str">
        <f>IF(Feiertage!$B$4+ROW(B101)-1&lt;=Feiertage!$C$4, Feiertage!$B$4+ROW(B101)-1, "")</f>
        <v/>
      </c>
      <c r="C103" s="1" t="str">
        <f>IF(Feiertage!$B$5+ROW(B101)-1&lt;=Feiertage!$C$5, Feiertage!$B$5+ROW(B101)-1, "")</f>
        <v/>
      </c>
      <c r="D103" s="1" t="str">
        <f>IF(Feiertage!$B$6+ROW(B101)-1&lt;=Feiertage!$C$6, Feiertage!$B$6+ROW(B101)-1, "")</f>
        <v/>
      </c>
      <c r="E103" s="1" t="str">
        <f>IF(Feiertage!$B$7+ROW(B101)-1&lt;=Feiertage!$C$7, Feiertage!$B$7+ROW(B101)-1, "")</f>
        <v/>
      </c>
      <c r="F103" s="1" t="str">
        <f>IF(Feiertage!$B$8+ROW(B101)-1&lt;=Feiertage!$C$8, Feiertage!$B$8+ROW(B101)-1, "")</f>
        <v/>
      </c>
      <c r="G103" s="1" t="str">
        <f>IF(Feiertage!$B$9+ROW(B101)-1&lt;=Feiertage!$C$9, Feiertage!$B$9+ROW(B101)-1, "")</f>
        <v/>
      </c>
      <c r="H103" s="1" t="str">
        <f>IF(Feiertage!$B$10+ROW(B101)-1&lt;=Feiertage!$C$10, Feiertage!$B$10+ROW(B101)-1, "")</f>
        <v/>
      </c>
      <c r="I103" s="1" t="str">
        <f>IF(Feiertage!$B$11+ROW(B101)-1&lt;=Feiertage!$C$11, Feiertage!$B$11+ROW(B101)-1, "")</f>
        <v/>
      </c>
      <c r="J103" s="1" t="str">
        <f>IF(Feiertage!$B$12+ROW(B101)-1&lt;=Feiertage!$C$12, Feiertage!$B$12+ROW(B101)-1, "")</f>
        <v/>
      </c>
      <c r="K103" s="1" t="str">
        <f>IF(Feiertage!$B$13+ROW(B101)-1&lt;=Feiertage!$C$13, Feiertage!$B$13+ROW(B101)-1, "")</f>
        <v/>
      </c>
      <c r="L103" s="1" t="str">
        <f>IF(Feiertage!$B$14+ROW(B101)-1&lt;=Feiertage!$C$14, Feiertage!$B$14+ROW(B101)-1, "")</f>
        <v/>
      </c>
      <c r="M103" s="1" t="str">
        <f>IF(Feiertage!$B$15+ROW(B101)-1&lt;=Feiertage!$C$15, Feiertage!$B$15+ROW(B101)-1, "")</f>
        <v/>
      </c>
      <c r="N103" s="1" t="str">
        <f>IF(Feiertage!$B$16+ROW(B101)-1&lt;=Feiertage!$C$16, Feiertage!$B$16+ROW(B101)-1, "")</f>
        <v/>
      </c>
      <c r="O103" s="1" t="str">
        <f>IF(Feiertage!$B$17+ROW(B101)-1&lt;=Feiertage!$C$17, Feiertage!$B$17+ROW(B101)-1, "")</f>
        <v/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x14ac:dyDescent="0.3">
      <c r="A104" s="1" t="str">
        <f>IF(Feiertage!$B$3+ROW(A102)-1&lt;=Feiertage!$C$3, Feiertage!$B$3+ROW(A102)-1, "")</f>
        <v/>
      </c>
      <c r="B104" s="1" t="str">
        <f>IF(Feiertage!$B$4+ROW(B102)-1&lt;=Feiertage!$C$4, Feiertage!$B$4+ROW(B102)-1, "")</f>
        <v/>
      </c>
      <c r="C104" s="1" t="str">
        <f>IF(Feiertage!$B$5+ROW(B102)-1&lt;=Feiertage!$C$5, Feiertage!$B$5+ROW(B102)-1, "")</f>
        <v/>
      </c>
      <c r="D104" s="1" t="str">
        <f>IF(Feiertage!$B$6+ROW(B102)-1&lt;=Feiertage!$C$6, Feiertage!$B$6+ROW(B102)-1, "")</f>
        <v/>
      </c>
      <c r="E104" s="1" t="str">
        <f>IF(Feiertage!$B$7+ROW(B102)-1&lt;=Feiertage!$C$7, Feiertage!$B$7+ROW(B102)-1, "")</f>
        <v/>
      </c>
      <c r="F104" s="1" t="str">
        <f>IF(Feiertage!$B$8+ROW(B102)-1&lt;=Feiertage!$C$8, Feiertage!$B$8+ROW(B102)-1, "")</f>
        <v/>
      </c>
      <c r="G104" s="1" t="str">
        <f>IF(Feiertage!$B$9+ROW(B102)-1&lt;=Feiertage!$C$9, Feiertage!$B$9+ROW(B102)-1, "")</f>
        <v/>
      </c>
      <c r="H104" s="1" t="str">
        <f>IF(Feiertage!$B$10+ROW(B102)-1&lt;=Feiertage!$C$10, Feiertage!$B$10+ROW(B102)-1, "")</f>
        <v/>
      </c>
      <c r="I104" s="1" t="str">
        <f>IF(Feiertage!$B$11+ROW(B102)-1&lt;=Feiertage!$C$11, Feiertage!$B$11+ROW(B102)-1, "")</f>
        <v/>
      </c>
      <c r="J104" s="1" t="str">
        <f>IF(Feiertage!$B$12+ROW(B102)-1&lt;=Feiertage!$C$12, Feiertage!$B$12+ROW(B102)-1, "")</f>
        <v/>
      </c>
      <c r="K104" s="1" t="str">
        <f>IF(Feiertage!$B$13+ROW(B102)-1&lt;=Feiertage!$C$13, Feiertage!$B$13+ROW(B102)-1, "")</f>
        <v/>
      </c>
      <c r="L104" s="1" t="str">
        <f>IF(Feiertage!$B$14+ROW(B102)-1&lt;=Feiertage!$C$14, Feiertage!$B$14+ROW(B102)-1, "")</f>
        <v/>
      </c>
      <c r="M104" s="1" t="str">
        <f>IF(Feiertage!$B$15+ROW(B102)-1&lt;=Feiertage!$C$15, Feiertage!$B$15+ROW(B102)-1, "")</f>
        <v/>
      </c>
      <c r="N104" s="1" t="str">
        <f>IF(Feiertage!$B$16+ROW(B102)-1&lt;=Feiertage!$C$16, Feiertage!$B$16+ROW(B102)-1, "")</f>
        <v/>
      </c>
      <c r="O104" s="1" t="str">
        <f>IF(Feiertage!$B$17+ROW(B102)-1&lt;=Feiertage!$C$17, Feiertage!$B$17+ROW(B102)-1, "")</f>
        <v/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x14ac:dyDescent="0.3">
      <c r="A105" s="1" t="str">
        <f>IF(Feiertage!$B$3+ROW(A103)-1&lt;=Feiertage!$C$3, Feiertage!$B$3+ROW(A103)-1, "")</f>
        <v/>
      </c>
      <c r="B105" s="1" t="str">
        <f>IF(Feiertage!$B$4+ROW(B103)-1&lt;=Feiertage!$C$4, Feiertage!$B$4+ROW(B103)-1, "")</f>
        <v/>
      </c>
      <c r="C105" s="1" t="str">
        <f>IF(Feiertage!$B$5+ROW(B103)-1&lt;=Feiertage!$C$5, Feiertage!$B$5+ROW(B103)-1, "")</f>
        <v/>
      </c>
      <c r="D105" s="1" t="str">
        <f>IF(Feiertage!$B$6+ROW(B103)-1&lt;=Feiertage!$C$6, Feiertage!$B$6+ROW(B103)-1, "")</f>
        <v/>
      </c>
      <c r="E105" s="1" t="str">
        <f>IF(Feiertage!$B$7+ROW(B103)-1&lt;=Feiertage!$C$7, Feiertage!$B$7+ROW(B103)-1, "")</f>
        <v/>
      </c>
      <c r="F105" s="1" t="str">
        <f>IF(Feiertage!$B$8+ROW(B103)-1&lt;=Feiertage!$C$8, Feiertage!$B$8+ROW(B103)-1, "")</f>
        <v/>
      </c>
      <c r="G105" s="1" t="str">
        <f>IF(Feiertage!$B$9+ROW(B103)-1&lt;=Feiertage!$C$9, Feiertage!$B$9+ROW(B103)-1, "")</f>
        <v/>
      </c>
      <c r="H105" s="1" t="str">
        <f>IF(Feiertage!$B$10+ROW(B103)-1&lt;=Feiertage!$C$10, Feiertage!$B$10+ROW(B103)-1, "")</f>
        <v/>
      </c>
      <c r="I105" s="1" t="str">
        <f>IF(Feiertage!$B$11+ROW(B103)-1&lt;=Feiertage!$C$11, Feiertage!$B$11+ROW(B103)-1, "")</f>
        <v/>
      </c>
      <c r="J105" s="1" t="str">
        <f>IF(Feiertage!$B$12+ROW(B103)-1&lt;=Feiertage!$C$12, Feiertage!$B$12+ROW(B103)-1, "")</f>
        <v/>
      </c>
      <c r="K105" s="1" t="str">
        <f>IF(Feiertage!$B$13+ROW(B103)-1&lt;=Feiertage!$C$13, Feiertage!$B$13+ROW(B103)-1, "")</f>
        <v/>
      </c>
      <c r="L105" s="1" t="str">
        <f>IF(Feiertage!$B$14+ROW(B103)-1&lt;=Feiertage!$C$14, Feiertage!$B$14+ROW(B103)-1, "")</f>
        <v/>
      </c>
      <c r="M105" s="1" t="str">
        <f>IF(Feiertage!$B$15+ROW(B103)-1&lt;=Feiertage!$C$15, Feiertage!$B$15+ROW(B103)-1, "")</f>
        <v/>
      </c>
      <c r="N105" s="1" t="str">
        <f>IF(Feiertage!$B$16+ROW(B103)-1&lt;=Feiertage!$C$16, Feiertage!$B$16+ROW(B103)-1, "")</f>
        <v/>
      </c>
      <c r="O105" s="1" t="str">
        <f>IF(Feiertage!$B$17+ROW(B103)-1&lt;=Feiertage!$C$17, Feiertage!$B$17+ROW(B103)-1, "")</f>
        <v/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x14ac:dyDescent="0.3">
      <c r="A106" s="1" t="str">
        <f>IF(Feiertage!$B$3+ROW(A104)-1&lt;=Feiertage!$C$3, Feiertage!$B$3+ROW(A104)-1, "")</f>
        <v/>
      </c>
      <c r="B106" s="1" t="str">
        <f>IF(Feiertage!$B$4+ROW(B104)-1&lt;=Feiertage!$C$4, Feiertage!$B$4+ROW(B104)-1, "")</f>
        <v/>
      </c>
      <c r="C106" s="1" t="str">
        <f>IF(Feiertage!$B$5+ROW(B104)-1&lt;=Feiertage!$C$5, Feiertage!$B$5+ROW(B104)-1, "")</f>
        <v/>
      </c>
      <c r="D106" s="1" t="str">
        <f>IF(Feiertage!$B$6+ROW(B104)-1&lt;=Feiertage!$C$6, Feiertage!$B$6+ROW(B104)-1, "")</f>
        <v/>
      </c>
      <c r="E106" s="1" t="str">
        <f>IF(Feiertage!$B$7+ROW(B104)-1&lt;=Feiertage!$C$7, Feiertage!$B$7+ROW(B104)-1, "")</f>
        <v/>
      </c>
      <c r="F106" s="1" t="str">
        <f>IF(Feiertage!$B$8+ROW(B104)-1&lt;=Feiertage!$C$8, Feiertage!$B$8+ROW(B104)-1, "")</f>
        <v/>
      </c>
      <c r="G106" s="1" t="str">
        <f>IF(Feiertage!$B$9+ROW(B104)-1&lt;=Feiertage!$C$9, Feiertage!$B$9+ROW(B104)-1, "")</f>
        <v/>
      </c>
      <c r="H106" s="1" t="str">
        <f>IF(Feiertage!$B$10+ROW(B104)-1&lt;=Feiertage!$C$10, Feiertage!$B$10+ROW(B104)-1, "")</f>
        <v/>
      </c>
      <c r="I106" s="1" t="str">
        <f>IF(Feiertage!$B$11+ROW(B104)-1&lt;=Feiertage!$C$11, Feiertage!$B$11+ROW(B104)-1, "")</f>
        <v/>
      </c>
      <c r="J106" s="1" t="str">
        <f>IF(Feiertage!$B$12+ROW(B104)-1&lt;=Feiertage!$C$12, Feiertage!$B$12+ROW(B104)-1, "")</f>
        <v/>
      </c>
      <c r="K106" s="1" t="str">
        <f>IF(Feiertage!$B$13+ROW(B104)-1&lt;=Feiertage!$C$13, Feiertage!$B$13+ROW(B104)-1, "")</f>
        <v/>
      </c>
      <c r="L106" s="1" t="str">
        <f>IF(Feiertage!$B$14+ROW(B104)-1&lt;=Feiertage!$C$14, Feiertage!$B$14+ROW(B104)-1, "")</f>
        <v/>
      </c>
      <c r="M106" s="1" t="str">
        <f>IF(Feiertage!$B$15+ROW(B104)-1&lt;=Feiertage!$C$15, Feiertage!$B$15+ROW(B104)-1, "")</f>
        <v/>
      </c>
      <c r="N106" s="1" t="str">
        <f>IF(Feiertage!$B$16+ROW(B104)-1&lt;=Feiertage!$C$16, Feiertage!$B$16+ROW(B104)-1, "")</f>
        <v/>
      </c>
      <c r="O106" s="1" t="str">
        <f>IF(Feiertage!$B$17+ROW(B104)-1&lt;=Feiertage!$C$17, Feiertage!$B$17+ROW(B104)-1, "")</f>
        <v/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x14ac:dyDescent="0.3">
      <c r="A107" s="1" t="str">
        <f>IF(Feiertage!$B$3+ROW(A105)-1&lt;=Feiertage!$C$3, Feiertage!$B$3+ROW(A105)-1, "")</f>
        <v/>
      </c>
      <c r="B107" s="1" t="str">
        <f>IF(Feiertage!$B$4+ROW(B105)-1&lt;=Feiertage!$C$4, Feiertage!$B$4+ROW(B105)-1, "")</f>
        <v/>
      </c>
      <c r="C107" s="1" t="str">
        <f>IF(Feiertage!$B$5+ROW(B105)-1&lt;=Feiertage!$C$5, Feiertage!$B$5+ROW(B105)-1, "")</f>
        <v/>
      </c>
      <c r="D107" s="1" t="str">
        <f>IF(Feiertage!$B$6+ROW(B105)-1&lt;=Feiertage!$C$6, Feiertage!$B$6+ROW(B105)-1, "")</f>
        <v/>
      </c>
      <c r="E107" s="1" t="str">
        <f>IF(Feiertage!$B$7+ROW(B105)-1&lt;=Feiertage!$C$7, Feiertage!$B$7+ROW(B105)-1, "")</f>
        <v/>
      </c>
      <c r="F107" s="1" t="str">
        <f>IF(Feiertage!$B$8+ROW(B105)-1&lt;=Feiertage!$C$8, Feiertage!$B$8+ROW(B105)-1, "")</f>
        <v/>
      </c>
      <c r="G107" s="1" t="str">
        <f>IF(Feiertage!$B$9+ROW(B105)-1&lt;=Feiertage!$C$9, Feiertage!$B$9+ROW(B105)-1, "")</f>
        <v/>
      </c>
      <c r="H107" s="1" t="str">
        <f>IF(Feiertage!$B$10+ROW(B105)-1&lt;=Feiertage!$C$10, Feiertage!$B$10+ROW(B105)-1, "")</f>
        <v/>
      </c>
      <c r="I107" s="1" t="str">
        <f>IF(Feiertage!$B$11+ROW(B105)-1&lt;=Feiertage!$C$11, Feiertage!$B$11+ROW(B105)-1, "")</f>
        <v/>
      </c>
      <c r="J107" s="1" t="str">
        <f>IF(Feiertage!$B$12+ROW(B105)-1&lt;=Feiertage!$C$12, Feiertage!$B$12+ROW(B105)-1, "")</f>
        <v/>
      </c>
      <c r="K107" s="1" t="str">
        <f>IF(Feiertage!$B$13+ROW(B105)-1&lt;=Feiertage!$C$13, Feiertage!$B$13+ROW(B105)-1, "")</f>
        <v/>
      </c>
      <c r="L107" s="1" t="str">
        <f>IF(Feiertage!$B$14+ROW(B105)-1&lt;=Feiertage!$C$14, Feiertage!$B$14+ROW(B105)-1, "")</f>
        <v/>
      </c>
      <c r="M107" s="1" t="str">
        <f>IF(Feiertage!$B$15+ROW(B105)-1&lt;=Feiertage!$C$15, Feiertage!$B$15+ROW(B105)-1, "")</f>
        <v/>
      </c>
      <c r="N107" s="1" t="str">
        <f>IF(Feiertage!$B$16+ROW(B105)-1&lt;=Feiertage!$C$16, Feiertage!$B$16+ROW(B105)-1, "")</f>
        <v/>
      </c>
      <c r="O107" s="1" t="str">
        <f>IF(Feiertage!$B$17+ROW(B105)-1&lt;=Feiertage!$C$17, Feiertage!$B$17+ROW(B105)-1, "")</f>
        <v/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x14ac:dyDescent="0.3">
      <c r="A108" s="1" t="str">
        <f>IF(Feiertage!$B$3+ROW(A106)-1&lt;=Feiertage!$C$3, Feiertage!$B$3+ROW(A106)-1, "")</f>
        <v/>
      </c>
      <c r="B108" s="1" t="str">
        <f>IF(Feiertage!$B$4+ROW(B106)-1&lt;=Feiertage!$C$4, Feiertage!$B$4+ROW(B106)-1, "")</f>
        <v/>
      </c>
      <c r="C108" s="1" t="str">
        <f>IF(Feiertage!$B$5+ROW(B106)-1&lt;=Feiertage!$C$5, Feiertage!$B$5+ROW(B106)-1, "")</f>
        <v/>
      </c>
      <c r="D108" s="1" t="str">
        <f>IF(Feiertage!$B$6+ROW(B106)-1&lt;=Feiertage!$C$6, Feiertage!$B$6+ROW(B106)-1, "")</f>
        <v/>
      </c>
      <c r="E108" s="1" t="str">
        <f>IF(Ferien!$B$7+ROW(B106)-1&lt;=Ferien!$C$7, Ferien!$B$7+ROW(B106)-1, "")</f>
        <v/>
      </c>
      <c r="F108" s="1" t="str">
        <f>IF(Feiertage!$B$8+ROW(B106)-1&lt;=Feiertage!$C$8, Feiertage!$B$8+ROW(B106)-1, "")</f>
        <v/>
      </c>
      <c r="G108" s="1" t="str">
        <f>IF(Feiertage!$B$9+ROW(B106)-1&lt;=Feiertage!$C$9, Feiertage!$B$9+ROW(B106)-1, "")</f>
        <v/>
      </c>
      <c r="H108" s="1" t="str">
        <f>IF(Feiertage!$B$10+ROW(B106)-1&lt;=Feiertage!$C$10, Feiertage!$B$10+ROW(B106)-1, "")</f>
        <v/>
      </c>
      <c r="I108" s="1" t="str">
        <f>IF(Feiertage!$B$11+ROW(B106)-1&lt;=Feiertage!$C$11, Feiertage!$B$11+ROW(B106)-1, "")</f>
        <v/>
      </c>
      <c r="J108" s="1" t="str">
        <f>IF(Feiertage!$B$12+ROW(B106)-1&lt;=Feiertage!$C$12, Feiertage!$B$12+ROW(B106)-1, "")</f>
        <v/>
      </c>
      <c r="K108" s="1" t="str">
        <f>IF(Feiertage!$B$13+ROW(B106)-1&lt;=Feiertage!$C$13, Feiertage!$B$13+ROW(B106)-1, "")</f>
        <v/>
      </c>
      <c r="L108" s="1" t="str">
        <f>IF(Feiertage!$B$14+ROW(B106)-1&lt;=Feiertage!$C$14, Feiertage!$B$14+ROW(B106)-1, "")</f>
        <v/>
      </c>
      <c r="M108" s="1" t="str">
        <f>IF(Feiertage!$B$15+ROW(B106)-1&lt;=Feiertage!$C$15, Feiertage!$B$15+ROW(B106)-1, "")</f>
        <v/>
      </c>
      <c r="N108" s="1" t="str">
        <f>IF(Feiertage!$B$16+ROW(B106)-1&lt;=Feiertage!$C$16, Feiertage!$B$16+ROW(B106)-1, "")</f>
        <v/>
      </c>
      <c r="O108" s="1" t="str">
        <f>IF(Feiertage!$B$17+ROW(B106)-1&lt;=Feiertage!$C$17, Feiertage!$B$17+ROW(B106)-1, "")</f>
        <v/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x14ac:dyDescent="0.3">
      <c r="A109" s="1" t="str">
        <f>IF(Feiertage!$B$3+ROW(A107)-1&lt;=Feiertage!$C$3, Feiertage!$B$3+ROW(A107)-1, "")</f>
        <v/>
      </c>
      <c r="B109" s="1" t="str">
        <f>IF(Feiertage!$B$4+ROW(B107)-1&lt;=Feiertage!$C$4, Feiertage!$B$4+ROW(B107)-1, "")</f>
        <v/>
      </c>
      <c r="C109" s="1" t="str">
        <f>IF(Feiertage!$B$5+ROW(B107)-1&lt;=Feiertage!$C$5, Feiertage!$B$5+ROW(B107)-1, "")</f>
        <v/>
      </c>
      <c r="D109" s="1" t="str">
        <f>IF(Feiertage!$B$6+ROW(B107)-1&lt;=Feiertage!$C$6, Feiertage!$B$6+ROW(B107)-1, "")</f>
        <v/>
      </c>
      <c r="E109" s="1" t="str">
        <f>IF(Ferien!$B$7+ROW(B107)-1&lt;=Ferien!$C$7, Ferien!$B$7+ROW(B107)-1, "")</f>
        <v/>
      </c>
      <c r="F109" s="1" t="str">
        <f>IF(Feiertage!$B$8+ROW(B107)-1&lt;=Feiertage!$C$8, Feiertage!$B$8+ROW(B107)-1, "")</f>
        <v/>
      </c>
      <c r="G109" s="1" t="str">
        <f>IF(Feiertage!$B$9+ROW(B107)-1&lt;=Feiertage!$C$9, Feiertage!$B$9+ROW(B107)-1, "")</f>
        <v/>
      </c>
      <c r="H109" s="1" t="str">
        <f>IF(Feiertage!$B$10+ROW(B107)-1&lt;=Feiertage!$C$10, Feiertage!$B$10+ROW(B107)-1, "")</f>
        <v/>
      </c>
      <c r="I109" s="1" t="str">
        <f>IF(Feiertage!$B$11+ROW(B107)-1&lt;=Feiertage!$C$11, Feiertage!$B$11+ROW(B107)-1, "")</f>
        <v/>
      </c>
      <c r="J109" s="1" t="str">
        <f>IF(Feiertage!$B$12+ROW(B107)-1&lt;=Feiertage!$C$12, Feiertage!$B$12+ROW(B107)-1, "")</f>
        <v/>
      </c>
      <c r="K109" s="1" t="str">
        <f>IF(Feiertage!$B$13+ROW(B107)-1&lt;=Feiertage!$C$13, Feiertage!$B$13+ROW(B107)-1, "")</f>
        <v/>
      </c>
      <c r="L109" s="1" t="str">
        <f>IF(Feiertage!$B$14+ROW(B107)-1&lt;=Feiertage!$C$14, Feiertage!$B$14+ROW(B107)-1, "")</f>
        <v/>
      </c>
      <c r="M109" s="1" t="str">
        <f>IF(Feiertage!$B$15+ROW(B107)-1&lt;=Feiertage!$C$15, Feiertage!$B$15+ROW(B107)-1, "")</f>
        <v/>
      </c>
      <c r="N109" s="1" t="str">
        <f>IF(Feiertage!$B$16+ROW(B107)-1&lt;=Feiertage!$C$16, Feiertage!$B$16+ROW(B107)-1, "")</f>
        <v/>
      </c>
      <c r="O109" s="1" t="str">
        <f>IF(Feiertage!$B$17+ROW(B107)-1&lt;=Feiertage!$C$17, Feiertage!$B$17+ROW(B107)-1, "")</f>
        <v/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x14ac:dyDescent="0.3">
      <c r="A110" s="1" t="str">
        <f>IF(Feiertage!$B$3+ROW(A108)-1&lt;=Feiertage!$C$3, Feiertage!$B$3+ROW(A108)-1, "")</f>
        <v/>
      </c>
      <c r="B110" s="1" t="str">
        <f>IF(Feiertage!$B$4+ROW(B108)-1&lt;=Feiertage!$C$4, Feiertage!$B$4+ROW(B108)-1, "")</f>
        <v/>
      </c>
      <c r="C110" s="1" t="str">
        <f>IF(Feiertage!$B$5+ROW(B108)-1&lt;=Feiertage!$C$5, Feiertage!$B$5+ROW(B108)-1, "")</f>
        <v/>
      </c>
      <c r="D110" s="1" t="str">
        <f>IF(Feiertage!$B$6+ROW(B108)-1&lt;=Feiertage!$C$6, Feiertage!$B$6+ROW(B108)-1, "")</f>
        <v/>
      </c>
      <c r="E110" s="1" t="str">
        <f>IF(Ferien!$B$7+ROW(B108)-1&lt;=Ferien!$C$7, Ferien!$B$7+ROW(B108)-1, "")</f>
        <v/>
      </c>
      <c r="F110" s="1" t="str">
        <f>IF(Feiertage!$B$8+ROW(B108)-1&lt;=Feiertage!$C$8, Feiertage!$B$8+ROW(B108)-1, "")</f>
        <v/>
      </c>
      <c r="G110" s="1" t="str">
        <f>IF(Feiertage!$B$9+ROW(B108)-1&lt;=Feiertage!$C$9, Feiertage!$B$9+ROW(B108)-1, "")</f>
        <v/>
      </c>
      <c r="H110" s="1" t="str">
        <f>IF(Feiertage!$B$10+ROW(B108)-1&lt;=Feiertage!$C$10, Feiertage!$B$10+ROW(B108)-1, "")</f>
        <v/>
      </c>
      <c r="I110" s="1" t="str">
        <f>IF(Feiertage!$B$11+ROW(B108)-1&lt;=Feiertage!$C$11, Feiertage!$B$11+ROW(B108)-1, "")</f>
        <v/>
      </c>
      <c r="J110" s="1" t="str">
        <f>IF(Feiertage!$B$12+ROW(B108)-1&lt;=Feiertage!$C$12, Feiertage!$B$12+ROW(B108)-1, "")</f>
        <v/>
      </c>
      <c r="K110" s="1" t="str">
        <f>IF(Feiertage!$B$13+ROW(B108)-1&lt;=Feiertage!$C$13, Feiertage!$B$13+ROW(B108)-1, "")</f>
        <v/>
      </c>
      <c r="L110" s="1" t="str">
        <f>IF(Feiertage!$B$14+ROW(B108)-1&lt;=Feiertage!$C$14, Feiertage!$B$14+ROW(B108)-1, "")</f>
        <v/>
      </c>
      <c r="M110" s="1" t="str">
        <f>IF(Feiertage!$B$15+ROW(B108)-1&lt;=Feiertage!$C$15, Feiertage!$B$15+ROW(B108)-1, "")</f>
        <v/>
      </c>
      <c r="N110" s="1" t="str">
        <f>IF(Feiertage!$B$16+ROW(B108)-1&lt;=Feiertage!$C$16, Feiertage!$B$16+ROW(B108)-1, "")</f>
        <v/>
      </c>
      <c r="O110" s="1" t="str">
        <f>IF(Feiertage!$B$17+ROW(B108)-1&lt;=Feiertage!$C$17, Feiertage!$B$17+ROW(B108)-1, "")</f>
        <v/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x14ac:dyDescent="0.3">
      <c r="A111" s="1" t="str">
        <f>IF(Feiertage!$B$3+ROW(A109)-1&lt;=Feiertage!$C$3, Feiertage!$B$3+ROW(A109)-1, "")</f>
        <v/>
      </c>
      <c r="B111" s="1" t="str">
        <f>IF(Feiertage!$B$4+ROW(B109)-1&lt;=Feiertage!$C$4, Feiertage!$B$4+ROW(B109)-1, "")</f>
        <v/>
      </c>
      <c r="C111" s="1" t="str">
        <f>IF(Feiertage!$B$5+ROW(B109)-1&lt;=Feiertage!$C$5, Feiertage!$B$5+ROW(B109)-1, "")</f>
        <v/>
      </c>
      <c r="D111" s="1" t="str">
        <f>IF(Feiertage!$B$6+ROW(B109)-1&lt;=Feiertage!$C$6, Feiertage!$B$6+ROW(B109)-1, "")</f>
        <v/>
      </c>
      <c r="E111" s="1" t="str">
        <f>IF(Ferien!$B$7+ROW(B109)-1&lt;=Ferien!$C$7, Ferien!$B$7+ROW(B109)-1, "")</f>
        <v/>
      </c>
      <c r="F111" s="1" t="str">
        <f>IF(Feiertage!$B$8+ROW(B109)-1&lt;=Feiertage!$C$8, Feiertage!$B$8+ROW(B109)-1, "")</f>
        <v/>
      </c>
      <c r="G111" s="1" t="str">
        <f>IF(Feiertage!$B$9+ROW(B109)-1&lt;=Feiertage!$C$9, Feiertage!$B$9+ROW(B109)-1, "")</f>
        <v/>
      </c>
      <c r="H111" s="1" t="str">
        <f>IF(Feiertage!$B$10+ROW(B109)-1&lt;=Feiertage!$C$10, Feiertage!$B$10+ROW(B109)-1, "")</f>
        <v/>
      </c>
      <c r="I111" s="1" t="str">
        <f>IF(Feiertage!$B$11+ROW(B109)-1&lt;=Feiertage!$C$11, Feiertage!$B$11+ROW(B109)-1, "")</f>
        <v/>
      </c>
      <c r="J111" s="1" t="str">
        <f>IF(Feiertage!$B$12+ROW(B109)-1&lt;=Feiertage!$C$12, Feiertage!$B$12+ROW(B109)-1, "")</f>
        <v/>
      </c>
      <c r="K111" s="1" t="str">
        <f>IF(Feiertage!$B$13+ROW(B109)-1&lt;=Feiertage!$C$13, Feiertage!$B$13+ROW(B109)-1, "")</f>
        <v/>
      </c>
      <c r="L111" s="1" t="str">
        <f>IF(Feiertage!$B$14+ROW(B109)-1&lt;=Feiertage!$C$14, Feiertage!$B$14+ROW(B109)-1, "")</f>
        <v/>
      </c>
      <c r="M111" s="1" t="str">
        <f>IF(Feiertage!$B$15+ROW(B109)-1&lt;=Feiertage!$C$15, Feiertage!$B$15+ROW(B109)-1, "")</f>
        <v/>
      </c>
      <c r="N111" s="1" t="str">
        <f>IF(Feiertage!$B$16+ROW(B109)-1&lt;=Feiertage!$C$16, Feiertage!$B$16+ROW(B109)-1, "")</f>
        <v/>
      </c>
      <c r="O111" s="1" t="str">
        <f>IF(Feiertage!$B$17+ROW(B109)-1&lt;=Feiertage!$C$17, Feiertage!$B$17+ROW(B109)-1, "")</f>
        <v/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x14ac:dyDescent="0.3">
      <c r="A112" s="1" t="str">
        <f>IF(Feiertage!$B$3+ROW(A110)-1&lt;=Feiertage!$C$3, Feiertage!$B$3+ROW(A110)-1, "")</f>
        <v/>
      </c>
      <c r="B112" s="1" t="str">
        <f>IF(Feiertage!$B$4+ROW(B110)-1&lt;=Feiertage!$C$4, Feiertage!$B$4+ROW(B110)-1, "")</f>
        <v/>
      </c>
      <c r="C112" s="1" t="str">
        <f>IF(Feiertage!$B$5+ROW(B110)-1&lt;=Feiertage!$C$5, Feiertage!$B$5+ROW(B110)-1, "")</f>
        <v/>
      </c>
      <c r="D112" s="1" t="str">
        <f>IF(Feiertage!$B$6+ROW(B110)-1&lt;=Feiertage!$C$6, Feiertage!$B$6+ROW(B110)-1, "")</f>
        <v/>
      </c>
      <c r="E112" s="1" t="str">
        <f>IF(Ferien!$B$7+ROW(B110)-1&lt;=Ferien!$C$7, Ferien!$B$7+ROW(B110)-1, "")</f>
        <v/>
      </c>
      <c r="F112" s="1" t="str">
        <f>IF(Feiertage!$B$8+ROW(B110)-1&lt;=Feiertage!$C$8, Feiertage!$B$8+ROW(B110)-1, "")</f>
        <v/>
      </c>
      <c r="G112" s="1" t="str">
        <f>IF(Feiertage!$B$9+ROW(B110)-1&lt;=Feiertage!$C$9, Feiertage!$B$9+ROW(B110)-1, "")</f>
        <v/>
      </c>
      <c r="H112" s="1" t="str">
        <f>IF(Feiertage!$B$10+ROW(B110)-1&lt;=Feiertage!$C$10, Feiertage!$B$10+ROW(B110)-1, "")</f>
        <v/>
      </c>
      <c r="I112" s="1" t="str">
        <f>IF(Feiertage!$B$11+ROW(B110)-1&lt;=Feiertage!$C$11, Feiertage!$B$11+ROW(B110)-1, "")</f>
        <v/>
      </c>
      <c r="J112" s="1" t="str">
        <f>IF(Feiertage!$B$12+ROW(B110)-1&lt;=Feiertage!$C$12, Feiertage!$B$12+ROW(B110)-1, "")</f>
        <v/>
      </c>
      <c r="K112" s="1" t="str">
        <f>IF(Feiertage!$B$13+ROW(B110)-1&lt;=Feiertage!$C$13, Feiertage!$B$13+ROW(B110)-1, "")</f>
        <v/>
      </c>
      <c r="L112" s="1" t="str">
        <f>IF(Feiertage!$B$14+ROW(B110)-1&lt;=Feiertage!$C$14, Feiertage!$B$14+ROW(B110)-1, "")</f>
        <v/>
      </c>
      <c r="M112" s="1" t="str">
        <f>IF(Feiertage!$B$15+ROW(B110)-1&lt;=Feiertage!$C$15, Feiertage!$B$15+ROW(B110)-1, "")</f>
        <v/>
      </c>
      <c r="N112" s="1" t="str">
        <f>IF(Feiertage!$B$16+ROW(B110)-1&lt;=Feiertage!$C$16, Feiertage!$B$16+ROW(B110)-1, "")</f>
        <v/>
      </c>
      <c r="O112" s="1" t="str">
        <f>IF(Feiertage!$B$17+ROW(B110)-1&lt;=Feiertage!$C$17, Feiertage!$B$17+ROW(B110)-1, "")</f>
        <v/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3">
      <c r="A113" s="1" t="str">
        <f>IF(Feiertage!$B$3+ROW(A111)-1&lt;=Feiertage!$C$3, Feiertage!$B$3+ROW(A111)-1, "")</f>
        <v/>
      </c>
      <c r="B113" s="1" t="str">
        <f>IF(Feiertage!$B$4+ROW(B111)-1&lt;=Feiertage!$C$4, Feiertage!$B$4+ROW(B111)-1, "")</f>
        <v/>
      </c>
      <c r="C113" s="1" t="str">
        <f>IF(Feiertage!$B$5+ROW(B111)-1&lt;=Feiertage!$C$5, Feiertage!$B$5+ROW(B111)-1, "")</f>
        <v/>
      </c>
      <c r="D113" s="1" t="str">
        <f>IF(Feiertage!$B$6+ROW(B111)-1&lt;=Feiertage!$C$6, Feiertage!$B$6+ROW(B111)-1, "")</f>
        <v/>
      </c>
      <c r="E113" s="1" t="str">
        <f>IF(Ferien!$B$7+ROW(B111)-1&lt;=Ferien!$C$7, Ferien!$B$7+ROW(B111)-1, "")</f>
        <v/>
      </c>
      <c r="F113" s="1" t="str">
        <f>IF(Feiertage!$B$8+ROW(B111)-1&lt;=Feiertage!$C$8, Feiertage!$B$8+ROW(B111)-1, "")</f>
        <v/>
      </c>
      <c r="G113" s="1" t="str">
        <f>IF(Feiertage!$B$9+ROW(B111)-1&lt;=Feiertage!$C$9, Feiertage!$B$9+ROW(B111)-1, "")</f>
        <v/>
      </c>
      <c r="H113" s="1" t="str">
        <f>IF(Feiertage!$B$10+ROW(B111)-1&lt;=Feiertage!$C$10, Feiertage!$B$10+ROW(B111)-1, "")</f>
        <v/>
      </c>
      <c r="I113" s="1" t="str">
        <f>IF(Feiertage!$B$11+ROW(B111)-1&lt;=Feiertage!$C$11, Feiertage!$B$11+ROW(B111)-1, "")</f>
        <v/>
      </c>
      <c r="J113" s="1" t="str">
        <f>IF(Feiertage!$B$12+ROW(B111)-1&lt;=Feiertage!$C$12, Feiertage!$B$12+ROW(B111)-1, "")</f>
        <v/>
      </c>
      <c r="K113" s="1" t="str">
        <f>IF(Feiertage!$B$13+ROW(B111)-1&lt;=Feiertage!$C$13, Feiertage!$B$13+ROW(B111)-1, "")</f>
        <v/>
      </c>
      <c r="L113" s="1" t="str">
        <f>IF(Feiertage!$B$14+ROW(B111)-1&lt;=Feiertage!$C$14, Feiertage!$B$14+ROW(B111)-1, "")</f>
        <v/>
      </c>
      <c r="M113" s="1" t="str">
        <f>IF(Feiertage!$B$15+ROW(B111)-1&lt;=Feiertage!$C$15, Feiertage!$B$15+ROW(B111)-1, "")</f>
        <v/>
      </c>
      <c r="N113" s="1" t="str">
        <f>IF(Feiertage!$B$16+ROW(B111)-1&lt;=Feiertage!$C$16, Feiertage!$B$16+ROW(B111)-1, "")</f>
        <v/>
      </c>
      <c r="O113" s="1" t="str">
        <f>IF(Feiertage!$B$17+ROW(B111)-1&lt;=Feiertage!$C$17, Feiertage!$B$17+ROW(B111)-1, "")</f>
        <v/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x14ac:dyDescent="0.3">
      <c r="A114" s="1" t="str">
        <f>IF(Feiertage!$B$3+ROW(A112)-1&lt;=Feiertage!$C$3, Feiertage!$B$3+ROW(A112)-1, "")</f>
        <v/>
      </c>
      <c r="B114" s="1" t="str">
        <f>IF(Feiertage!$B$4+ROW(B112)-1&lt;=Feiertage!$C$4, Feiertage!$B$4+ROW(B112)-1, "")</f>
        <v/>
      </c>
      <c r="C114" s="1" t="str">
        <f>IF(Feiertage!$B$5+ROW(B112)-1&lt;=Feiertage!$C$5, Feiertage!$B$5+ROW(B112)-1, "")</f>
        <v/>
      </c>
      <c r="D114" s="1" t="str">
        <f>IF(Feiertage!$B$6+ROW(B112)-1&lt;=Feiertage!$C$6, Feiertage!$B$6+ROW(B112)-1, "")</f>
        <v/>
      </c>
      <c r="E114" s="1" t="str">
        <f>IF(Ferien!$B$7+ROW(B112)-1&lt;=Ferien!$C$7, Ferien!$B$7+ROW(B112)-1, "")</f>
        <v/>
      </c>
      <c r="F114" s="1" t="str">
        <f>IF(Feiertage!$B$8+ROW(B112)-1&lt;=Feiertage!$C$8, Feiertage!$B$8+ROW(B112)-1, "")</f>
        <v/>
      </c>
      <c r="G114" s="1" t="str">
        <f>IF(Feiertage!$B$9+ROW(B112)-1&lt;=Feiertage!$C$9, Feiertage!$B$9+ROW(B112)-1, "")</f>
        <v/>
      </c>
      <c r="H114" s="1" t="str">
        <f>IF(Feiertage!$B$10+ROW(B112)-1&lt;=Feiertage!$C$10, Feiertage!$B$10+ROW(B112)-1, "")</f>
        <v/>
      </c>
      <c r="I114" s="1" t="str">
        <f>IF(Feiertage!$B$11+ROW(B112)-1&lt;=Feiertage!$C$11, Feiertage!$B$11+ROW(B112)-1, "")</f>
        <v/>
      </c>
      <c r="J114" s="1" t="str">
        <f>IF(Feiertage!$B$12+ROW(B112)-1&lt;=Feiertage!$C$12, Feiertage!$B$12+ROW(B112)-1, "")</f>
        <v/>
      </c>
      <c r="K114" s="1" t="str">
        <f>IF(Feiertage!$B$13+ROW(B112)-1&lt;=Feiertage!$C$13, Feiertage!$B$13+ROW(B112)-1, "")</f>
        <v/>
      </c>
      <c r="L114" s="1" t="str">
        <f>IF(Feiertage!$B$14+ROW(B112)-1&lt;=Feiertage!$C$14, Feiertage!$B$14+ROW(B112)-1, "")</f>
        <v/>
      </c>
      <c r="M114" s="1" t="str">
        <f>IF(Feiertage!$B$15+ROW(B112)-1&lt;=Feiertage!$C$15, Feiertage!$B$15+ROW(B112)-1, "")</f>
        <v/>
      </c>
      <c r="N114" s="1" t="str">
        <f>IF(Feiertage!$B$16+ROW(B112)-1&lt;=Feiertage!$C$16, Feiertage!$B$16+ROW(B112)-1, "")</f>
        <v/>
      </c>
      <c r="O114" s="1" t="str">
        <f>IF(Feiertage!$B$17+ROW(B112)-1&lt;=Feiertage!$C$17, Feiertage!$B$17+ROW(B112)-1, "")</f>
        <v/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x14ac:dyDescent="0.3">
      <c r="A115" s="1" t="str">
        <f>IF(Feiertage!$B$3+ROW(A113)-1&lt;=Feiertage!$C$3, Feiertage!$B$3+ROW(A113)-1, "")</f>
        <v/>
      </c>
      <c r="B115" s="1" t="str">
        <f>IF(Feiertage!$B$4+ROW(B113)-1&lt;=Feiertage!$C$4, Feiertage!$B$4+ROW(B113)-1, "")</f>
        <v/>
      </c>
      <c r="C115" s="1" t="str">
        <f>IF(Feiertage!$B$5+ROW(B113)-1&lt;=Feiertage!$C$5, Feiertage!$B$5+ROW(B113)-1, "")</f>
        <v/>
      </c>
      <c r="D115" s="1" t="str">
        <f>IF(Feiertage!$B$6+ROW(B113)-1&lt;=Feiertage!$C$6, Feiertage!$B$6+ROW(B113)-1, "")</f>
        <v/>
      </c>
      <c r="E115" s="1" t="str">
        <f>IF(Ferien!$B$7+ROW(B113)-1&lt;=Ferien!$C$7, Ferien!$B$7+ROW(B113)-1, "")</f>
        <v/>
      </c>
      <c r="F115" s="1" t="str">
        <f>IF(Feiertage!$B$8+ROW(B113)-1&lt;=Feiertage!$C$8, Feiertage!$B$8+ROW(B113)-1, "")</f>
        <v/>
      </c>
      <c r="G115" s="1" t="str">
        <f>IF(Feiertage!$B$9+ROW(B113)-1&lt;=Feiertage!$C$9, Feiertage!$B$9+ROW(B113)-1, "")</f>
        <v/>
      </c>
      <c r="H115" s="1" t="str">
        <f>IF(Feiertage!$B$10+ROW(B113)-1&lt;=Feiertage!$C$10, Feiertage!$B$10+ROW(B113)-1, "")</f>
        <v/>
      </c>
      <c r="I115" s="1" t="str">
        <f>IF(Feiertage!$B$11+ROW(B113)-1&lt;=Feiertage!$C$11, Feiertage!$B$11+ROW(B113)-1, "")</f>
        <v/>
      </c>
      <c r="J115" s="1" t="str">
        <f>IF(Feiertage!$B$12+ROW(B113)-1&lt;=Feiertage!$C$12, Feiertage!$B$12+ROW(B113)-1, "")</f>
        <v/>
      </c>
      <c r="K115" s="1" t="str">
        <f>IF(Feiertage!$B$13+ROW(B113)-1&lt;=Feiertage!$C$13, Feiertage!$B$13+ROW(B113)-1, "")</f>
        <v/>
      </c>
      <c r="L115" s="1" t="str">
        <f>IF(Feiertage!$B$14+ROW(B113)-1&lt;=Feiertage!$C$14, Feiertage!$B$14+ROW(B113)-1, "")</f>
        <v/>
      </c>
      <c r="M115" s="1" t="str">
        <f>IF(Feiertage!$B$15+ROW(B113)-1&lt;=Feiertage!$C$15, Feiertage!$B$15+ROW(B113)-1, "")</f>
        <v/>
      </c>
      <c r="N115" s="1" t="str">
        <f>IF(Feiertage!$B$16+ROW(B113)-1&lt;=Feiertage!$C$16, Feiertage!$B$16+ROW(B113)-1, "")</f>
        <v/>
      </c>
      <c r="O115" s="1" t="str">
        <f>IF(Feiertage!$B$17+ROW(B113)-1&lt;=Feiertage!$C$17, Feiertage!$B$17+ROW(B113)-1, "")</f>
        <v/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3">
      <c r="A116" s="1" t="str">
        <f>IF(Feiertage!$B$3+ROW(A114)-1&lt;=Feiertage!$C$3, Feiertage!$B$3+ROW(A114)-1, "")</f>
        <v/>
      </c>
      <c r="B116" s="1" t="str">
        <f>IF(Feiertage!$B$4+ROW(B114)-1&lt;=Feiertage!$C$4, Feiertage!$B$4+ROW(B114)-1, "")</f>
        <v/>
      </c>
      <c r="C116" s="1" t="str">
        <f>IF(Feiertage!$B$5+ROW(B114)-1&lt;=Feiertage!$C$5, Feiertage!$B$5+ROW(B114)-1, "")</f>
        <v/>
      </c>
      <c r="D116" s="1" t="str">
        <f>IF(Feiertage!$B$6+ROW(B114)-1&lt;=Feiertage!$C$6, Feiertage!$B$6+ROW(B114)-1, "")</f>
        <v/>
      </c>
      <c r="E116" s="1" t="str">
        <f>IF(Ferien!$B$7+ROW(B114)-1&lt;=Ferien!$C$7, Ferien!$B$7+ROW(B114)-1, "")</f>
        <v/>
      </c>
      <c r="F116" s="1" t="str">
        <f>IF(Feiertage!$B$8+ROW(B114)-1&lt;=Feiertage!$C$8, Feiertage!$B$8+ROW(B114)-1, "")</f>
        <v/>
      </c>
      <c r="G116" s="1" t="str">
        <f>IF(Feiertage!$B$9+ROW(B114)-1&lt;=Feiertage!$C$9, Feiertage!$B$9+ROW(B114)-1, "")</f>
        <v/>
      </c>
      <c r="H116" s="1" t="str">
        <f>IF(Feiertage!$B$10+ROW(B114)-1&lt;=Feiertage!$C$10, Feiertage!$B$10+ROW(B114)-1, "")</f>
        <v/>
      </c>
      <c r="I116" s="1" t="str">
        <f>IF(Feiertage!$B$11+ROW(B114)-1&lt;=Feiertage!$C$11, Feiertage!$B$11+ROW(B114)-1, "")</f>
        <v/>
      </c>
      <c r="J116" s="1" t="str">
        <f>IF(Feiertage!$B$12+ROW(B114)-1&lt;=Feiertage!$C$12, Feiertage!$B$12+ROW(B114)-1, "")</f>
        <v/>
      </c>
      <c r="K116" s="1" t="str">
        <f>IF(Feiertage!$B$13+ROW(B114)-1&lt;=Feiertage!$C$13, Feiertage!$B$13+ROW(B114)-1, "")</f>
        <v/>
      </c>
      <c r="L116" s="1" t="str">
        <f>IF(Feiertage!$B$14+ROW(B114)-1&lt;=Feiertage!$C$14, Feiertage!$B$14+ROW(B114)-1, "")</f>
        <v/>
      </c>
      <c r="M116" s="1" t="str">
        <f>IF(Feiertage!$B$15+ROW(B114)-1&lt;=Feiertage!$C$15, Feiertage!$B$15+ROW(B114)-1, "")</f>
        <v/>
      </c>
      <c r="N116" s="1" t="str">
        <f>IF(Ferien!$B$16+ROW(B114)-1&lt;=Ferien!$C$16, Ferien!$B$16+ROW(B114)-1, "")</f>
        <v/>
      </c>
      <c r="O116" s="1" t="str">
        <f>IF(Feiertage!$B$17+ROW(B114)-1&lt;=Feiertage!$C$17, Feiertage!$B$17+ROW(B114)-1, "")</f>
        <v/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x14ac:dyDescent="0.3">
      <c r="A117" s="1" t="str">
        <f>IF(Feiertage!$B$3+ROW(A115)-1&lt;=Feiertage!$C$3, Feiertage!$B$3+ROW(A115)-1, "")</f>
        <v/>
      </c>
      <c r="B117" s="1" t="str">
        <f>IF(Feiertage!$B$4+ROW(B115)-1&lt;=Feiertage!$C$4, Feiertage!$B$4+ROW(B115)-1, "")</f>
        <v/>
      </c>
      <c r="C117" s="1" t="str">
        <f>IF(Feiertage!$B$5+ROW(B115)-1&lt;=Feiertage!$C$5, Feiertage!$B$5+ROW(B115)-1, "")</f>
        <v/>
      </c>
      <c r="D117" s="1" t="str">
        <f>IF(Feiertage!$B$6+ROW(B115)-1&lt;=Feiertage!$C$6, Feiertage!$B$6+ROW(B115)-1, "")</f>
        <v/>
      </c>
      <c r="E117" s="1" t="str">
        <f>IF(Ferien!$B$7+ROW(B115)-1&lt;=Ferien!$C$7, Ferien!$B$7+ROW(B115)-1, "")</f>
        <v/>
      </c>
      <c r="F117" s="1" t="str">
        <f>IF(Feiertage!$B$8+ROW(B115)-1&lt;=Feiertage!$C$8, Feiertage!$B$8+ROW(B115)-1, "")</f>
        <v/>
      </c>
      <c r="G117" s="1" t="str">
        <f>IF(Feiertage!$B$9+ROW(B115)-1&lt;=Feiertage!$C$9, Feiertage!$B$9+ROW(B115)-1, "")</f>
        <v/>
      </c>
      <c r="H117" s="1" t="str">
        <f>IF(Feiertage!$B$10+ROW(B115)-1&lt;=Feiertage!$C$10, Feiertage!$B$10+ROW(B115)-1, "")</f>
        <v/>
      </c>
      <c r="I117" s="1" t="str">
        <f>IF(Feiertage!$B$11+ROW(B115)-1&lt;=Feiertage!$C$11, Feiertage!$B$11+ROW(B115)-1, "")</f>
        <v/>
      </c>
      <c r="J117" s="1" t="str">
        <f>IF(Feiertage!$B$12+ROW(B115)-1&lt;=Feiertage!$C$12, Feiertage!$B$12+ROW(B115)-1, "")</f>
        <v/>
      </c>
      <c r="K117" s="1" t="str">
        <f>IF(Feiertage!$B$13+ROW(B115)-1&lt;=Feiertage!$C$13, Feiertage!$B$13+ROW(B115)-1, "")</f>
        <v/>
      </c>
      <c r="L117" s="1" t="str">
        <f>IF(Feiertage!$B$14+ROW(B115)-1&lt;=Feiertage!$C$14, Feiertage!$B$14+ROW(B115)-1, "")</f>
        <v/>
      </c>
      <c r="M117" s="1" t="str">
        <f>IF(Feiertage!$B$15+ROW(B115)-1&lt;=Feiertage!$C$15, Feiertage!$B$15+ROW(B115)-1, "")</f>
        <v/>
      </c>
      <c r="N117" s="1" t="str">
        <f>IF(Ferien!$B$16+ROW(B115)-1&lt;=Ferien!$C$16, Ferien!$B$16+ROW(B115)-1, "")</f>
        <v/>
      </c>
      <c r="O117" s="1" t="str">
        <f>IF(Feiertage!$B$17+ROW(B115)-1&lt;=Feiertage!$C$17, Feiertage!$B$17+ROW(B115)-1, "")</f>
        <v/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x14ac:dyDescent="0.3">
      <c r="A118" s="1" t="str">
        <f>IF(Feiertage!$B$3+ROW(A116)-1&lt;=Feiertage!$C$3, Feiertage!$B$3+ROW(A116)-1, "")</f>
        <v/>
      </c>
      <c r="B118" s="1" t="str">
        <f>IF(Feiertage!$B$4+ROW(B116)-1&lt;=Feiertage!$C$4, Feiertage!$B$4+ROW(B116)-1, "")</f>
        <v/>
      </c>
      <c r="C118" s="1" t="str">
        <f>IF(Feiertage!$B$5+ROW(B116)-1&lt;=Feiertage!$C$5, Feiertage!$B$5+ROW(B116)-1, "")</f>
        <v/>
      </c>
      <c r="D118" s="1" t="str">
        <f>IF(Feiertage!$B$6+ROW(B116)-1&lt;=Feiertage!$C$6, Feiertage!$B$6+ROW(B116)-1, "")</f>
        <v/>
      </c>
      <c r="E118" s="1" t="str">
        <f>IF(Ferien!$B$7+ROW(B116)-1&lt;=Ferien!$C$7, Ferien!$B$7+ROW(B116)-1, "")</f>
        <v/>
      </c>
      <c r="F118" s="1" t="str">
        <f>IF(Feiertage!$B$8+ROW(B116)-1&lt;=Feiertage!$C$8, Feiertage!$B$8+ROW(B116)-1, "")</f>
        <v/>
      </c>
      <c r="G118" s="1" t="str">
        <f>IF(Feiertage!$B$9+ROW(B116)-1&lt;=Feiertage!$C$9, Feiertage!$B$9+ROW(B116)-1, "")</f>
        <v/>
      </c>
      <c r="H118" s="1" t="str">
        <f>IF(Feiertage!$B$10+ROW(B116)-1&lt;=Feiertage!$C$10, Feiertage!$B$10+ROW(B116)-1, "")</f>
        <v/>
      </c>
      <c r="I118" s="1" t="str">
        <f>IF(Feiertage!$B$11+ROW(B116)-1&lt;=Feiertage!$C$11, Feiertage!$B$11+ROW(B116)-1, "")</f>
        <v/>
      </c>
      <c r="J118" s="1" t="str">
        <f>IF(Feiertage!$B$12+ROW(B116)-1&lt;=Feiertage!$C$12, Feiertage!$B$12+ROW(B116)-1, "")</f>
        <v/>
      </c>
      <c r="K118" s="1" t="str">
        <f>IF(Feiertage!$B$13+ROW(B116)-1&lt;=Feiertage!$C$13, Feiertage!$B$13+ROW(B116)-1, "")</f>
        <v/>
      </c>
      <c r="L118" s="1" t="str">
        <f>IF(Feiertage!$B$14+ROW(B116)-1&lt;=Feiertage!$C$14, Feiertage!$B$14+ROW(B116)-1, "")</f>
        <v/>
      </c>
      <c r="M118" s="1" t="str">
        <f>IF(Feiertage!$B$15+ROW(B116)-1&lt;=Feiertage!$C$15, Feiertage!$B$15+ROW(B116)-1, "")</f>
        <v/>
      </c>
      <c r="N118" s="1" t="str">
        <f>IF(Ferien!$B$16+ROW(B116)-1&lt;=Ferien!$C$16, Ferien!$B$16+ROW(B116)-1, "")</f>
        <v/>
      </c>
      <c r="O118" s="1" t="str">
        <f>IF(Feiertage!$B$17+ROW(B116)-1&lt;=Feiertage!$C$17, Feiertage!$B$17+ROW(B116)-1, "")</f>
        <v/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x14ac:dyDescent="0.3">
      <c r="A119" s="1" t="str">
        <f>IF(Feiertage!$B$3+ROW(A117)-1&lt;=Feiertage!$C$3, Feiertage!$B$3+ROW(A117)-1, "")</f>
        <v/>
      </c>
      <c r="B119" s="1" t="str">
        <f>IF(Feiertage!$B$4+ROW(B117)-1&lt;=Feiertage!$C$4, Feiertage!$B$4+ROW(B117)-1, "")</f>
        <v/>
      </c>
      <c r="C119" s="1" t="str">
        <f>IF(Feiertage!$B$5+ROW(B117)-1&lt;=Feiertage!$C$5, Feiertage!$B$5+ROW(B117)-1, "")</f>
        <v/>
      </c>
      <c r="D119" s="1" t="str">
        <f>IF(Feiertage!$B$6+ROW(B117)-1&lt;=Feiertage!$C$6, Feiertage!$B$6+ROW(B117)-1, "")</f>
        <v/>
      </c>
      <c r="E119" s="1" t="str">
        <f>IF(Ferien!$B$7+ROW(B117)-1&lt;=Ferien!$C$7, Ferien!$B$7+ROW(B117)-1, "")</f>
        <v/>
      </c>
      <c r="F119" s="1" t="str">
        <f>IF(Feiertage!$B$8+ROW(B117)-1&lt;=Feiertage!$C$8, Feiertage!$B$8+ROW(B117)-1, "")</f>
        <v/>
      </c>
      <c r="G119" s="1" t="str">
        <f>IF(Feiertage!$B$9+ROW(B117)-1&lt;=Feiertage!$C$9, Feiertage!$B$9+ROW(B117)-1, "")</f>
        <v/>
      </c>
      <c r="H119" s="1" t="str">
        <f>IF(Feiertage!$B$10+ROW(B117)-1&lt;=Feiertage!$C$10, Feiertage!$B$10+ROW(B117)-1, "")</f>
        <v/>
      </c>
      <c r="I119" s="1" t="str">
        <f>IF(Feiertage!$B$11+ROW(B117)-1&lt;=Feiertage!$C$11, Feiertage!$B$11+ROW(B117)-1, "")</f>
        <v/>
      </c>
      <c r="J119" s="1" t="str">
        <f>IF(Feiertage!$B$12+ROW(B117)-1&lt;=Feiertage!$C$12, Feiertage!$B$12+ROW(B117)-1, "")</f>
        <v/>
      </c>
      <c r="K119" s="1" t="str">
        <f>IF(Feiertage!$B$13+ROW(B117)-1&lt;=Feiertage!$C$13, Feiertage!$B$13+ROW(B117)-1, "")</f>
        <v/>
      </c>
      <c r="L119" s="1" t="str">
        <f>IF(Feiertage!$B$14+ROW(B117)-1&lt;=Feiertage!$C$14, Feiertage!$B$14+ROW(B117)-1, "")</f>
        <v/>
      </c>
      <c r="M119" s="1" t="str">
        <f>IF(Feiertage!$B$15+ROW(B117)-1&lt;=Feiertage!$C$15, Feiertage!$B$15+ROW(B117)-1, "")</f>
        <v/>
      </c>
      <c r="N119" s="1" t="str">
        <f>IF(Ferien!$B$16+ROW(B117)-1&lt;=Ferien!$C$16, Ferien!$B$16+ROW(B117)-1, "")</f>
        <v/>
      </c>
      <c r="O119" s="1" t="str">
        <f>IF(Feiertage!$B$17+ROW(B117)-1&lt;=Feiertage!$C$17, Feiertage!$B$17+ROW(B117)-1, "")</f>
        <v/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x14ac:dyDescent="0.3">
      <c r="A120" s="1" t="str">
        <f>IF(Feiertage!$B$3+ROW(A118)-1&lt;=Feiertage!$C$3, Feiertage!$B$3+ROW(A118)-1, "")</f>
        <v/>
      </c>
      <c r="B120" s="1" t="str">
        <f>IF(Feiertage!$B$4+ROW(B118)-1&lt;=Feiertage!$C$4, Feiertage!$B$4+ROW(B118)-1, "")</f>
        <v/>
      </c>
      <c r="C120" s="1" t="str">
        <f>IF(Feiertage!$B$5+ROW(B118)-1&lt;=Feiertage!$C$5, Feiertage!$B$5+ROW(B118)-1, "")</f>
        <v/>
      </c>
      <c r="D120" s="1" t="str">
        <f>IF(Feiertage!$B$6+ROW(B118)-1&lt;=Feiertage!$C$6, Feiertage!$B$6+ROW(B118)-1, "")</f>
        <v/>
      </c>
      <c r="E120" s="1" t="str">
        <f>IF(Ferien!$B$7+ROW(B118)-1&lt;=Ferien!$C$7, Ferien!$B$7+ROW(B118)-1, "")</f>
        <v/>
      </c>
      <c r="F120" s="1" t="str">
        <f>IF(Feiertage!$B$8+ROW(B118)-1&lt;=Feiertage!$C$8, Feiertage!$B$8+ROW(B118)-1, "")</f>
        <v/>
      </c>
      <c r="G120" s="1" t="str">
        <f>IF(Feiertage!$B$9+ROW(B118)-1&lt;=Feiertage!$C$9, Feiertage!$B$9+ROW(B118)-1, "")</f>
        <v/>
      </c>
      <c r="H120" s="1" t="str">
        <f>IF(Feiertage!$B$10+ROW(B118)-1&lt;=Feiertage!$C$10, Feiertage!$B$10+ROW(B118)-1, "")</f>
        <v/>
      </c>
      <c r="I120" s="1" t="str">
        <f>IF(Feiertage!$B$11+ROW(B118)-1&lt;=Feiertage!$C$11, Feiertage!$B$11+ROW(B118)-1, "")</f>
        <v/>
      </c>
      <c r="J120" s="1" t="str">
        <f>IF(Feiertage!$B$12+ROW(B118)-1&lt;=Feiertage!$C$12, Feiertage!$B$12+ROW(B118)-1, "")</f>
        <v/>
      </c>
      <c r="K120" s="1" t="str">
        <f>IF(Feiertage!$B$13+ROW(B118)-1&lt;=Feiertage!$C$13, Feiertage!$B$13+ROW(B118)-1, "")</f>
        <v/>
      </c>
      <c r="L120" s="1" t="str">
        <f>IF(Feiertage!$B$14+ROW(B118)-1&lt;=Feiertage!$C$14, Feiertage!$B$14+ROW(B118)-1, "")</f>
        <v/>
      </c>
      <c r="M120" s="1" t="str">
        <f>IF(Feiertage!$B$15+ROW(B118)-1&lt;=Feiertage!$C$15, Feiertage!$B$15+ROW(B118)-1, "")</f>
        <v/>
      </c>
      <c r="N120" s="1" t="str">
        <f>IF(Ferien!$B$16+ROW(B118)-1&lt;=Ferien!$C$16, Ferien!$B$16+ROW(B118)-1, "")</f>
        <v/>
      </c>
      <c r="O120" s="1" t="str">
        <f>IF(Feiertage!$B$17+ROW(B118)-1&lt;=Feiertage!$C$17, Feiertage!$B$17+ROW(B118)-1, "")</f>
        <v/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x14ac:dyDescent="0.3">
      <c r="A121" s="1" t="str">
        <f>IF(Feiertage!$B$3+ROW(A119)-1&lt;=Feiertage!$C$3, Feiertage!$B$3+ROW(A119)-1, "")</f>
        <v/>
      </c>
      <c r="B121" s="1" t="str">
        <f>IF(Feiertage!$B$4+ROW(B119)-1&lt;=Feiertage!$C$4, Feiertage!$B$4+ROW(B119)-1, "")</f>
        <v/>
      </c>
      <c r="C121" s="1" t="str">
        <f>IF(Feiertage!$B$5+ROW(B119)-1&lt;=Feiertage!$C$5, Feiertage!$B$5+ROW(B119)-1, "")</f>
        <v/>
      </c>
      <c r="D121" s="1" t="str">
        <f>IF(Feiertage!$B$6+ROW(B119)-1&lt;=Feiertage!$C$6, Feiertage!$B$6+ROW(B119)-1, "")</f>
        <v/>
      </c>
      <c r="E121" s="1" t="str">
        <f>IF(Ferien!$B$7+ROW(B119)-1&lt;=Ferien!$C$7, Ferien!$B$7+ROW(B119)-1, "")</f>
        <v/>
      </c>
      <c r="F121" s="1" t="str">
        <f>IF(Feiertage!$B$8+ROW(B119)-1&lt;=Feiertage!$C$8, Feiertage!$B$8+ROW(B119)-1, "")</f>
        <v/>
      </c>
      <c r="G121" s="1" t="str">
        <f>IF(Feiertage!$B$9+ROW(B119)-1&lt;=Feiertage!$C$9, Feiertage!$B$9+ROW(B119)-1, "")</f>
        <v/>
      </c>
      <c r="H121" s="1" t="str">
        <f>IF(Feiertage!$B$10+ROW(B119)-1&lt;=Feiertage!$C$10, Feiertage!$B$10+ROW(B119)-1, "")</f>
        <v/>
      </c>
      <c r="I121" s="1" t="str">
        <f>IF(Feiertage!$B$11+ROW(B119)-1&lt;=Feiertage!$C$11, Feiertage!$B$11+ROW(B119)-1, "")</f>
        <v/>
      </c>
      <c r="J121" s="1" t="str">
        <f>IF(Feiertage!$B$12+ROW(B119)-1&lt;=Feiertage!$C$12, Feiertage!$B$12+ROW(B119)-1, "")</f>
        <v/>
      </c>
      <c r="K121" s="1" t="str">
        <f>IF(Feiertage!$B$13+ROW(B119)-1&lt;=Feiertage!$C$13, Feiertage!$B$13+ROW(B119)-1, "")</f>
        <v/>
      </c>
      <c r="L121" s="1" t="str">
        <f>IF(Feiertage!$B$14+ROW(B119)-1&lt;=Feiertage!$C$14, Feiertage!$B$14+ROW(B119)-1, "")</f>
        <v/>
      </c>
      <c r="M121" s="1" t="str">
        <f>IF(Feiertage!$B$15+ROW(B119)-1&lt;=Feiertage!$C$15, Feiertage!$B$15+ROW(B119)-1, "")</f>
        <v/>
      </c>
      <c r="N121" s="1" t="str">
        <f>IF(Ferien!$B$16+ROW(B119)-1&lt;=Ferien!$C$16, Ferien!$B$16+ROW(B119)-1, "")</f>
        <v/>
      </c>
      <c r="O121" s="1" t="str">
        <f>IF(Feiertage!$B$17+ROW(B119)-1&lt;=Feiertage!$C$17, Feiertage!$B$17+ROW(B119)-1, "")</f>
        <v/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3">
      <c r="A122" s="1" t="str">
        <f>IF(Feiertage!$B$3+ROW(A120)-1&lt;=Feiertage!$C$3, Feiertage!$B$3+ROW(A120)-1, "")</f>
        <v/>
      </c>
      <c r="B122" s="1" t="str">
        <f>IF(Feiertage!$B$4+ROW(B120)-1&lt;=Feiertage!$C$4, Feiertage!$B$4+ROW(B120)-1, "")</f>
        <v/>
      </c>
      <c r="C122" s="1" t="str">
        <f>IF(Feiertage!$B$5+ROW(B120)-1&lt;=Feiertage!$C$5, Feiertage!$B$5+ROW(B120)-1, "")</f>
        <v/>
      </c>
      <c r="D122" s="1" t="str">
        <f>IF(Feiertage!$B$6+ROW(B120)-1&lt;=Feiertage!$C$6, Feiertage!$B$6+ROW(B120)-1, "")</f>
        <v/>
      </c>
      <c r="E122" s="1" t="str">
        <f>IF(Ferien!$B$7+ROW(B120)-1&lt;=Ferien!$C$7, Ferien!$B$7+ROW(B120)-1, "")</f>
        <v/>
      </c>
      <c r="F122" s="1" t="str">
        <f>IF(Feiertage!$B$8+ROW(B120)-1&lt;=Feiertage!$C$8, Feiertage!$B$8+ROW(B120)-1, "")</f>
        <v/>
      </c>
      <c r="G122" s="1" t="str">
        <f>IF(Feiertage!$B$9+ROW(B120)-1&lt;=Feiertage!$C$9, Feiertage!$B$9+ROW(B120)-1, "")</f>
        <v/>
      </c>
      <c r="H122" s="1" t="str">
        <f>IF(Feiertage!$B$10+ROW(B120)-1&lt;=Feiertage!$C$10, Feiertage!$B$10+ROW(B120)-1, "")</f>
        <v/>
      </c>
      <c r="I122" s="1" t="str">
        <f>IF(Feiertage!$B$11+ROW(B120)-1&lt;=Feiertage!$C$11, Feiertage!$B$11+ROW(B120)-1, "")</f>
        <v/>
      </c>
      <c r="J122" s="1" t="str">
        <f>IF(Feiertage!$B$12+ROW(B120)-1&lt;=Feiertage!$C$12, Feiertage!$B$12+ROW(B120)-1, "")</f>
        <v/>
      </c>
      <c r="K122" s="1" t="str">
        <f>IF(Feiertage!$B$13+ROW(B120)-1&lt;=Feiertage!$C$13, Feiertage!$B$13+ROW(B120)-1, "")</f>
        <v/>
      </c>
      <c r="L122" s="1" t="str">
        <f>IF(Feiertage!$B$14+ROW(B120)-1&lt;=Feiertage!$C$14, Feiertage!$B$14+ROW(B120)-1, "")</f>
        <v/>
      </c>
      <c r="M122" s="1" t="str">
        <f>IF(Feiertage!$B$15+ROW(B120)-1&lt;=Feiertage!$C$15, Feiertage!$B$15+ROW(B120)-1, "")</f>
        <v/>
      </c>
      <c r="N122" s="1" t="str">
        <f>IF(Ferien!$B$16+ROW(B120)-1&lt;=Ferien!$C$16, Ferien!$B$16+ROW(B120)-1, "")</f>
        <v/>
      </c>
      <c r="O122" s="1" t="str">
        <f>IF(Feiertage!$B$17+ROW(B120)-1&lt;=Feiertage!$C$17, Feiertage!$B$17+ROW(B120)-1, "")</f>
        <v/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3">
      <c r="A123" s="1" t="str">
        <f>IF(Feiertage!$B$3+ROW(A121)-1&lt;=Feiertage!$C$3, Feiertage!$B$3+ROW(A121)-1, "")</f>
        <v/>
      </c>
      <c r="B123" s="1" t="str">
        <f>IF(Feiertage!$B$4+ROW(B121)-1&lt;=Feiertage!$C$4, Feiertage!$B$4+ROW(B121)-1, "")</f>
        <v/>
      </c>
      <c r="C123" s="1" t="str">
        <f>IF(Feiertage!$B$5+ROW(B121)-1&lt;=Feiertage!$C$5, Feiertage!$B$5+ROW(B121)-1, "")</f>
        <v/>
      </c>
      <c r="D123" s="1"/>
      <c r="E123" s="1" t="str">
        <f>IF(Ferien!$B$7+ROW(B121)-1&lt;=Ferien!$C$7, Ferien!$B$7+ROW(B121)-1, "")</f>
        <v/>
      </c>
      <c r="F123" s="1" t="str">
        <f>IF(Feiertage!$B$8+ROW(B121)-1&lt;=Feiertage!$C$8, Feiertage!$B$8+ROW(B121)-1, "")</f>
        <v/>
      </c>
      <c r="G123" s="1" t="str">
        <f>IF(Feiertage!$B$9+ROW(B121)-1&lt;=Feiertage!$C$9, Feiertage!$B$9+ROW(B121)-1, "")</f>
        <v/>
      </c>
      <c r="H123" s="1" t="str">
        <f>IF(Feiertage!$B$10+ROW(B121)-1&lt;=Feiertage!$C$10, Feiertage!$B$10+ROW(B121)-1, "")</f>
        <v/>
      </c>
      <c r="I123" s="1" t="str">
        <f>IF(Feiertage!$B$11+ROW(B121)-1&lt;=Feiertage!$C$11, Feiertage!$B$11+ROW(B121)-1, "")</f>
        <v/>
      </c>
      <c r="J123" s="1" t="str">
        <f>IF(Feiertage!$B$12+ROW(B121)-1&lt;=Feiertage!$C$12, Feiertage!$B$12+ROW(B121)-1, "")</f>
        <v/>
      </c>
      <c r="K123" s="1" t="str">
        <f>IF(Feiertage!$B$13+ROW(B121)-1&lt;=Feiertage!$C$13, Feiertage!$B$13+ROW(B121)-1, "")</f>
        <v/>
      </c>
      <c r="L123" s="1" t="str">
        <f>IF(Feiertage!$B$14+ROW(B121)-1&lt;=Feiertage!$C$14, Feiertage!$B$14+ROW(B121)-1, "")</f>
        <v/>
      </c>
      <c r="M123" s="1" t="str">
        <f>IF(Feiertage!$B$15+ROW(B121)-1&lt;=Feiertage!$C$15, Feiertage!$B$15+ROW(B121)-1, "")</f>
        <v/>
      </c>
      <c r="N123" s="1" t="str">
        <f>IF(Ferien!$B$16+ROW(B121)-1&lt;=Ferien!$C$16, Ferien!$B$16+ROW(B121)-1, "")</f>
        <v/>
      </c>
      <c r="O123" s="1" t="str">
        <f>IF(Feiertage!$B$17+ROW(B121)-1&lt;=Feiertage!$C$17, Feiertage!$B$17+ROW(B121)-1, "")</f>
        <v/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x14ac:dyDescent="0.3">
      <c r="A124" s="1" t="str">
        <f>IF(Feiertage!$B$3+ROW(A122)-1&lt;=Feiertage!$C$3, Feiertage!$B$3+ROW(A122)-1, "")</f>
        <v/>
      </c>
      <c r="B124" s="1" t="str">
        <f>IF(Feiertage!$B$4+ROW(B122)-1&lt;=Feiertage!$C$4, Feiertage!$B$4+ROW(B122)-1, "")</f>
        <v/>
      </c>
      <c r="C124" s="1" t="str">
        <f>IF(Feiertage!$B$5+ROW(B122)-1&lt;=Feiertage!$C$5, Feiertage!$B$5+ROW(B122)-1, "")</f>
        <v/>
      </c>
      <c r="D124" s="1"/>
      <c r="E124" s="1" t="str">
        <f>IF(Ferien!$B$7+ROW(B122)-1&lt;=Ferien!$C$7, Ferien!$B$7+ROW(B122)-1, "")</f>
        <v/>
      </c>
      <c r="F124" s="1" t="str">
        <f>IF(Feiertage!$B$8+ROW(B122)-1&lt;=Feiertage!$C$8, Feiertage!$B$8+ROW(B122)-1, "")</f>
        <v/>
      </c>
      <c r="G124" s="1" t="str">
        <f>IF(Feiertage!$B$9+ROW(B122)-1&lt;=Feiertage!$C$9, Feiertage!$B$9+ROW(B122)-1, "")</f>
        <v/>
      </c>
      <c r="H124" s="1" t="str">
        <f>IF(Feiertage!$B$10+ROW(B122)-1&lt;=Feiertage!$C$10, Feiertage!$B$10+ROW(B122)-1, "")</f>
        <v/>
      </c>
      <c r="I124" s="1" t="str">
        <f>IF(Feiertage!$B$11+ROW(B122)-1&lt;=Feiertage!$C$11, Feiertage!$B$11+ROW(B122)-1, "")</f>
        <v/>
      </c>
      <c r="J124" s="1" t="str">
        <f>IF(Feiertage!$B$12+ROW(B122)-1&lt;=Feiertage!$C$12, Feiertage!$B$12+ROW(B122)-1, "")</f>
        <v/>
      </c>
      <c r="K124" s="1" t="str">
        <f>IF(Feiertage!$B$13+ROW(B122)-1&lt;=Feiertage!$C$13, Feiertage!$B$13+ROW(B122)-1, "")</f>
        <v/>
      </c>
      <c r="L124" s="1" t="str">
        <f>IF(Feiertage!$B$14+ROW(B122)-1&lt;=Feiertage!$C$14, Feiertage!$B$14+ROW(B122)-1, "")</f>
        <v/>
      </c>
      <c r="M124" s="1" t="str">
        <f>IF(Feiertage!$B$15+ROW(B122)-1&lt;=Feiertage!$C$15, Feiertage!$B$15+ROW(B122)-1, "")</f>
        <v/>
      </c>
      <c r="N124" s="1" t="str">
        <f>IF(Ferien!$B$16+ROW(B122)-1&lt;=Ferien!$C$16, Ferien!$B$16+ROW(B122)-1, "")</f>
        <v/>
      </c>
      <c r="O124" s="1" t="str">
        <f>IF(Feiertage!$B$17+ROW(B122)-1&lt;=Feiertage!$C$17, Feiertage!$B$17+ROW(B122)-1, "")</f>
        <v/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x14ac:dyDescent="0.3">
      <c r="A125" s="1" t="str">
        <f>IF(Feiertage!$B$3+ROW(A123)-1&lt;=Feiertage!$C$3, Feiertage!$B$3+ROW(A123)-1, "")</f>
        <v/>
      </c>
      <c r="B125" s="1" t="str">
        <f>IF(Feiertage!$B$4+ROW(B123)-1&lt;=Feiertage!$C$4, Feiertage!$B$4+ROW(B123)-1, "")</f>
        <v/>
      </c>
      <c r="C125" s="1" t="str">
        <f>IF(Feiertage!$B$5+ROW(B123)-1&lt;=Feiertage!$C$5, Feiertage!$B$5+ROW(B123)-1, "")</f>
        <v/>
      </c>
      <c r="D125" s="1"/>
      <c r="E125" s="1" t="str">
        <f>IF(Ferien!$B$7+ROW(B123)-1&lt;=Ferien!$C$7, Ferien!$B$7+ROW(B123)-1, "")</f>
        <v/>
      </c>
      <c r="F125" s="1" t="str">
        <f>IF(Feiertage!$B$8+ROW(B123)-1&lt;=Feiertage!$C$8, Feiertage!$B$8+ROW(B123)-1, "")</f>
        <v/>
      </c>
      <c r="G125" s="1" t="str">
        <f>IF(Feiertage!$B$9+ROW(B123)-1&lt;=Feiertage!$C$9, Feiertage!$B$9+ROW(B123)-1, "")</f>
        <v/>
      </c>
      <c r="H125" s="1" t="str">
        <f>IF(Feiertage!$B$10+ROW(B123)-1&lt;=Feiertage!$C$10, Feiertage!$B$10+ROW(B123)-1, "")</f>
        <v/>
      </c>
      <c r="I125" s="1" t="str">
        <f>IF(Feiertage!$B$11+ROW(B123)-1&lt;=Feiertage!$C$11, Feiertage!$B$11+ROW(B123)-1, "")</f>
        <v/>
      </c>
      <c r="J125" s="1" t="str">
        <f>IF(Feiertage!$B$12+ROW(B123)-1&lt;=Feiertage!$C$12, Feiertage!$B$12+ROW(B123)-1, "")</f>
        <v/>
      </c>
      <c r="K125" s="1" t="str">
        <f>IF(Feiertage!$B$13+ROW(B123)-1&lt;=Feiertage!$C$13, Feiertage!$B$13+ROW(B123)-1, "")</f>
        <v/>
      </c>
      <c r="L125" s="1" t="str">
        <f>IF(Feiertage!$B$14+ROW(B123)-1&lt;=Feiertage!$C$14, Feiertage!$B$14+ROW(B123)-1, "")</f>
        <v/>
      </c>
      <c r="M125" s="1" t="str">
        <f>IF(Feiertage!$B$15+ROW(B123)-1&lt;=Feiertage!$C$15, Feiertage!$B$15+ROW(B123)-1, "")</f>
        <v/>
      </c>
      <c r="N125" s="1" t="str">
        <f>IF(Ferien!$B$16+ROW(B123)-1&lt;=Ferien!$C$16, Ferien!$B$16+ROW(B123)-1, "")</f>
        <v/>
      </c>
      <c r="O125" s="1" t="str">
        <f>IF(Feiertage!$B$17+ROW(B123)-1&lt;=Feiertage!$C$17, Feiertage!$B$17+ROW(B123)-1, "")</f>
        <v/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x14ac:dyDescent="0.3">
      <c r="A126" s="1" t="str">
        <f>IF(Feiertage!$B$3+ROW(A124)-1&lt;=Feiertage!$C$3, Feiertage!$B$3+ROW(A124)-1, "")</f>
        <v/>
      </c>
      <c r="B126" s="1" t="str">
        <f>IF(Feiertage!$B$4+ROW(B124)-1&lt;=Feiertage!$C$4, Feiertage!$B$4+ROW(B124)-1, "")</f>
        <v/>
      </c>
      <c r="C126" s="1" t="str">
        <f>IF(Feiertage!$B$5+ROW(B124)-1&lt;=Feiertage!$C$5, Feiertage!$B$5+ROW(B124)-1, "")</f>
        <v/>
      </c>
      <c r="D126" s="1"/>
      <c r="E126" s="1" t="str">
        <f>IF(Ferien!$B$7+ROW(B124)-1&lt;=Ferien!$C$7, Ferien!$B$7+ROW(B124)-1, "")</f>
        <v/>
      </c>
      <c r="F126" s="1" t="str">
        <f>IF(Feiertage!$B$8+ROW(B124)-1&lt;=Feiertage!$C$8, Feiertage!$B$8+ROW(B124)-1, "")</f>
        <v/>
      </c>
      <c r="G126" s="1" t="str">
        <f>IF(Feiertage!$B$9+ROW(B124)-1&lt;=Feiertage!$C$9, Feiertage!$B$9+ROW(B124)-1, "")</f>
        <v/>
      </c>
      <c r="H126" s="1" t="str">
        <f>IF(Feiertage!$B$10+ROW(B124)-1&lt;=Feiertage!$C$10, Feiertage!$B$10+ROW(B124)-1, "")</f>
        <v/>
      </c>
      <c r="I126" s="1" t="str">
        <f>IF(Feiertage!$B$11+ROW(B124)-1&lt;=Feiertage!$C$11, Feiertage!$B$11+ROW(B124)-1, "")</f>
        <v/>
      </c>
      <c r="J126" s="1" t="str">
        <f>IF(Feiertage!$B$12+ROW(B124)-1&lt;=Feiertage!$C$12, Feiertage!$B$12+ROW(B124)-1, "")</f>
        <v/>
      </c>
      <c r="K126" s="1" t="str">
        <f>IF(Feiertage!$B$13+ROW(B124)-1&lt;=Feiertage!$C$13, Feiertage!$B$13+ROW(B124)-1, "")</f>
        <v/>
      </c>
      <c r="L126" s="1" t="str">
        <f>IF(Feiertage!$B$14+ROW(B124)-1&lt;=Feiertage!$C$14, Feiertage!$B$14+ROW(B124)-1, "")</f>
        <v/>
      </c>
      <c r="M126" s="1" t="str">
        <f>IF(Feiertage!$B$15+ROW(B124)-1&lt;=Feiertage!$C$15, Feiertage!$B$15+ROW(B124)-1, "")</f>
        <v/>
      </c>
      <c r="N126" s="1" t="str">
        <f>IF(Ferien!$B$16+ROW(B124)-1&lt;=Ferien!$C$16, Ferien!$B$16+ROW(B124)-1, "")</f>
        <v/>
      </c>
      <c r="O126" s="1" t="str">
        <f>IF(Feiertage!$B$17+ROW(B124)-1&lt;=Feiertage!$C$17, Feiertage!$B$17+ROW(B124)-1, "")</f>
        <v/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x14ac:dyDescent="0.3">
      <c r="A127" s="1" t="str">
        <f>IF(Feiertage!$B$3+ROW(A125)-1&lt;=Feiertage!$C$3, Feiertage!$B$3+ROW(A125)-1, "")</f>
        <v/>
      </c>
      <c r="B127" s="1" t="str">
        <f>IF(Feiertage!$B$4+ROW(B125)-1&lt;=Feiertage!$C$4, Feiertage!$B$4+ROW(B125)-1, "")</f>
        <v/>
      </c>
      <c r="C127" s="1" t="str">
        <f>IF(Feiertage!$B$5+ROW(B125)-1&lt;=Feiertage!$C$5, Feiertage!$B$5+ROW(B125)-1, "")</f>
        <v/>
      </c>
      <c r="D127" s="1"/>
      <c r="E127" s="1" t="str">
        <f>IF(Ferien!$B$7+ROW(B125)-1&lt;=Ferien!$C$7, Ferien!$B$7+ROW(B125)-1, "")</f>
        <v/>
      </c>
      <c r="F127" s="1" t="str">
        <f>IF(Feiertage!$B$8+ROW(B125)-1&lt;=Feiertage!$C$8, Feiertage!$B$8+ROW(B125)-1, "")</f>
        <v/>
      </c>
      <c r="G127" s="1" t="str">
        <f>IF(Feiertage!$B$9+ROW(B125)-1&lt;=Feiertage!$C$9, Feiertage!$B$9+ROW(B125)-1, "")</f>
        <v/>
      </c>
      <c r="H127" s="1" t="str">
        <f>IF(Feiertage!$B$10+ROW(B125)-1&lt;=Feiertage!$C$10, Feiertage!$B$10+ROW(B125)-1, "")</f>
        <v/>
      </c>
      <c r="I127" s="1" t="str">
        <f>IF(Feiertage!$B$11+ROW(B125)-1&lt;=Feiertage!$C$11, Feiertage!$B$11+ROW(B125)-1, "")</f>
        <v/>
      </c>
      <c r="J127" s="1" t="str">
        <f>IF(Feiertage!$B$12+ROW(B125)-1&lt;=Feiertage!$C$12, Feiertage!$B$12+ROW(B125)-1, "")</f>
        <v/>
      </c>
      <c r="K127" s="1" t="str">
        <f>IF(Feiertage!$B$13+ROW(B125)-1&lt;=Feiertage!$C$13, Feiertage!$B$13+ROW(B125)-1, "")</f>
        <v/>
      </c>
      <c r="L127" s="1" t="str">
        <f>IF(Feiertage!$B$14+ROW(B125)-1&lt;=Feiertage!$C$14, Feiertage!$B$14+ROW(B125)-1, "")</f>
        <v/>
      </c>
      <c r="M127" s="1" t="str">
        <f>IF(Feiertage!$B$15+ROW(B125)-1&lt;=Feiertage!$C$15, Feiertage!$B$15+ROW(B125)-1, "")</f>
        <v/>
      </c>
      <c r="N127" s="1" t="str">
        <f>IF(Ferien!$B$16+ROW(B125)-1&lt;=Ferien!$C$16, Ferien!$B$16+ROW(B125)-1, "")</f>
        <v/>
      </c>
      <c r="O127" s="1" t="str">
        <f>IF(Feiertage!$B$17+ROW(B125)-1&lt;=Feiertage!$C$17, Feiertage!$B$17+ROW(B125)-1, "")</f>
        <v/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x14ac:dyDescent="0.3">
      <c r="A128" s="1" t="str">
        <f>IF(Feiertage!$B$3+ROW(A126)-1&lt;=Feiertage!$C$3, Feiertage!$B$3+ROW(A126)-1, "")</f>
        <v/>
      </c>
      <c r="B128" s="1" t="str">
        <f>IF(Feiertage!$B$4+ROW(B126)-1&lt;=Feiertage!$C$4, Feiertage!$B$4+ROW(B126)-1, "")</f>
        <v/>
      </c>
      <c r="C128" s="1" t="str">
        <f>IF(Feiertage!$B$5+ROW(B126)-1&lt;=Feiertage!$C$5, Feiertage!$B$5+ROW(B126)-1, "")</f>
        <v/>
      </c>
      <c r="D128" s="1"/>
      <c r="E128" s="1" t="str">
        <f>IF(Ferien!$B$7+ROW(B126)-1&lt;=Ferien!$C$7, Ferien!$B$7+ROW(B126)-1, "")</f>
        <v/>
      </c>
      <c r="F128" s="1" t="str">
        <f>IF(Feiertage!$B$8+ROW(B126)-1&lt;=Feiertage!$C$8, Feiertage!$B$8+ROW(B126)-1, "")</f>
        <v/>
      </c>
      <c r="G128" s="1" t="str">
        <f>IF(Feiertage!$B$9+ROW(B126)-1&lt;=Feiertage!$C$9, Feiertage!$B$9+ROW(B126)-1, "")</f>
        <v/>
      </c>
      <c r="H128" s="1" t="str">
        <f>IF(Feiertage!$B$10+ROW(B126)-1&lt;=Feiertage!$C$10, Feiertage!$B$10+ROW(B126)-1, "")</f>
        <v/>
      </c>
      <c r="I128" s="1" t="str">
        <f>IF(Feiertage!$B$11+ROW(B126)-1&lt;=Feiertage!$C$11, Feiertage!$B$11+ROW(B126)-1, "")</f>
        <v/>
      </c>
      <c r="J128" s="1" t="str">
        <f>IF(Feiertage!$B$12+ROW(B126)-1&lt;=Feiertage!$C$12, Feiertage!$B$12+ROW(B126)-1, "")</f>
        <v/>
      </c>
      <c r="K128" s="1" t="str">
        <f>IF(Feiertage!$B$13+ROW(B126)-1&lt;=Feiertage!$C$13, Feiertage!$B$13+ROW(B126)-1, "")</f>
        <v/>
      </c>
      <c r="L128" s="1" t="str">
        <f>IF(Feiertage!$B$14+ROW(B126)-1&lt;=Feiertage!$C$14, Feiertage!$B$14+ROW(B126)-1, "")</f>
        <v/>
      </c>
      <c r="M128" s="1" t="str">
        <f>IF(Feiertage!$B$15+ROW(B126)-1&lt;=Feiertage!$C$15, Feiertage!$B$15+ROW(B126)-1, "")</f>
        <v/>
      </c>
      <c r="N128" s="1" t="str">
        <f>IF(Ferien!$B$16+ROW(B126)-1&lt;=Ferien!$C$16, Ferien!$B$16+ROW(B126)-1, "")</f>
        <v/>
      </c>
      <c r="O128" s="1" t="str">
        <f>IF(Feiertage!$B$17+ROW(B126)-1&lt;=Feiertage!$C$17, Feiertage!$B$17+ROW(B126)-1, "")</f>
        <v/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x14ac:dyDescent="0.3">
      <c r="A129" s="1" t="str">
        <f>IF(Feiertage!$B$3+ROW(A127)-1&lt;=Feiertage!$C$3, Feiertage!$B$3+ROW(A127)-1, "")</f>
        <v/>
      </c>
      <c r="B129" s="1" t="str">
        <f>IF(Feiertage!$B$4+ROW(B127)-1&lt;=Feiertage!$C$4, Feiertage!$B$4+ROW(B127)-1, "")</f>
        <v/>
      </c>
      <c r="C129" s="1" t="str">
        <f>IF(Feiertage!$B$5+ROW(B127)-1&lt;=Feiertage!$C$5, Feiertage!$B$5+ROW(B127)-1, "")</f>
        <v/>
      </c>
      <c r="D129" s="1"/>
      <c r="E129" s="1" t="str">
        <f>IF(Ferien!$B$7+ROW(B127)-1&lt;=Ferien!$C$7, Ferien!$B$7+ROW(B127)-1, "")</f>
        <v/>
      </c>
      <c r="F129" s="1" t="str">
        <f>IF(Feiertage!$B$8+ROW(B127)-1&lt;=Feiertage!$C$8, Feiertage!$B$8+ROW(B127)-1, "")</f>
        <v/>
      </c>
      <c r="G129" s="1" t="str">
        <f>IF(Feiertage!$B$9+ROW(B127)-1&lt;=Feiertage!$C$9, Feiertage!$B$9+ROW(B127)-1, "")</f>
        <v/>
      </c>
      <c r="H129" s="1" t="str">
        <f>IF(Feiertage!$B$10+ROW(B127)-1&lt;=Feiertage!$C$10, Feiertage!$B$10+ROW(B127)-1, "")</f>
        <v/>
      </c>
      <c r="I129" s="1" t="str">
        <f>IF(Feiertage!$B$11+ROW(B127)-1&lt;=Feiertage!$C$11, Feiertage!$B$11+ROW(B127)-1, "")</f>
        <v/>
      </c>
      <c r="J129" s="1" t="str">
        <f>IF(Feiertage!$B$12+ROW(B127)-1&lt;=Feiertage!$C$12, Feiertage!$B$12+ROW(B127)-1, "")</f>
        <v/>
      </c>
      <c r="K129" s="1" t="str">
        <f>IF(Feiertage!$B$13+ROW(B127)-1&lt;=Feiertage!$C$13, Feiertage!$B$13+ROW(B127)-1, "")</f>
        <v/>
      </c>
      <c r="L129" s="1" t="str">
        <f>IF(Feiertage!$B$14+ROW(B127)-1&lt;=Feiertage!$C$14, Feiertage!$B$14+ROW(B127)-1, "")</f>
        <v/>
      </c>
      <c r="M129" s="1" t="str">
        <f>IF(Feiertage!$B$15+ROW(B127)-1&lt;=Feiertage!$C$15, Feiertage!$B$15+ROW(B127)-1, "")</f>
        <v/>
      </c>
      <c r="N129" s="1" t="str">
        <f>IF(Ferien!$B$16+ROW(B127)-1&lt;=Ferien!$C$16, Ferien!$B$16+ROW(B127)-1, "")</f>
        <v/>
      </c>
      <c r="O129" s="1" t="str">
        <f>IF(Feiertage!$B$17+ROW(B127)-1&lt;=Feiertage!$C$17, Feiertage!$B$17+ROW(B127)-1, "")</f>
        <v/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x14ac:dyDescent="0.3">
      <c r="A130" s="1" t="str">
        <f>IF(Feiertage!$B$3+ROW(A128)-1&lt;=Feiertage!$C$3, Feiertage!$B$3+ROW(A128)-1, "")</f>
        <v/>
      </c>
      <c r="B130" s="1" t="str">
        <f>IF(Feiertage!$B$4+ROW(B128)-1&lt;=Feiertage!$C$4, Feiertage!$B$4+ROW(B128)-1, "")</f>
        <v/>
      </c>
      <c r="C130" s="1" t="str">
        <f>IF(Feiertage!$B$5+ROW(B128)-1&lt;=Feiertage!$C$5, Feiertage!$B$5+ROW(B128)-1, "")</f>
        <v/>
      </c>
      <c r="D130" s="1"/>
      <c r="E130" s="1" t="str">
        <f>IF(Ferien!$B$7+ROW(B128)-1&lt;=Ferien!$C$7, Ferien!$B$7+ROW(B128)-1, "")</f>
        <v/>
      </c>
      <c r="F130" s="1" t="str">
        <f>IF(Feiertage!$B$8+ROW(B128)-1&lt;=Feiertage!$C$8, Feiertage!$B$8+ROW(B128)-1, "")</f>
        <v/>
      </c>
      <c r="G130" s="1" t="str">
        <f>IF(Feiertage!$B$9+ROW(B128)-1&lt;=Feiertage!$C$9, Feiertage!$B$9+ROW(B128)-1, "")</f>
        <v/>
      </c>
      <c r="H130" s="1" t="str">
        <f>IF(Feiertage!$B$10+ROW(B128)-1&lt;=Feiertage!$C$10, Feiertage!$B$10+ROW(B128)-1, "")</f>
        <v/>
      </c>
      <c r="I130" s="1" t="str">
        <f>IF(Feiertage!$B$11+ROW(B128)-1&lt;=Feiertage!$C$11, Feiertage!$B$11+ROW(B128)-1, "")</f>
        <v/>
      </c>
      <c r="J130" s="1" t="str">
        <f>IF(Feiertage!$B$12+ROW(B128)-1&lt;=Feiertage!$C$12, Feiertage!$B$12+ROW(B128)-1, "")</f>
        <v/>
      </c>
      <c r="K130" s="1" t="str">
        <f>IF(Feiertage!$B$13+ROW(B128)-1&lt;=Feiertage!$C$13, Feiertage!$B$13+ROW(B128)-1, "")</f>
        <v/>
      </c>
      <c r="L130" s="1" t="str">
        <f>IF(Feiertage!$B$14+ROW(B128)-1&lt;=Feiertage!$C$14, Feiertage!$B$14+ROW(B128)-1, "")</f>
        <v/>
      </c>
      <c r="M130" s="1" t="str">
        <f>IF(Feiertage!$B$15+ROW(B128)-1&lt;=Feiertage!$C$15, Feiertage!$B$15+ROW(B128)-1, "")</f>
        <v/>
      </c>
      <c r="N130" s="1" t="str">
        <f>IF(Ferien!$B$16+ROW(B128)-1&lt;=Ferien!$C$16, Ferien!$B$16+ROW(B128)-1, "")</f>
        <v/>
      </c>
      <c r="O130" s="1" t="str">
        <f>IF(Feiertage!$B$17+ROW(B128)-1&lt;=Feiertage!$C$17, Feiertage!$B$17+ROW(B128)-1, "")</f>
        <v/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x14ac:dyDescent="0.3">
      <c r="A131" s="1" t="str">
        <f>IF(Feiertage!$B$3+ROW(A129)-1&lt;=Feiertage!$C$3, Feiertage!$B$3+ROW(A129)-1, "")</f>
        <v/>
      </c>
      <c r="B131" s="1" t="str">
        <f>IF(Feiertage!$B$4+ROW(B129)-1&lt;=Feiertage!$C$4, Feiertage!$B$4+ROW(B129)-1, "")</f>
        <v/>
      </c>
      <c r="C131" s="1" t="str">
        <f>IF(Feiertage!$B$5+ROW(B129)-1&lt;=Feiertage!$C$5, Feiertage!$B$5+ROW(B129)-1, "")</f>
        <v/>
      </c>
      <c r="D131" s="1"/>
      <c r="E131" s="1" t="str">
        <f>IF(Ferien!$B$7+ROW(B129)-1&lt;=Ferien!$C$7, Ferien!$B$7+ROW(B129)-1, "")</f>
        <v/>
      </c>
      <c r="F131" s="1" t="str">
        <f>IF(Feiertage!$B$8+ROW(B129)-1&lt;=Feiertage!$C$8, Feiertage!$B$8+ROW(B129)-1, "")</f>
        <v/>
      </c>
      <c r="G131" s="1" t="str">
        <f>IF(Feiertage!$B$9+ROW(B129)-1&lt;=Feiertage!$C$9, Feiertage!$B$9+ROW(B129)-1, "")</f>
        <v/>
      </c>
      <c r="H131" s="1" t="str">
        <f>IF(Feiertage!$B$10+ROW(B129)-1&lt;=Feiertage!$C$10, Feiertage!$B$10+ROW(B129)-1, "")</f>
        <v/>
      </c>
      <c r="I131" s="1" t="str">
        <f>IF(Feiertage!$B$11+ROW(B129)-1&lt;=Feiertage!$C$11, Feiertage!$B$11+ROW(B129)-1, "")</f>
        <v/>
      </c>
      <c r="J131" s="1" t="str">
        <f>IF(Feiertage!$B$12+ROW(B129)-1&lt;=Feiertage!$C$12, Feiertage!$B$12+ROW(B129)-1, "")</f>
        <v/>
      </c>
      <c r="K131" s="1" t="str">
        <f>IF(Feiertage!$B$13+ROW(B129)-1&lt;=Feiertage!$C$13, Feiertage!$B$13+ROW(B129)-1, "")</f>
        <v/>
      </c>
      <c r="L131" s="1" t="str">
        <f>IF(Feiertage!$B$14+ROW(B129)-1&lt;=Feiertage!$C$14, Feiertage!$B$14+ROW(B129)-1, "")</f>
        <v/>
      </c>
      <c r="M131" s="1" t="str">
        <f>IF(Feiertage!$B$15+ROW(B129)-1&lt;=Feiertage!$C$15, Feiertage!$B$15+ROW(B129)-1, "")</f>
        <v/>
      </c>
      <c r="N131" s="1" t="str">
        <f>IF(Ferien!$B$16+ROW(B129)-1&lt;=Ferien!$C$16, Ferien!$B$16+ROW(B129)-1, "")</f>
        <v/>
      </c>
      <c r="O131" s="1" t="str">
        <f>IF(Feiertage!$B$17+ROW(B129)-1&lt;=Feiertage!$C$17, Feiertage!$B$17+ROW(B129)-1, "")</f>
        <v/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x14ac:dyDescent="0.3">
      <c r="A132" s="1" t="str">
        <f>IF(Feiertage!$B$3+ROW(A130)-1&lt;=Feiertage!$C$3, Feiertage!$B$3+ROW(A130)-1, "")</f>
        <v/>
      </c>
      <c r="B132" s="1" t="str">
        <f>IF(Feiertage!$B$4+ROW(B130)-1&lt;=Feiertage!$C$4, Feiertage!$B$4+ROW(B130)-1, "")</f>
        <v/>
      </c>
      <c r="C132" s="1" t="str">
        <f>IF(Feiertage!$B$5+ROW(B130)-1&lt;=Feiertage!$C$5, Feiertage!$B$5+ROW(B130)-1, "")</f>
        <v/>
      </c>
      <c r="D132" s="1"/>
      <c r="E132" s="1" t="str">
        <f>IF(Ferien!$B$7+ROW(B130)-1&lt;=Ferien!$C$7, Ferien!$B$7+ROW(B130)-1, "")</f>
        <v/>
      </c>
      <c r="F132" s="1" t="str">
        <f>IF(Feiertage!$B$8+ROW(B130)-1&lt;=Feiertage!$C$8, Feiertage!$B$8+ROW(B130)-1, "")</f>
        <v/>
      </c>
      <c r="G132" s="1" t="str">
        <f>IF(Feiertage!$B$9+ROW(B130)-1&lt;=Feiertage!$C$9, Feiertage!$B$9+ROW(B130)-1, "")</f>
        <v/>
      </c>
      <c r="H132" s="1" t="str">
        <f>IF(Feiertage!$B$10+ROW(B130)-1&lt;=Feiertage!$C$10, Feiertage!$B$10+ROW(B130)-1, "")</f>
        <v/>
      </c>
      <c r="I132" s="1" t="str">
        <f>IF(Feiertage!$B$11+ROW(B130)-1&lt;=Feiertage!$C$11, Feiertage!$B$11+ROW(B130)-1, "")</f>
        <v/>
      </c>
      <c r="J132" s="1" t="str">
        <f>IF(Feiertage!$B$12+ROW(B130)-1&lt;=Feiertage!$C$12, Feiertage!$B$12+ROW(B130)-1, "")</f>
        <v/>
      </c>
      <c r="K132" s="1" t="str">
        <f>IF(Feiertage!$B$13+ROW(B130)-1&lt;=Feiertage!$C$13, Feiertage!$B$13+ROW(B130)-1, "")</f>
        <v/>
      </c>
      <c r="L132" s="1" t="str">
        <f>IF(Feiertage!$B$14+ROW(B130)-1&lt;=Feiertage!$C$14, Feiertage!$B$14+ROW(B130)-1, "")</f>
        <v/>
      </c>
      <c r="M132" s="1" t="str">
        <f>IF(Feiertage!$B$15+ROW(B130)-1&lt;=Feiertage!$C$15, Feiertage!$B$15+ROW(B130)-1, "")</f>
        <v/>
      </c>
      <c r="N132" s="1" t="str">
        <f>IF(Ferien!$B$16+ROW(B130)-1&lt;=Ferien!$C$16, Ferien!$B$16+ROW(B130)-1, "")</f>
        <v/>
      </c>
      <c r="O132" s="1" t="str">
        <f>IF(Feiertage!$B$17+ROW(B130)-1&lt;=Feiertage!$C$17, Feiertage!$B$17+ROW(B130)-1, "")</f>
        <v/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x14ac:dyDescent="0.3">
      <c r="A133" s="1" t="str">
        <f>IF(Feiertage!$B$3+ROW(A131)-1&lt;=Feiertage!$C$3, Feiertage!$B$3+ROW(A131)-1, "")</f>
        <v/>
      </c>
      <c r="B133" s="1" t="str">
        <f>IF(Feiertage!$B$4+ROW(B131)-1&lt;=Feiertage!$C$4, Feiertage!$B$4+ROW(B131)-1, "")</f>
        <v/>
      </c>
      <c r="C133" s="1" t="str">
        <f>IF(Feiertage!$B$5+ROW(B131)-1&lt;=Feiertage!$C$5, Feiertage!$B$5+ROW(B131)-1, "")</f>
        <v/>
      </c>
      <c r="D133" s="1"/>
      <c r="E133" s="1" t="str">
        <f>IF(Ferien!$B$7+ROW(B131)-1&lt;=Ferien!$C$7, Ferien!$B$7+ROW(B131)-1, "")</f>
        <v/>
      </c>
      <c r="F133" s="1" t="str">
        <f>IF(Feiertage!$B$8+ROW(B131)-1&lt;=Feiertage!$C$8, Feiertage!$B$8+ROW(B131)-1, "")</f>
        <v/>
      </c>
      <c r="G133" s="1" t="str">
        <f>IF(Feiertage!$B$9+ROW(B131)-1&lt;=Feiertage!$C$9, Feiertage!$B$9+ROW(B131)-1, "")</f>
        <v/>
      </c>
      <c r="H133" s="1" t="str">
        <f>IF(Feiertage!$B$10+ROW(B131)-1&lt;=Feiertage!$C$10, Feiertage!$B$10+ROW(B131)-1, "")</f>
        <v/>
      </c>
      <c r="I133" s="1" t="str">
        <f>IF(Feiertage!$B$11+ROW(B131)-1&lt;=Feiertage!$C$11, Feiertage!$B$11+ROW(B131)-1, "")</f>
        <v/>
      </c>
      <c r="J133" s="1" t="str">
        <f>IF(Feiertage!$B$12+ROW(B131)-1&lt;=Feiertage!$C$12, Feiertage!$B$12+ROW(B131)-1, "")</f>
        <v/>
      </c>
      <c r="K133" s="1" t="str">
        <f>IF(Feiertage!$B$13+ROW(B131)-1&lt;=Feiertage!$C$13, Feiertage!$B$13+ROW(B131)-1, "")</f>
        <v/>
      </c>
      <c r="L133" s="1" t="str">
        <f>IF(Feiertage!$B$14+ROW(B131)-1&lt;=Feiertage!$C$14, Feiertage!$B$14+ROW(B131)-1, "")</f>
        <v/>
      </c>
      <c r="M133" s="1" t="str">
        <f>IF(Feiertage!$B$15+ROW(B131)-1&lt;=Feiertage!$C$15, Feiertage!$B$15+ROW(B131)-1, "")</f>
        <v/>
      </c>
      <c r="N133" s="1" t="str">
        <f>IF(Ferien!$B$16+ROW(B131)-1&lt;=Ferien!$C$16, Ferien!$B$16+ROW(B131)-1, "")</f>
        <v/>
      </c>
      <c r="O133" s="1" t="str">
        <f>IF(Feiertage!$B$17+ROW(B131)-1&lt;=Feiertage!$C$17, Feiertage!$B$17+ROW(B131)-1, "")</f>
        <v/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x14ac:dyDescent="0.3">
      <c r="A134" s="1" t="str">
        <f>IF(Feiertage!$B$3+ROW(A132)-1&lt;=Feiertage!$C$3, Feiertage!$B$3+ROW(A132)-1, "")</f>
        <v/>
      </c>
      <c r="B134" s="1" t="str">
        <f>IF(Feiertage!$B$4+ROW(B132)-1&lt;=Feiertage!$C$4, Feiertage!$B$4+ROW(B132)-1, "")</f>
        <v/>
      </c>
      <c r="C134" s="1" t="str">
        <f>IF(Feiertage!$B$5+ROW(B132)-1&lt;=Feiertage!$C$5, Feiertage!$B$5+ROW(B132)-1, "")</f>
        <v/>
      </c>
      <c r="D134" s="1"/>
      <c r="E134" s="1" t="str">
        <f>IF(Ferien!$B$7+ROW(B132)-1&lt;=Ferien!$C$7, Ferien!$B$7+ROW(B132)-1, "")</f>
        <v/>
      </c>
      <c r="F134" s="1" t="str">
        <f>IF(Feiertage!$B$8+ROW(B132)-1&lt;=Feiertage!$C$8, Feiertage!$B$8+ROW(B132)-1, "")</f>
        <v/>
      </c>
      <c r="G134" s="1" t="str">
        <f>IF(Feiertage!$B$9+ROW(B132)-1&lt;=Feiertage!$C$9, Feiertage!$B$9+ROW(B132)-1, "")</f>
        <v/>
      </c>
      <c r="H134" s="1" t="str">
        <f>IF(Feiertage!$B$10+ROW(B132)-1&lt;=Feiertage!$C$10, Feiertage!$B$10+ROW(B132)-1, "")</f>
        <v/>
      </c>
      <c r="I134" s="1" t="str">
        <f>IF(Feiertage!$B$11+ROW(B132)-1&lt;=Feiertage!$C$11, Feiertage!$B$11+ROW(B132)-1, "")</f>
        <v/>
      </c>
      <c r="J134" s="1" t="str">
        <f>IF(Feiertage!$B$12+ROW(B132)-1&lt;=Feiertage!$C$12, Feiertage!$B$12+ROW(B132)-1, "")</f>
        <v/>
      </c>
      <c r="K134" s="1" t="str">
        <f>IF(Feiertage!$B$13+ROW(B132)-1&lt;=Feiertage!$C$13, Feiertage!$B$13+ROW(B132)-1, "")</f>
        <v/>
      </c>
      <c r="L134" s="1" t="str">
        <f>IF(Feiertage!$B$14+ROW(B132)-1&lt;=Feiertage!$C$14, Feiertage!$B$14+ROW(B132)-1, "")</f>
        <v/>
      </c>
      <c r="M134" s="1" t="str">
        <f>IF(Feiertage!$B$15+ROW(B132)-1&lt;=Feiertage!$C$15, Feiertage!$B$15+ROW(B132)-1, "")</f>
        <v/>
      </c>
      <c r="N134" s="1" t="str">
        <f>IF(Ferien!$B$16+ROW(B132)-1&lt;=Ferien!$C$16, Ferien!$B$16+ROW(B132)-1, "")</f>
        <v/>
      </c>
      <c r="O134" s="1" t="str">
        <f>IF(Feiertage!$B$17+ROW(B132)-1&lt;=Feiertage!$C$17, Feiertage!$B$17+ROW(B132)-1, "")</f>
        <v/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x14ac:dyDescent="0.3">
      <c r="A135" s="1" t="str">
        <f>IF(Feiertage!$B$3+ROW(A133)-1&lt;=Feiertage!$C$3, Feiertage!$B$3+ROW(A133)-1, "")</f>
        <v/>
      </c>
      <c r="B135" s="1" t="str">
        <f>IF(Feiertage!$B$4+ROW(B133)-1&lt;=Feiertage!$C$4, Feiertage!$B$4+ROW(B133)-1, "")</f>
        <v/>
      </c>
      <c r="C135" s="1" t="str">
        <f>IF(Feiertage!$B$5+ROW(B133)-1&lt;=Feiertage!$C$5, Feiertage!$B$5+ROW(B133)-1, "")</f>
        <v/>
      </c>
      <c r="D135" s="1"/>
      <c r="E135" s="1" t="str">
        <f>IF(Ferien!$B$7+ROW(B133)-1&lt;=Ferien!$C$7, Ferien!$B$7+ROW(B133)-1, "")</f>
        <v/>
      </c>
      <c r="F135" s="1" t="str">
        <f>IF(Feiertage!$B$8+ROW(B133)-1&lt;=Feiertage!$C$8, Feiertage!$B$8+ROW(B133)-1, "")</f>
        <v/>
      </c>
      <c r="G135" s="1" t="str">
        <f>IF(Feiertage!$B$9+ROW(B133)-1&lt;=Feiertage!$C$9, Feiertage!$B$9+ROW(B133)-1, "")</f>
        <v/>
      </c>
      <c r="H135" s="1" t="str">
        <f>IF(Feiertage!$B$10+ROW(B133)-1&lt;=Feiertage!$C$10, Feiertage!$B$10+ROW(B133)-1, "")</f>
        <v/>
      </c>
      <c r="I135" s="1" t="str">
        <f>IF(Feiertage!$B$11+ROW(B133)-1&lt;=Feiertage!$C$11, Feiertage!$B$11+ROW(B133)-1, "")</f>
        <v/>
      </c>
      <c r="J135" s="1" t="str">
        <f>IF(Feiertage!$B$12+ROW(B133)-1&lt;=Feiertage!$C$12, Feiertage!$B$12+ROW(B133)-1, "")</f>
        <v/>
      </c>
      <c r="K135" s="1" t="str">
        <f>IF(Feiertage!$B$13+ROW(B133)-1&lt;=Feiertage!$C$13, Feiertage!$B$13+ROW(B133)-1, "")</f>
        <v/>
      </c>
      <c r="L135" s="1" t="str">
        <f>IF(Feiertage!$B$14+ROW(B133)-1&lt;=Feiertage!$C$14, Feiertage!$B$14+ROW(B133)-1, "")</f>
        <v/>
      </c>
      <c r="M135" s="1" t="str">
        <f>IF(Feiertage!$B$15+ROW(B133)-1&lt;=Feiertage!$C$15, Feiertage!$B$15+ROW(B133)-1, "")</f>
        <v/>
      </c>
      <c r="N135" s="1" t="str">
        <f>IF(Ferien!$B$16+ROW(B133)-1&lt;=Ferien!$C$16, Ferien!$B$16+ROW(B133)-1, "")</f>
        <v/>
      </c>
      <c r="O135" s="1" t="str">
        <f>IF(Feiertage!$B$17+ROW(B133)-1&lt;=Feiertage!$C$17, Feiertage!$B$17+ROW(B133)-1, "")</f>
        <v/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x14ac:dyDescent="0.3">
      <c r="A136" s="1" t="str">
        <f>IF(Feiertage!$B$3+ROW(A134)-1&lt;=Feiertage!$C$3, Feiertage!$B$3+ROW(A134)-1, "")</f>
        <v/>
      </c>
      <c r="B136" s="1" t="str">
        <f>IF(Feiertage!$B$4+ROW(B134)-1&lt;=Feiertage!$C$4, Feiertage!$B$4+ROW(B134)-1, "")</f>
        <v/>
      </c>
      <c r="C136" s="1" t="str">
        <f>IF(Feiertage!$B$5+ROW(B134)-1&lt;=Feiertage!$C$5, Feiertage!$B$5+ROW(B134)-1, "")</f>
        <v/>
      </c>
      <c r="D136" s="1"/>
      <c r="E136" s="1" t="str">
        <f>IF(Ferien!$B$7+ROW(B134)-1&lt;=Ferien!$C$7, Ferien!$B$7+ROW(B134)-1, "")</f>
        <v/>
      </c>
      <c r="F136" s="1" t="str">
        <f>IF(Feiertage!$B$8+ROW(B134)-1&lt;=Feiertage!$C$8, Feiertage!$B$8+ROW(B134)-1, "")</f>
        <v/>
      </c>
      <c r="G136" s="1" t="str">
        <f>IF(Feiertage!$B$9+ROW(B134)-1&lt;=Feiertage!$C$9, Feiertage!$B$9+ROW(B134)-1, "")</f>
        <v/>
      </c>
      <c r="H136" s="1" t="str">
        <f>IF(Feiertage!$B$10+ROW(B134)-1&lt;=Feiertage!$C$10, Feiertage!$B$10+ROW(B134)-1, "")</f>
        <v/>
      </c>
      <c r="I136" s="1" t="str">
        <f>IF(Feiertage!$B$11+ROW(B134)-1&lt;=Feiertage!$C$11, Feiertage!$B$11+ROW(B134)-1, "")</f>
        <v/>
      </c>
      <c r="J136" s="1" t="str">
        <f>IF(Feiertage!$B$12+ROW(B134)-1&lt;=Feiertage!$C$12, Feiertage!$B$12+ROW(B134)-1, "")</f>
        <v/>
      </c>
      <c r="K136" s="1" t="str">
        <f>IF(Feiertage!$B$13+ROW(B134)-1&lt;=Feiertage!$C$13, Feiertage!$B$13+ROW(B134)-1, "")</f>
        <v/>
      </c>
      <c r="L136" s="1" t="str">
        <f>IF(Feiertage!$B$14+ROW(B134)-1&lt;=Feiertage!$C$14, Feiertage!$B$14+ROW(B134)-1, "")</f>
        <v/>
      </c>
      <c r="M136" s="1" t="str">
        <f>IF(Feiertage!$B$15+ROW(B134)-1&lt;=Feiertage!$C$15, Feiertage!$B$15+ROW(B134)-1, "")</f>
        <v/>
      </c>
      <c r="N136" s="1" t="str">
        <f>IF(Ferien!$B$16+ROW(B134)-1&lt;=Ferien!$C$16, Ferien!$B$16+ROW(B134)-1, "")</f>
        <v/>
      </c>
      <c r="O136" s="1" t="str">
        <f>IF(Feiertage!$B$17+ROW(B134)-1&lt;=Feiertage!$C$17, Feiertage!$B$17+ROW(B134)-1, "")</f>
        <v/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x14ac:dyDescent="0.3">
      <c r="A137" s="1" t="str">
        <f>IF(Feiertage!$B$3+ROW(A135)-1&lt;=Feiertage!$C$3, Feiertage!$B$3+ROW(A135)-1, "")</f>
        <v/>
      </c>
      <c r="B137" s="1" t="str">
        <f>IF(Feiertage!$B$4+ROW(B135)-1&lt;=Feiertage!$C$4, Feiertage!$B$4+ROW(B135)-1, "")</f>
        <v/>
      </c>
      <c r="C137" s="1" t="str">
        <f>IF(Feiertage!$B$5+ROW(B135)-1&lt;=Feiertage!$C$5, Feiertage!$B$5+ROW(B135)-1, "")</f>
        <v/>
      </c>
      <c r="D137" s="1"/>
      <c r="E137" s="1" t="str">
        <f>IF(Ferien!$B$7+ROW(B135)-1&lt;=Ferien!$C$7, Ferien!$B$7+ROW(B135)-1, "")</f>
        <v/>
      </c>
      <c r="F137" s="1" t="str">
        <f>IF(Feiertage!$B$8+ROW(B135)-1&lt;=Feiertage!$C$8, Feiertage!$B$8+ROW(B135)-1, "")</f>
        <v/>
      </c>
      <c r="G137" s="1" t="str">
        <f>IF(Feiertage!$B$9+ROW(B135)-1&lt;=Feiertage!$C$9, Feiertage!$B$9+ROW(B135)-1, "")</f>
        <v/>
      </c>
      <c r="H137" s="1" t="str">
        <f>IF(Feiertage!$B$10+ROW(B135)-1&lt;=Feiertage!$C$10, Feiertage!$B$10+ROW(B135)-1, "")</f>
        <v/>
      </c>
      <c r="I137" s="1" t="str">
        <f>IF(Feiertage!$B$11+ROW(B135)-1&lt;=Feiertage!$C$11, Feiertage!$B$11+ROW(B135)-1, "")</f>
        <v/>
      </c>
      <c r="J137" s="1" t="str">
        <f>IF(Feiertage!$B$12+ROW(B135)-1&lt;=Feiertage!$C$12, Feiertage!$B$12+ROW(B135)-1, "")</f>
        <v/>
      </c>
      <c r="K137" s="1" t="str">
        <f>IF(Feiertage!$B$13+ROW(B135)-1&lt;=Feiertage!$C$13, Feiertage!$B$13+ROW(B135)-1, "")</f>
        <v/>
      </c>
      <c r="L137" s="1" t="str">
        <f>IF(Feiertage!$B$14+ROW(B135)-1&lt;=Feiertage!$C$14, Feiertage!$B$14+ROW(B135)-1, "")</f>
        <v/>
      </c>
      <c r="M137" s="1" t="str">
        <f>IF(Feiertage!$B$15+ROW(B135)-1&lt;=Feiertage!$C$15, Feiertage!$B$15+ROW(B135)-1, "")</f>
        <v/>
      </c>
      <c r="N137" s="1" t="str">
        <f>IF(Ferien!$B$16+ROW(B135)-1&lt;=Ferien!$C$16, Ferien!$B$16+ROW(B135)-1, "")</f>
        <v/>
      </c>
      <c r="O137" s="1" t="str">
        <f>IF(Feiertage!$B$17+ROW(B135)-1&lt;=Feiertage!$C$17, Feiertage!$B$17+ROW(B135)-1, "")</f>
        <v/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x14ac:dyDescent="0.3">
      <c r="A138" s="1" t="str">
        <f>IF(Feiertage!$B$3+ROW(A136)-1&lt;=Feiertage!$C$3, Feiertage!$B$3+ROW(A136)-1, "")</f>
        <v/>
      </c>
      <c r="B138" s="1" t="str">
        <f>IF(Feiertage!$B$4+ROW(B136)-1&lt;=Feiertage!$C$4, Feiertage!$B$4+ROW(B136)-1, "")</f>
        <v/>
      </c>
      <c r="C138" s="1" t="str">
        <f>IF(Feiertage!$B$5+ROW(B136)-1&lt;=Feiertage!$C$5, Feiertage!$B$5+ROW(B136)-1, "")</f>
        <v/>
      </c>
      <c r="D138" s="1"/>
      <c r="E138" s="1" t="str">
        <f>IF(Ferien!$B$7+ROW(B136)-1&lt;=Ferien!$C$7, Ferien!$B$7+ROW(B136)-1, "")</f>
        <v/>
      </c>
      <c r="F138" s="1" t="str">
        <f>IF(Feiertage!$B$8+ROW(B136)-1&lt;=Feiertage!$C$8, Feiertage!$B$8+ROW(B136)-1, "")</f>
        <v/>
      </c>
      <c r="G138" s="1" t="str">
        <f>IF(Feiertage!$B$9+ROW(B136)-1&lt;=Feiertage!$C$9, Feiertage!$B$9+ROW(B136)-1, "")</f>
        <v/>
      </c>
      <c r="H138" s="1" t="str">
        <f>IF(Feiertage!$B$10+ROW(B136)-1&lt;=Feiertage!$C$10, Feiertage!$B$10+ROW(B136)-1, "")</f>
        <v/>
      </c>
      <c r="I138" s="1" t="str">
        <f>IF(Feiertage!$B$11+ROW(B136)-1&lt;=Feiertage!$C$11, Feiertage!$B$11+ROW(B136)-1, "")</f>
        <v/>
      </c>
      <c r="J138" s="1" t="str">
        <f>IF(Feiertage!$B$12+ROW(B136)-1&lt;=Feiertage!$C$12, Feiertage!$B$12+ROW(B136)-1, "")</f>
        <v/>
      </c>
      <c r="K138" s="1" t="str">
        <f>IF(Feiertage!$B$13+ROW(B136)-1&lt;=Feiertage!$C$13, Feiertage!$B$13+ROW(B136)-1, "")</f>
        <v/>
      </c>
      <c r="L138" s="1" t="str">
        <f>IF(Feiertage!$B$14+ROW(B136)-1&lt;=Feiertage!$C$14, Feiertage!$B$14+ROW(B136)-1, "")</f>
        <v/>
      </c>
      <c r="M138" s="1" t="str">
        <f>IF(Feiertage!$B$15+ROW(B136)-1&lt;=Feiertage!$C$15, Feiertage!$B$15+ROW(B136)-1, "")</f>
        <v/>
      </c>
      <c r="N138" s="1" t="str">
        <f>IF(Ferien!$B$16+ROW(B136)-1&lt;=Ferien!$C$16, Ferien!$B$16+ROW(B136)-1, "")</f>
        <v/>
      </c>
      <c r="O138" s="1" t="str">
        <f>IF(Feiertage!$B$17+ROW(B136)-1&lt;=Feiertage!$C$17, Feiertage!$B$17+ROW(B136)-1, "")</f>
        <v/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x14ac:dyDescent="0.3">
      <c r="A139" s="1" t="str">
        <f>IF(Feiertage!$B$3+ROW(A137)-1&lt;=Feiertage!$C$3, Feiertage!$B$3+ROW(A137)-1, "")</f>
        <v/>
      </c>
      <c r="B139" s="1" t="str">
        <f>IF(Feiertage!$B$4+ROW(B137)-1&lt;=Feiertage!$C$4, Feiertage!$B$4+ROW(B137)-1, "")</f>
        <v/>
      </c>
      <c r="C139" s="1" t="str">
        <f>IF(Feiertage!$B$5+ROW(B137)-1&lt;=Feiertage!$C$5, Feiertage!$B$5+ROW(B137)-1, "")</f>
        <v/>
      </c>
      <c r="D139" s="1"/>
      <c r="E139" s="1" t="str">
        <f>IF(Ferien!$B$7+ROW(B137)-1&lt;=Ferien!$C$7, Ferien!$B$7+ROW(B137)-1, "")</f>
        <v/>
      </c>
      <c r="F139" s="1" t="str">
        <f>IF(Feiertage!$B$8+ROW(B137)-1&lt;=Feiertage!$C$8, Feiertage!$B$8+ROW(B137)-1, "")</f>
        <v/>
      </c>
      <c r="G139" s="1" t="str">
        <f>IF(Feiertage!$B$9+ROW(B137)-1&lt;=Feiertage!$C$9, Feiertage!$B$9+ROW(B137)-1, "")</f>
        <v/>
      </c>
      <c r="H139" s="1" t="str">
        <f>IF(Feiertage!$B$10+ROW(B137)-1&lt;=Feiertage!$C$10, Feiertage!$B$10+ROW(B137)-1, "")</f>
        <v/>
      </c>
      <c r="I139" s="1" t="str">
        <f>IF(Feiertage!$B$11+ROW(B137)-1&lt;=Feiertage!$C$11, Feiertage!$B$11+ROW(B137)-1, "")</f>
        <v/>
      </c>
      <c r="J139" s="1" t="str">
        <f>IF(Feiertage!$B$12+ROW(B137)-1&lt;=Feiertage!$C$12, Feiertage!$B$12+ROW(B137)-1, "")</f>
        <v/>
      </c>
      <c r="K139" s="1" t="str">
        <f>IF(Feiertage!$B$13+ROW(B137)-1&lt;=Feiertage!$C$13, Feiertage!$B$13+ROW(B137)-1, "")</f>
        <v/>
      </c>
      <c r="L139" s="1" t="str">
        <f>IF(Feiertage!$B$14+ROW(B137)-1&lt;=Feiertage!$C$14, Feiertage!$B$14+ROW(B137)-1, "")</f>
        <v/>
      </c>
      <c r="M139" s="1" t="str">
        <f>IF(Feiertage!$B$15+ROW(B137)-1&lt;=Feiertage!$C$15, Feiertage!$B$15+ROW(B137)-1, "")</f>
        <v/>
      </c>
      <c r="N139" s="1" t="str">
        <f>IF(Ferien!$B$16+ROW(B137)-1&lt;=Ferien!$C$16, Ferien!$B$16+ROW(B137)-1, "")</f>
        <v/>
      </c>
      <c r="O139" s="1" t="str">
        <f>IF(Feiertage!$B$17+ROW(B137)-1&lt;=Feiertage!$C$17, Feiertage!$B$17+ROW(B137)-1, "")</f>
        <v/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x14ac:dyDescent="0.3">
      <c r="A140" s="1" t="str">
        <f>IF(Feiertage!$B$3+ROW(A138)-1&lt;=Feiertage!$C$3, Feiertage!$B$3+ROW(A138)-1, "")</f>
        <v/>
      </c>
      <c r="B140" s="1" t="str">
        <f>IF(Feiertage!$B$4+ROW(B138)-1&lt;=Feiertage!$C$4, Feiertage!$B$4+ROW(B138)-1, "")</f>
        <v/>
      </c>
      <c r="C140" s="1" t="str">
        <f>IF(Feiertage!$B$5+ROW(B138)-1&lt;=Feiertage!$C$5, Feiertage!$B$5+ROW(B138)-1, "")</f>
        <v/>
      </c>
      <c r="D140" s="1"/>
      <c r="E140" s="1" t="str">
        <f>IF(Ferien!$B$7+ROW(B138)-1&lt;=Ferien!$C$7, Ferien!$B$7+ROW(B138)-1, "")</f>
        <v/>
      </c>
      <c r="F140" s="1" t="str">
        <f>IF(Feiertage!$B$8+ROW(B138)-1&lt;=Feiertage!$C$8, Feiertage!$B$8+ROW(B138)-1, "")</f>
        <v/>
      </c>
      <c r="G140" s="1" t="str">
        <f>IF(Feiertage!$B$9+ROW(B138)-1&lt;=Feiertage!$C$9, Feiertage!$B$9+ROW(B138)-1, "")</f>
        <v/>
      </c>
      <c r="H140" s="1" t="str">
        <f>IF(Feiertage!$B$10+ROW(B138)-1&lt;=Feiertage!$C$10, Feiertage!$B$10+ROW(B138)-1, "")</f>
        <v/>
      </c>
      <c r="I140" s="1" t="str">
        <f>IF(Feiertage!$B$11+ROW(B138)-1&lt;=Feiertage!$C$11, Feiertage!$B$11+ROW(B138)-1, "")</f>
        <v/>
      </c>
      <c r="J140" s="1" t="str">
        <f>IF(Feiertage!$B$12+ROW(B138)-1&lt;=Feiertage!$C$12, Feiertage!$B$12+ROW(B138)-1, "")</f>
        <v/>
      </c>
      <c r="K140" s="1" t="str">
        <f>IF(Feiertage!$B$13+ROW(B138)-1&lt;=Feiertage!$C$13, Feiertage!$B$13+ROW(B138)-1, "")</f>
        <v/>
      </c>
      <c r="L140" s="1" t="str">
        <f>IF(Feiertage!$B$14+ROW(B138)-1&lt;=Feiertage!$C$14, Feiertage!$B$14+ROW(B138)-1, "")</f>
        <v/>
      </c>
      <c r="M140" s="1" t="str">
        <f>IF(Feiertage!$B$15+ROW(B138)-1&lt;=Feiertage!$C$15, Feiertage!$B$15+ROW(B138)-1, "")</f>
        <v/>
      </c>
      <c r="N140" s="1" t="str">
        <f>IF(Ferien!$B$16+ROW(B138)-1&lt;=Ferien!$C$16, Ferien!$B$16+ROW(B138)-1, "")</f>
        <v/>
      </c>
      <c r="O140" s="1" t="str">
        <f>IF(Feiertage!$B$17+ROW(B138)-1&lt;=Feiertage!$C$17, Feiertage!$B$17+ROW(B138)-1, "")</f>
        <v/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x14ac:dyDescent="0.3">
      <c r="A141" s="1" t="str">
        <f>IF(Feiertage!$B$3+ROW(A139)-1&lt;=Feiertage!$C$3, Feiertage!$B$3+ROW(A139)-1, "")</f>
        <v/>
      </c>
      <c r="B141" s="1" t="str">
        <f>IF(Feiertage!$B$4+ROW(B139)-1&lt;=Feiertage!$C$4, Feiertage!$B$4+ROW(B139)-1, "")</f>
        <v/>
      </c>
      <c r="C141" s="1" t="str">
        <f>IF(Feiertage!$B$5+ROW(B139)-1&lt;=Feiertage!$C$5, Feiertage!$B$5+ROW(B139)-1, "")</f>
        <v/>
      </c>
      <c r="D141" s="1"/>
      <c r="E141" s="1" t="str">
        <f>IF(Ferien!$B$7+ROW(B139)-1&lt;=Ferien!$C$7, Ferien!$B$7+ROW(B139)-1, "")</f>
        <v/>
      </c>
      <c r="F141" s="1" t="str">
        <f>IF(Feiertage!$B$8+ROW(B139)-1&lt;=Feiertage!$C$8, Feiertage!$B$8+ROW(B139)-1, "")</f>
        <v/>
      </c>
      <c r="G141" s="1" t="str">
        <f>IF(Feiertage!$B$9+ROW(B139)-1&lt;=Feiertage!$C$9, Feiertage!$B$9+ROW(B139)-1, "")</f>
        <v/>
      </c>
      <c r="H141" s="1" t="str">
        <f>IF(Feiertage!$B$10+ROW(B139)-1&lt;=Feiertage!$C$10, Feiertage!$B$10+ROW(B139)-1, "")</f>
        <v/>
      </c>
      <c r="I141" s="1" t="str">
        <f>IF(Feiertage!$B$11+ROW(B139)-1&lt;=Feiertage!$C$11, Feiertage!$B$11+ROW(B139)-1, "")</f>
        <v/>
      </c>
      <c r="J141" s="1" t="str">
        <f>IF(Feiertage!$B$12+ROW(B139)-1&lt;=Feiertage!$C$12, Feiertage!$B$12+ROW(B139)-1, "")</f>
        <v/>
      </c>
      <c r="K141" s="1" t="str">
        <f>IF(Feiertage!$B$13+ROW(B139)-1&lt;=Feiertage!$C$13, Feiertage!$B$13+ROW(B139)-1, "")</f>
        <v/>
      </c>
      <c r="L141" s="1" t="str">
        <f>IF(Feiertage!$B$14+ROW(B139)-1&lt;=Feiertage!$C$14, Feiertage!$B$14+ROW(B139)-1, "")</f>
        <v/>
      </c>
      <c r="M141" s="1" t="str">
        <f>IF(Feiertage!$B$15+ROW(B139)-1&lt;=Feiertage!$C$15, Feiertage!$B$15+ROW(B139)-1, "")</f>
        <v/>
      </c>
      <c r="N141" s="1" t="str">
        <f>IF(Ferien!$B$16+ROW(B139)-1&lt;=Ferien!$C$16, Ferien!$B$16+ROW(B139)-1, "")</f>
        <v/>
      </c>
      <c r="O141" s="1" t="str">
        <f>IF(Feiertage!$B$17+ROW(B139)-1&lt;=Feiertage!$C$17, Feiertage!$B$17+ROW(B139)-1, "")</f>
        <v/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x14ac:dyDescent="0.3">
      <c r="A142" s="1" t="str">
        <f>IF(Feiertage!$B$3+ROW(A140)-1&lt;=Feiertage!$C$3, Feiertage!$B$3+ROW(A140)-1, "")</f>
        <v/>
      </c>
      <c r="B142" s="1" t="str">
        <f>IF(Feiertage!$B$4+ROW(B140)-1&lt;=Feiertage!$C$4, Feiertage!$B$4+ROW(B140)-1, "")</f>
        <v/>
      </c>
      <c r="C142" s="1" t="str">
        <f>IF(Feiertage!$B$5+ROW(B140)-1&lt;=Feiertage!$C$5, Feiertage!$B$5+ROW(B140)-1, "")</f>
        <v/>
      </c>
      <c r="D142" s="1"/>
      <c r="E142" s="1" t="str">
        <f>IF(Ferien!$B$7+ROW(B140)-1&lt;=Ferien!$C$7, Ferien!$B$7+ROW(B140)-1, "")</f>
        <v/>
      </c>
      <c r="F142" s="1" t="str">
        <f>IF(Feiertage!$B$8+ROW(B140)-1&lt;=Feiertage!$C$8, Feiertage!$B$8+ROW(B140)-1, "")</f>
        <v/>
      </c>
      <c r="G142" s="1" t="str">
        <f>IF(Feiertage!$B$9+ROW(B140)-1&lt;=Feiertage!$C$9, Feiertage!$B$9+ROW(B140)-1, "")</f>
        <v/>
      </c>
      <c r="H142" s="1" t="str">
        <f>IF(Feiertage!$B$10+ROW(B140)-1&lt;=Feiertage!$C$10, Feiertage!$B$10+ROW(B140)-1, "")</f>
        <v/>
      </c>
      <c r="I142" s="1" t="str">
        <f>IF(Feiertage!$B$11+ROW(B140)-1&lt;=Feiertage!$C$11, Feiertage!$B$11+ROW(B140)-1, "")</f>
        <v/>
      </c>
      <c r="J142" s="1" t="str">
        <f>IF(Feiertage!$B$12+ROW(B140)-1&lt;=Feiertage!$C$12, Feiertage!$B$12+ROW(B140)-1, "")</f>
        <v/>
      </c>
      <c r="K142" s="1" t="str">
        <f>IF(Feiertage!$B$13+ROW(B140)-1&lt;=Feiertage!$C$13, Feiertage!$B$13+ROW(B140)-1, "")</f>
        <v/>
      </c>
      <c r="L142" s="1" t="str">
        <f>IF(Feiertage!$B$14+ROW(B140)-1&lt;=Feiertage!$C$14, Feiertage!$B$14+ROW(B140)-1, "")</f>
        <v/>
      </c>
      <c r="M142" s="1" t="str">
        <f>IF(Feiertage!$B$15+ROW(B140)-1&lt;=Feiertage!$C$15, Feiertage!$B$15+ROW(B140)-1, "")</f>
        <v/>
      </c>
      <c r="N142" s="1" t="str">
        <f>IF(Ferien!$B$16+ROW(B140)-1&lt;=Ferien!$C$16, Ferien!$B$16+ROW(B140)-1, "")</f>
        <v/>
      </c>
      <c r="O142" s="1" t="str">
        <f>IF(Feiertage!$B$17+ROW(B140)-1&lt;=Feiertage!$C$17, Feiertage!$B$17+ROW(B140)-1, "")</f>
        <v/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x14ac:dyDescent="0.3">
      <c r="A143" s="1" t="str">
        <f>IF(Feiertage!$B$3+ROW(A141)-1&lt;=Feiertage!$C$3, Feiertage!$B$3+ROW(A141)-1, "")</f>
        <v/>
      </c>
      <c r="B143" s="1" t="str">
        <f>IF(Feiertage!$B$4+ROW(B141)-1&lt;=Feiertage!$C$4, Feiertage!$B$4+ROW(B141)-1, "")</f>
        <v/>
      </c>
      <c r="C143" s="1" t="str">
        <f>IF(Feiertage!$B$5+ROW(B141)-1&lt;=Feiertage!$C$5, Feiertage!$B$5+ROW(B141)-1, "")</f>
        <v/>
      </c>
      <c r="D143" s="1"/>
      <c r="E143" s="1" t="str">
        <f>IF(Ferien!$B$7+ROW(B141)-1&lt;=Ferien!$C$7, Ferien!$B$7+ROW(B141)-1, "")</f>
        <v/>
      </c>
      <c r="F143" s="1" t="str">
        <f>IF(Feiertage!$B$8+ROW(B141)-1&lt;=Feiertage!$C$8, Feiertage!$B$8+ROW(B141)-1, "")</f>
        <v/>
      </c>
      <c r="G143" s="1" t="str">
        <f>IF(Feiertage!$B$9+ROW(B141)-1&lt;=Feiertage!$C$9, Feiertage!$B$9+ROW(B141)-1, "")</f>
        <v/>
      </c>
      <c r="H143" s="1" t="str">
        <f>IF(Feiertage!$B$10+ROW(B141)-1&lt;=Feiertage!$C$10, Feiertage!$B$10+ROW(B141)-1, "")</f>
        <v/>
      </c>
      <c r="I143" s="1" t="str">
        <f>IF(Feiertage!$B$11+ROW(B141)-1&lt;=Feiertage!$C$11, Feiertage!$B$11+ROW(B141)-1, "")</f>
        <v/>
      </c>
      <c r="J143" s="1" t="str">
        <f>IF(Feiertage!$B$12+ROW(B141)-1&lt;=Feiertage!$C$12, Feiertage!$B$12+ROW(B141)-1, "")</f>
        <v/>
      </c>
      <c r="K143" s="1" t="str">
        <f>IF(Feiertage!$B$13+ROW(B141)-1&lt;=Feiertage!$C$13, Feiertage!$B$13+ROW(B141)-1, "")</f>
        <v/>
      </c>
      <c r="L143" s="1" t="str">
        <f>IF(Feiertage!$B$14+ROW(B141)-1&lt;=Feiertage!$C$14, Feiertage!$B$14+ROW(B141)-1, "")</f>
        <v/>
      </c>
      <c r="M143" s="1" t="str">
        <f>IF(Feiertage!$B$15+ROW(B141)-1&lt;=Feiertage!$C$15, Feiertage!$B$15+ROW(B141)-1, "")</f>
        <v/>
      </c>
      <c r="N143" s="1" t="str">
        <f>IF(Ferien!$B$16+ROW(B141)-1&lt;=Ferien!$C$16, Ferien!$B$16+ROW(B141)-1, "")</f>
        <v/>
      </c>
      <c r="O143" s="1" t="str">
        <f>IF(Feiertage!$B$17+ROW(B141)-1&lt;=Feiertage!$C$17, Feiertage!$B$17+ROW(B141)-1, "")</f>
        <v/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x14ac:dyDescent="0.3">
      <c r="A144" s="1" t="str">
        <f>IF(Feiertage!$B$3+ROW(A142)-1&lt;=Feiertage!$C$3, Feiertage!$B$3+ROW(A142)-1, "")</f>
        <v/>
      </c>
      <c r="B144" s="1" t="str">
        <f>IF(Feiertage!$B$4+ROW(B142)-1&lt;=Feiertage!$C$4, Feiertage!$B$4+ROW(B142)-1, "")</f>
        <v/>
      </c>
      <c r="C144" s="1" t="str">
        <f>IF(Feiertage!$B$5+ROW(B142)-1&lt;=Feiertage!$C$5, Feiertage!$B$5+ROW(B142)-1, "")</f>
        <v/>
      </c>
      <c r="D144" s="1"/>
      <c r="E144" s="1" t="str">
        <f>IF(Ferien!$B$7+ROW(B142)-1&lt;=Ferien!$C$7, Ferien!$B$7+ROW(B142)-1, "")</f>
        <v/>
      </c>
      <c r="F144" s="1" t="str">
        <f>IF(Feiertage!$B$8+ROW(B142)-1&lt;=Feiertage!$C$8, Feiertage!$B$8+ROW(B142)-1, "")</f>
        <v/>
      </c>
      <c r="G144" s="1" t="str">
        <f>IF(Feiertage!$B$9+ROW(B142)-1&lt;=Feiertage!$C$9, Feiertage!$B$9+ROW(B142)-1, "")</f>
        <v/>
      </c>
      <c r="H144" s="1" t="str">
        <f>IF(Feiertage!$B$10+ROW(B142)-1&lt;=Feiertage!$C$10, Feiertage!$B$10+ROW(B142)-1, "")</f>
        <v/>
      </c>
      <c r="I144" s="1" t="str">
        <f>IF(Feiertage!$B$11+ROW(B142)-1&lt;=Feiertage!$C$11, Feiertage!$B$11+ROW(B142)-1, "")</f>
        <v/>
      </c>
      <c r="J144" s="1" t="str">
        <f>IF(Feiertage!$B$12+ROW(B142)-1&lt;=Feiertage!$C$12, Feiertage!$B$12+ROW(B142)-1, "")</f>
        <v/>
      </c>
      <c r="K144" s="1" t="str">
        <f>IF(Feiertage!$B$13+ROW(B142)-1&lt;=Feiertage!$C$13, Feiertage!$B$13+ROW(B142)-1, "")</f>
        <v/>
      </c>
      <c r="L144" s="1" t="str">
        <f>IF(Feiertage!$B$14+ROW(B142)-1&lt;=Feiertage!$C$14, Feiertage!$B$14+ROW(B142)-1, "")</f>
        <v/>
      </c>
      <c r="M144" s="1" t="str">
        <f>IF(Feiertage!$B$15+ROW(B142)-1&lt;=Feiertage!$C$15, Feiertage!$B$15+ROW(B142)-1, "")</f>
        <v/>
      </c>
      <c r="N144" s="1" t="str">
        <f>IF(Ferien!$B$16+ROW(B142)-1&lt;=Ferien!$C$16, Ferien!$B$16+ROW(B142)-1, "")</f>
        <v/>
      </c>
      <c r="O144" s="1" t="str">
        <f>IF(Feiertage!$B$17+ROW(B142)-1&lt;=Feiertage!$C$17, Feiertage!$B$17+ROW(B142)-1, "")</f>
        <v/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x14ac:dyDescent="0.3">
      <c r="A145" s="1" t="str">
        <f>IF(Feiertage!$B$3+ROW(A143)-1&lt;=Feiertage!$C$3, Feiertage!$B$3+ROW(A143)-1, "")</f>
        <v/>
      </c>
      <c r="B145" s="1" t="str">
        <f>IF(Feiertage!$B$4+ROW(B143)-1&lt;=Feiertage!$C$4, Feiertage!$B$4+ROW(B143)-1, "")</f>
        <v/>
      </c>
      <c r="C145" s="1" t="str">
        <f>IF(Feiertage!$B$5+ROW(B143)-1&lt;=Feiertage!$C$5, Feiertage!$B$5+ROW(B143)-1, "")</f>
        <v/>
      </c>
      <c r="D145" s="1"/>
      <c r="E145" s="1" t="str">
        <f>IF(Ferien!$B$7+ROW(B143)-1&lt;=Ferien!$C$7, Ferien!$B$7+ROW(B143)-1, "")</f>
        <v/>
      </c>
      <c r="F145" s="1" t="str">
        <f>IF(Feiertage!$B$8+ROW(B143)-1&lt;=Feiertage!$C$8, Feiertage!$B$8+ROW(B143)-1, "")</f>
        <v/>
      </c>
      <c r="G145" s="1" t="str">
        <f>IF(Feiertage!$B$9+ROW(B143)-1&lt;=Feiertage!$C$9, Feiertage!$B$9+ROW(B143)-1, "")</f>
        <v/>
      </c>
      <c r="H145" s="1" t="str">
        <f>IF(Feiertage!$B$10+ROW(B143)-1&lt;=Feiertage!$C$10, Feiertage!$B$10+ROW(B143)-1, "")</f>
        <v/>
      </c>
      <c r="I145" s="1" t="str">
        <f>IF(Feiertage!$B$11+ROW(B143)-1&lt;=Feiertage!$C$11, Feiertage!$B$11+ROW(B143)-1, "")</f>
        <v/>
      </c>
      <c r="J145" s="1" t="str">
        <f>IF(Feiertage!$B$12+ROW(B143)-1&lt;=Feiertage!$C$12, Feiertage!$B$12+ROW(B143)-1, "")</f>
        <v/>
      </c>
      <c r="K145" s="1" t="str">
        <f>IF(Feiertage!$B$13+ROW(B143)-1&lt;=Feiertage!$C$13, Feiertage!$B$13+ROW(B143)-1, "")</f>
        <v/>
      </c>
      <c r="L145" s="1" t="str">
        <f>IF(Feiertage!$B$14+ROW(B143)-1&lt;=Feiertage!$C$14, Feiertage!$B$14+ROW(B143)-1, "")</f>
        <v/>
      </c>
      <c r="M145" s="1" t="str">
        <f>IF(Feiertage!$B$15+ROW(B143)-1&lt;=Feiertage!$C$15, Feiertage!$B$15+ROW(B143)-1, "")</f>
        <v/>
      </c>
      <c r="N145" s="1" t="str">
        <f>IF(Ferien!$B$16+ROW(B143)-1&lt;=Ferien!$C$16, Ferien!$B$16+ROW(B143)-1, "")</f>
        <v/>
      </c>
      <c r="O145" s="1" t="str">
        <f>IF(Feiertage!$B$17+ROW(B143)-1&lt;=Feiertage!$C$17, Feiertage!$B$17+ROW(B143)-1, "")</f>
        <v/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x14ac:dyDescent="0.3">
      <c r="A146" s="1" t="str">
        <f>IF(Feiertage!$B$3+ROW(A144)-1&lt;=Feiertage!$C$3, Feiertage!$B$3+ROW(A144)-1, "")</f>
        <v/>
      </c>
      <c r="B146" s="1" t="str">
        <f>IF(Feiertage!$B$4+ROW(B144)-1&lt;=Feiertage!$C$4, Feiertage!$B$4+ROW(B144)-1, "")</f>
        <v/>
      </c>
      <c r="C146" s="1" t="str">
        <f>IF(Feiertage!$B$5+ROW(B144)-1&lt;=Feiertage!$C$5, Feiertage!$B$5+ROW(B144)-1, "")</f>
        <v/>
      </c>
      <c r="D146" s="1"/>
      <c r="E146" s="1" t="str">
        <f>IF(Ferien!$B$7+ROW(B144)-1&lt;=Ferien!$C$7, Ferien!$B$7+ROW(B144)-1, "")</f>
        <v/>
      </c>
      <c r="F146" s="1" t="str">
        <f>IF(Feiertage!$B$8+ROW(B144)-1&lt;=Feiertage!$C$8, Feiertage!$B$8+ROW(B144)-1, "")</f>
        <v/>
      </c>
      <c r="G146" s="1" t="str">
        <f>IF(Feiertage!$B$9+ROW(B144)-1&lt;=Feiertage!$C$9, Feiertage!$B$9+ROW(B144)-1, "")</f>
        <v/>
      </c>
      <c r="H146" s="1" t="str">
        <f>IF(Feiertage!$B$10+ROW(B144)-1&lt;=Feiertage!$C$10, Feiertage!$B$10+ROW(B144)-1, "")</f>
        <v/>
      </c>
      <c r="I146" s="1" t="str">
        <f>IF(Feiertage!$B$11+ROW(B144)-1&lt;=Feiertage!$C$11, Feiertage!$B$11+ROW(B144)-1, "")</f>
        <v/>
      </c>
      <c r="J146" s="1" t="str">
        <f>IF(Feiertage!$B$12+ROW(B144)-1&lt;=Feiertage!$C$12, Feiertage!$B$12+ROW(B144)-1, "")</f>
        <v/>
      </c>
      <c r="K146" s="1" t="str">
        <f>IF(Feiertage!$B$13+ROW(B144)-1&lt;=Feiertage!$C$13, Feiertage!$B$13+ROW(B144)-1, "")</f>
        <v/>
      </c>
      <c r="L146" s="1" t="str">
        <f>IF(Feiertage!$B$14+ROW(B144)-1&lt;=Feiertage!$C$14, Feiertage!$B$14+ROW(B144)-1, "")</f>
        <v/>
      </c>
      <c r="M146" s="1" t="str">
        <f>IF(Feiertage!$B$15+ROW(B144)-1&lt;=Feiertage!$C$15, Feiertage!$B$15+ROW(B144)-1, "")</f>
        <v/>
      </c>
      <c r="N146" s="1" t="str">
        <f>IF(Ferien!$B$16+ROW(B144)-1&lt;=Ferien!$C$16, Ferien!$B$16+ROW(B144)-1, "")</f>
        <v/>
      </c>
      <c r="O146" s="1" t="str">
        <f>IF(Feiertage!$B$17+ROW(B144)-1&lt;=Feiertage!$C$17, Feiertage!$B$17+ROW(B144)-1, "")</f>
        <v/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x14ac:dyDescent="0.3">
      <c r="A147" s="1" t="str">
        <f>IF(Feiertage!$B$3+ROW(A145)-1&lt;=Feiertage!$C$3, Feiertage!$B$3+ROW(A145)-1, "")</f>
        <v/>
      </c>
      <c r="B147" s="1" t="str">
        <f>IF(Feiertage!$B$4+ROW(B145)-1&lt;=Feiertage!$C$4, Feiertage!$B$4+ROW(B145)-1, "")</f>
        <v/>
      </c>
      <c r="C147" s="1" t="str">
        <f>IF(Feiertage!$B$5+ROW(B145)-1&lt;=Feiertage!$C$5, Feiertage!$B$5+ROW(B145)-1, "")</f>
        <v/>
      </c>
      <c r="D147" s="1"/>
      <c r="E147" s="1" t="str">
        <f>IF(Ferien!$B$7+ROW(B145)-1&lt;=Ferien!$C$7, Ferien!$B$7+ROW(B145)-1, "")</f>
        <v/>
      </c>
      <c r="F147" s="1" t="str">
        <f>IF(Feiertage!$B$8+ROW(B145)-1&lt;=Feiertage!$C$8, Feiertage!$B$8+ROW(B145)-1, "")</f>
        <v/>
      </c>
      <c r="G147" s="1" t="str">
        <f>IF(Feiertage!$B$9+ROW(B145)-1&lt;=Feiertage!$C$9, Feiertage!$B$9+ROW(B145)-1, "")</f>
        <v/>
      </c>
      <c r="H147" s="1" t="str">
        <f>IF(Feiertage!$B$10+ROW(B145)-1&lt;=Feiertage!$C$10, Feiertage!$B$10+ROW(B145)-1, "")</f>
        <v/>
      </c>
      <c r="I147" s="1" t="str">
        <f>IF(Feiertage!$B$11+ROW(B145)-1&lt;=Feiertage!$C$11, Feiertage!$B$11+ROW(B145)-1, "")</f>
        <v/>
      </c>
      <c r="J147" s="1" t="str">
        <f>IF(Feiertage!$B$12+ROW(B145)-1&lt;=Feiertage!$C$12, Feiertage!$B$12+ROW(B145)-1, "")</f>
        <v/>
      </c>
      <c r="K147" s="1" t="str">
        <f>IF(Feiertage!$B$13+ROW(B145)-1&lt;=Feiertage!$C$13, Feiertage!$B$13+ROW(B145)-1, "")</f>
        <v/>
      </c>
      <c r="L147" s="1" t="str">
        <f>IF(Feiertage!$B$14+ROW(B145)-1&lt;=Feiertage!$C$14, Feiertage!$B$14+ROW(B145)-1, "")</f>
        <v/>
      </c>
      <c r="M147" s="1" t="str">
        <f>IF(Feiertage!$B$15+ROW(B145)-1&lt;=Feiertage!$C$15, Feiertage!$B$15+ROW(B145)-1, "")</f>
        <v/>
      </c>
      <c r="N147" s="1" t="str">
        <f>IF(Ferien!$B$16+ROW(B145)-1&lt;=Ferien!$C$16, Ferien!$B$16+ROW(B145)-1, "")</f>
        <v/>
      </c>
      <c r="O147" s="1" t="str">
        <f>IF(Feiertage!$B$17+ROW(B145)-1&lt;=Feiertage!$C$17, Feiertage!$B$17+ROW(B145)-1, "")</f>
        <v/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x14ac:dyDescent="0.3">
      <c r="A148" s="1" t="str">
        <f>IF(Feiertage!$B$3+ROW(A146)-1&lt;=Feiertage!$C$3, Feiertage!$B$3+ROW(A146)-1, "")</f>
        <v/>
      </c>
      <c r="B148" s="1" t="str">
        <f>IF(Feiertage!$B$4+ROW(B146)-1&lt;=Feiertage!$C$4, Feiertage!$B$4+ROW(B146)-1, "")</f>
        <v/>
      </c>
      <c r="C148" s="1" t="str">
        <f>IF(Feiertage!$B$5+ROW(B146)-1&lt;=Feiertage!$C$5, Feiertage!$B$5+ROW(B146)-1, "")</f>
        <v/>
      </c>
      <c r="D148" s="1"/>
      <c r="E148" s="1" t="str">
        <f>IF(Ferien!$B$7+ROW(B146)-1&lt;=Ferien!$C$7, Ferien!$B$7+ROW(B146)-1, "")</f>
        <v/>
      </c>
      <c r="F148" s="1" t="str">
        <f>IF(Feiertage!$B$8+ROW(B146)-1&lt;=Feiertage!$C$8, Feiertage!$B$8+ROW(B146)-1, "")</f>
        <v/>
      </c>
      <c r="G148" s="1" t="str">
        <f>IF(Feiertage!$B$9+ROW(B146)-1&lt;=Feiertage!$C$9, Feiertage!$B$9+ROW(B146)-1, "")</f>
        <v/>
      </c>
      <c r="H148" s="1" t="str">
        <f>IF(Feiertage!$B$10+ROW(B146)-1&lt;=Feiertage!$C$10, Feiertage!$B$10+ROW(B146)-1, "")</f>
        <v/>
      </c>
      <c r="I148" s="1" t="str">
        <f>IF(Feiertage!$B$11+ROW(B146)-1&lt;=Feiertage!$C$11, Feiertage!$B$11+ROW(B146)-1, "")</f>
        <v/>
      </c>
      <c r="J148" s="1" t="str">
        <f>IF(Feiertage!$B$12+ROW(B146)-1&lt;=Feiertage!$C$12, Feiertage!$B$12+ROW(B146)-1, "")</f>
        <v/>
      </c>
      <c r="K148" s="1" t="str">
        <f>IF(Feiertage!$B$13+ROW(B146)-1&lt;=Feiertage!$C$13, Feiertage!$B$13+ROW(B146)-1, "")</f>
        <v/>
      </c>
      <c r="L148" s="1" t="str">
        <f>IF(Feiertage!$B$14+ROW(B146)-1&lt;=Feiertage!$C$14, Feiertage!$B$14+ROW(B146)-1, "")</f>
        <v/>
      </c>
      <c r="M148" s="1" t="str">
        <f>IF(Feiertage!$B$15+ROW(B146)-1&lt;=Feiertage!$C$15, Feiertage!$B$15+ROW(B146)-1, "")</f>
        <v/>
      </c>
      <c r="N148" s="1" t="str">
        <f>IF(Ferien!$B$16+ROW(B146)-1&lt;=Ferien!$C$16, Ferien!$B$16+ROW(B146)-1, "")</f>
        <v/>
      </c>
      <c r="O148" s="1" t="str">
        <f>IF(Feiertage!$B$17+ROW(B146)-1&lt;=Feiertage!$C$17, Feiertage!$B$17+ROW(B146)-1, "")</f>
        <v/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x14ac:dyDescent="0.3">
      <c r="A149" s="1" t="str">
        <f>IF(Feiertage!$B$3+ROW(A147)-1&lt;=Feiertage!$C$3, Feiertage!$B$3+ROW(A147)-1, "")</f>
        <v/>
      </c>
      <c r="B149" s="1" t="str">
        <f>IF(Feiertage!$B$4+ROW(B147)-1&lt;=Feiertage!$C$4, Feiertage!$B$4+ROW(B147)-1, "")</f>
        <v/>
      </c>
      <c r="C149" s="1" t="str">
        <f>IF(Feiertage!$B$5+ROW(B147)-1&lt;=Feiertage!$C$5, Feiertage!$B$5+ROW(B147)-1, "")</f>
        <v/>
      </c>
      <c r="D149" s="1"/>
      <c r="E149" s="1" t="str">
        <f>IF(Ferien!$B$7+ROW(B147)-1&lt;=Ferien!$C$7, Ferien!$B$7+ROW(B147)-1, "")</f>
        <v/>
      </c>
      <c r="F149" s="1" t="str">
        <f>IF(Feiertage!$B$8+ROW(B147)-1&lt;=Feiertage!$C$8, Feiertage!$B$8+ROW(B147)-1, "")</f>
        <v/>
      </c>
      <c r="G149" s="1" t="str">
        <f>IF(Feiertage!$B$9+ROW(B147)-1&lt;=Feiertage!$C$9, Feiertage!$B$9+ROW(B147)-1, "")</f>
        <v/>
      </c>
      <c r="H149" s="1" t="str">
        <f>IF(Feiertage!$B$10+ROW(B147)-1&lt;=Feiertage!$C$10, Feiertage!$B$10+ROW(B147)-1, "")</f>
        <v/>
      </c>
      <c r="I149" s="1" t="str">
        <f>IF(Feiertage!$B$11+ROW(B147)-1&lt;=Feiertage!$C$11, Feiertage!$B$11+ROW(B147)-1, "")</f>
        <v/>
      </c>
      <c r="J149" s="1" t="str">
        <f>IF(Feiertage!$B$12+ROW(B147)-1&lt;=Feiertage!$C$12, Feiertage!$B$12+ROW(B147)-1, "")</f>
        <v/>
      </c>
      <c r="K149" s="1" t="str">
        <f>IF(Feiertage!$B$13+ROW(B147)-1&lt;=Feiertage!$C$13, Feiertage!$B$13+ROW(B147)-1, "")</f>
        <v/>
      </c>
      <c r="L149" s="1" t="str">
        <f>IF(Feiertage!$B$14+ROW(B147)-1&lt;=Feiertage!$C$14, Feiertage!$B$14+ROW(B147)-1, "")</f>
        <v/>
      </c>
      <c r="M149" s="1" t="str">
        <f>IF(Feiertage!$B$15+ROW(B147)-1&lt;=Feiertage!$C$15, Feiertage!$B$15+ROW(B147)-1, "")</f>
        <v/>
      </c>
      <c r="N149" s="1" t="str">
        <f>IF(Ferien!$B$16+ROW(B147)-1&lt;=Ferien!$C$16, Ferien!$B$16+ROW(B147)-1, "")</f>
        <v/>
      </c>
      <c r="O149" s="1" t="str">
        <f>IF(Feiertage!$B$17+ROW(B147)-1&lt;=Feiertage!$C$17, Feiertage!$B$17+ROW(B147)-1, "")</f>
        <v/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x14ac:dyDescent="0.3">
      <c r="A150" s="1" t="str">
        <f>IF(Feiertage!$B$3+ROW(A148)-1&lt;=Feiertage!$C$3, Feiertage!$B$3+ROW(A148)-1, "")</f>
        <v/>
      </c>
      <c r="B150" s="1" t="str">
        <f>IF(Feiertage!$B$4+ROW(B148)-1&lt;=Feiertage!$C$4, Feiertage!$B$4+ROW(B148)-1, "")</f>
        <v/>
      </c>
      <c r="C150" s="1" t="str">
        <f>IF(Feiertage!$B$5+ROW(B148)-1&lt;=Feiertage!$C$5, Feiertage!$B$5+ROW(B148)-1, "")</f>
        <v/>
      </c>
      <c r="D150" s="1"/>
      <c r="E150" s="1" t="str">
        <f>IF(Ferien!$B$7+ROW(B148)-1&lt;=Ferien!$C$7, Ferien!$B$7+ROW(B148)-1, "")</f>
        <v/>
      </c>
      <c r="F150" s="1" t="str">
        <f>IF(Feiertage!$B$8+ROW(B148)-1&lt;=Feiertage!$C$8, Feiertage!$B$8+ROW(B148)-1, "")</f>
        <v/>
      </c>
      <c r="G150" s="1" t="str">
        <f>IF(Feiertage!$B$9+ROW(B148)-1&lt;=Feiertage!$C$9, Feiertage!$B$9+ROW(B148)-1, "")</f>
        <v/>
      </c>
      <c r="H150" s="1" t="str">
        <f>IF(Feiertage!$B$10+ROW(B148)-1&lt;=Feiertage!$C$10, Feiertage!$B$10+ROW(B148)-1, "")</f>
        <v/>
      </c>
      <c r="I150" s="1" t="str">
        <f>IF(Feiertage!$B$11+ROW(B148)-1&lt;=Feiertage!$C$11, Feiertage!$B$11+ROW(B148)-1, "")</f>
        <v/>
      </c>
      <c r="J150" s="1" t="str">
        <f>IF(Feiertage!$B$12+ROW(B148)-1&lt;=Feiertage!$C$12, Feiertage!$B$12+ROW(B148)-1, "")</f>
        <v/>
      </c>
      <c r="K150" s="1" t="str">
        <f>IF(Feiertage!$B$13+ROW(B148)-1&lt;=Feiertage!$C$13, Feiertage!$B$13+ROW(B148)-1, "")</f>
        <v/>
      </c>
      <c r="L150" s="1" t="str">
        <f>IF(Feiertage!$B$14+ROW(B148)-1&lt;=Feiertage!$C$14, Feiertage!$B$14+ROW(B148)-1, "")</f>
        <v/>
      </c>
      <c r="M150" s="1" t="str">
        <f>IF(Feiertage!$B$15+ROW(B148)-1&lt;=Feiertage!$C$15, Feiertage!$B$15+ROW(B148)-1, "")</f>
        <v/>
      </c>
      <c r="N150" s="1" t="str">
        <f>IF(Ferien!$B$16+ROW(B148)-1&lt;=Ferien!$C$16, Ferien!$B$16+ROW(B148)-1, "")</f>
        <v/>
      </c>
      <c r="O150" s="1" t="str">
        <f>IF(Feiertage!$B$17+ROW(B148)-1&lt;=Feiertage!$C$17, Feiertage!$B$17+ROW(B148)-1, "")</f>
        <v/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x14ac:dyDescent="0.3">
      <c r="A151" s="1" t="str">
        <f>IF(Feiertage!$B$3+ROW(A149)-1&lt;=Feiertage!$C$3, Feiertage!$B$3+ROW(A149)-1, "")</f>
        <v/>
      </c>
      <c r="B151" s="1" t="str">
        <f>IF(Feiertage!$B$4+ROW(B149)-1&lt;=Feiertage!$C$4, Feiertage!$B$4+ROW(B149)-1, "")</f>
        <v/>
      </c>
      <c r="C151" s="1" t="str">
        <f>IF(Feiertage!$B$5+ROW(B149)-1&lt;=Feiertage!$C$5, Feiertage!$B$5+ROW(B149)-1, "")</f>
        <v/>
      </c>
      <c r="D151" s="1"/>
      <c r="E151" s="1" t="str">
        <f>IF(Ferien!$B$7+ROW(B149)-1&lt;=Ferien!$C$7, Ferien!$B$7+ROW(B149)-1, "")</f>
        <v/>
      </c>
      <c r="F151" s="1" t="str">
        <f>IF(Feiertage!$B$8+ROW(B149)-1&lt;=Feiertage!$C$8, Feiertage!$B$8+ROW(B149)-1, "")</f>
        <v/>
      </c>
      <c r="G151" s="1" t="str">
        <f>IF(Feiertage!$B$9+ROW(B149)-1&lt;=Feiertage!$C$9, Feiertage!$B$9+ROW(B149)-1, "")</f>
        <v/>
      </c>
      <c r="H151" s="1" t="str">
        <f>IF(Feiertage!$B$10+ROW(B149)-1&lt;=Feiertage!$C$10, Feiertage!$B$10+ROW(B149)-1, "")</f>
        <v/>
      </c>
      <c r="I151" s="1" t="str">
        <f>IF(Feiertage!$B$11+ROW(B149)-1&lt;=Feiertage!$C$11, Feiertage!$B$11+ROW(B149)-1, "")</f>
        <v/>
      </c>
      <c r="J151" s="1" t="str">
        <f>IF(Feiertage!$B$12+ROW(B149)-1&lt;=Feiertage!$C$12, Feiertage!$B$12+ROW(B149)-1, "")</f>
        <v/>
      </c>
      <c r="K151" s="1" t="str">
        <f>IF(Ferien!$B$13+ROW(B149)-1&lt;=Ferien!$C$13, Ferien!$B$13+ROW(B149)-1, "")</f>
        <v/>
      </c>
      <c r="L151" s="1" t="str">
        <f>IF(Feiertage!$B$14+ROW(B149)-1&lt;=Feiertage!$C$14, Feiertage!$B$14+ROW(B149)-1, "")</f>
        <v/>
      </c>
      <c r="M151" s="1" t="str">
        <f>IF(Feiertage!$B$15+ROW(B149)-1&lt;=Feiertage!$C$15, Feiertage!$B$15+ROW(B149)-1, "")</f>
        <v/>
      </c>
      <c r="N151" s="1" t="str">
        <f>IF(Ferien!$B$16+ROW(B149)-1&lt;=Ferien!$C$16, Ferien!$B$16+ROW(B149)-1, "")</f>
        <v/>
      </c>
      <c r="O151" s="1" t="str">
        <f>IF(Feiertage!$B$17+ROW(B149)-1&lt;=Feiertage!$C$17, Feiertage!$B$17+ROW(B149)-1, "")</f>
        <v/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x14ac:dyDescent="0.3">
      <c r="A152" s="1" t="str">
        <f>IF(Feiertage!$B$3+ROW(A150)-1&lt;=Feiertage!$C$3, Feiertage!$B$3+ROW(A150)-1, "")</f>
        <v/>
      </c>
      <c r="B152" s="1" t="str">
        <f>IF(Feiertage!$B$4+ROW(B150)-1&lt;=Feiertage!$C$4, Feiertage!$B$4+ROW(B150)-1, "")</f>
        <v/>
      </c>
      <c r="C152" s="1" t="str">
        <f>IF(Feiertage!$B$5+ROW(B150)-1&lt;=Feiertage!$C$5, Feiertage!$B$5+ROW(B150)-1, "")</f>
        <v/>
      </c>
      <c r="D152" s="1"/>
      <c r="E152" s="1" t="str">
        <f>IF(Ferien!$B$7+ROW(B150)-1&lt;=Ferien!$C$7, Ferien!$B$7+ROW(B150)-1, "")</f>
        <v/>
      </c>
      <c r="F152" s="1" t="str">
        <f>IF(Feiertage!$B$8+ROW(B150)-1&lt;=Feiertage!$C$8, Feiertage!$B$8+ROW(B150)-1, "")</f>
        <v/>
      </c>
      <c r="G152" s="1" t="str">
        <f>IF(Feiertage!$B$9+ROW(B150)-1&lt;=Feiertage!$C$9, Feiertage!$B$9+ROW(B150)-1, "")</f>
        <v/>
      </c>
      <c r="H152" s="1" t="str">
        <f>IF(Feiertage!$B$10+ROW(B150)-1&lt;=Feiertage!$C$10, Feiertage!$B$10+ROW(B150)-1, "")</f>
        <v/>
      </c>
      <c r="I152" s="1" t="str">
        <f>IF(Feiertage!$B$11+ROW(B150)-1&lt;=Feiertage!$C$11, Feiertage!$B$11+ROW(B150)-1, "")</f>
        <v/>
      </c>
      <c r="J152" s="1" t="str">
        <f>IF(Feiertage!$B$12+ROW(B150)-1&lt;=Feiertage!$C$12, Feiertage!$B$12+ROW(B150)-1, "")</f>
        <v/>
      </c>
      <c r="K152" s="1" t="str">
        <f>IF(Ferien!$B$13+ROW(B150)-1&lt;=Ferien!$C$13, Ferien!$B$13+ROW(B150)-1, "")</f>
        <v/>
      </c>
      <c r="L152" s="1" t="str">
        <f>IF(Feiertage!$B$14+ROW(B150)-1&lt;=Feiertage!$C$14, Feiertage!$B$14+ROW(B150)-1, "")</f>
        <v/>
      </c>
      <c r="M152" s="1" t="str">
        <f>IF(Feiertage!$B$15+ROW(B150)-1&lt;=Feiertage!$C$15, Feiertage!$B$15+ROW(B150)-1, "")</f>
        <v/>
      </c>
      <c r="N152" s="1" t="str">
        <f>IF(Ferien!$B$16+ROW(B150)-1&lt;=Ferien!$C$16, Ferien!$B$16+ROW(B150)-1, "")</f>
        <v/>
      </c>
      <c r="O152" s="1" t="str">
        <f>IF(Feiertage!$B$17+ROW(B150)-1&lt;=Feiertage!$C$17, Feiertage!$B$17+ROW(B150)-1, "")</f>
        <v/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x14ac:dyDescent="0.3">
      <c r="A153" s="1" t="str">
        <f>IF(Feiertage!$B$3+ROW(A151)-1&lt;=Feiertage!$C$3, Feiertage!$B$3+ROW(A151)-1, "")</f>
        <v/>
      </c>
      <c r="B153" s="1" t="str">
        <f>IF(Feiertage!$B$4+ROW(B151)-1&lt;=Feiertage!$C$4, Feiertage!$B$4+ROW(B151)-1, "")</f>
        <v/>
      </c>
      <c r="C153" s="1"/>
      <c r="D153" s="1"/>
      <c r="E153" s="1" t="str">
        <f>IF(Ferien!$B$7+ROW(B151)-1&lt;=Ferien!$C$7, Ferien!$B$7+ROW(B151)-1, "")</f>
        <v/>
      </c>
      <c r="F153" s="1" t="str">
        <f>IF(Feiertage!$B$8+ROW(B151)-1&lt;=Feiertage!$C$8, Feiertage!$B$8+ROW(B151)-1, "")</f>
        <v/>
      </c>
      <c r="G153" s="1" t="str">
        <f>IF(Feiertage!$B$9+ROW(B151)-1&lt;=Feiertage!$C$9, Feiertage!$B$9+ROW(B151)-1, "")</f>
        <v/>
      </c>
      <c r="H153" s="1" t="str">
        <f>IF(Feiertage!$B$10+ROW(B151)-1&lt;=Feiertage!$C$10, Feiertage!$B$10+ROW(B151)-1, "")</f>
        <v/>
      </c>
      <c r="I153" s="1" t="str">
        <f>IF(Feiertage!$B$11+ROW(B151)-1&lt;=Feiertage!$C$11, Feiertage!$B$11+ROW(B151)-1, "")</f>
        <v/>
      </c>
      <c r="J153" s="1" t="str">
        <f>IF(Feiertage!$B$12+ROW(B151)-1&lt;=Feiertage!$C$12, Feiertage!$B$12+ROW(B151)-1, "")</f>
        <v/>
      </c>
      <c r="K153" s="1" t="str">
        <f>IF(Ferien!$B$13+ROW(B151)-1&lt;=Ferien!$C$13, Ferien!$B$13+ROW(B151)-1, "")</f>
        <v/>
      </c>
      <c r="L153" s="1" t="str">
        <f>IF(Feiertage!$B$14+ROW(B151)-1&lt;=Feiertage!$C$14, Feiertage!$B$14+ROW(B151)-1, "")</f>
        <v/>
      </c>
      <c r="M153" s="1" t="str">
        <f>IF(Feiertage!$B$15+ROW(B151)-1&lt;=Feiertage!$C$15, Feiertage!$B$15+ROW(B151)-1, "")</f>
        <v/>
      </c>
      <c r="N153" s="1" t="str">
        <f>IF(Ferien!$B$16+ROW(B151)-1&lt;=Ferien!$C$16, Ferien!$B$16+ROW(B151)-1, "")</f>
        <v/>
      </c>
      <c r="O153" s="1" t="str">
        <f>IF(Feiertage!$B$17+ROW(B151)-1&lt;=Feiertage!$C$17, Feiertage!$B$17+ROW(B151)-1, "")</f>
        <v/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x14ac:dyDescent="0.3">
      <c r="A154" s="1" t="str">
        <f>IF(Feiertage!$B$3+ROW(A152)-1&lt;=Feiertage!$C$3, Feiertage!$B$3+ROW(A152)-1, "")</f>
        <v/>
      </c>
      <c r="B154" s="1" t="str">
        <f>IF(Feiertage!$B$4+ROW(B152)-1&lt;=Feiertage!$C$4, Feiertage!$B$4+ROW(B152)-1, "")</f>
        <v/>
      </c>
      <c r="C154" s="1"/>
      <c r="D154" s="1"/>
      <c r="E154" s="1" t="str">
        <f>IF(Ferien!$B$7+ROW(B152)-1&lt;=Ferien!$C$7, Ferien!$B$7+ROW(B152)-1, "")</f>
        <v/>
      </c>
      <c r="F154" s="1" t="str">
        <f>IF(Feiertage!$B$8+ROW(B152)-1&lt;=Feiertage!$C$8, Feiertage!$B$8+ROW(B152)-1, "")</f>
        <v/>
      </c>
      <c r="G154" s="1" t="str">
        <f>IF(Feiertage!$B$9+ROW(B152)-1&lt;=Feiertage!$C$9, Feiertage!$B$9+ROW(B152)-1, "")</f>
        <v/>
      </c>
      <c r="H154" s="1" t="str">
        <f>IF(Feiertage!$B$10+ROW(B152)-1&lt;=Feiertage!$C$10, Feiertage!$B$10+ROW(B152)-1, "")</f>
        <v/>
      </c>
      <c r="I154" s="1" t="str">
        <f>IF(Feiertage!$B$11+ROW(B152)-1&lt;=Feiertage!$C$11, Feiertage!$B$11+ROW(B152)-1, "")</f>
        <v/>
      </c>
      <c r="J154" s="1" t="str">
        <f>IF(Feiertage!$B$12+ROW(B152)-1&lt;=Feiertage!$C$12, Feiertage!$B$12+ROW(B152)-1, "")</f>
        <v/>
      </c>
      <c r="K154" s="1" t="str">
        <f>IF(Ferien!$B$13+ROW(B152)-1&lt;=Ferien!$C$13, Ferien!$B$13+ROW(B152)-1, "")</f>
        <v/>
      </c>
      <c r="L154" s="1" t="str">
        <f>IF(Feiertage!$B$14+ROW(B152)-1&lt;=Feiertage!$C$14, Feiertage!$B$14+ROW(B152)-1, "")</f>
        <v/>
      </c>
      <c r="M154" s="1" t="str">
        <f>IF(Feiertage!$B$15+ROW(B152)-1&lt;=Feiertage!$C$15, Feiertage!$B$15+ROW(B152)-1, "")</f>
        <v/>
      </c>
      <c r="N154" s="1" t="str">
        <f>IF(Ferien!$B$16+ROW(B152)-1&lt;=Ferien!$C$16, Ferien!$B$16+ROW(B152)-1, "")</f>
        <v/>
      </c>
      <c r="O154" s="1" t="str">
        <f>IF(Feiertage!$B$17+ROW(B152)-1&lt;=Feiertage!$C$17, Feiertage!$B$17+ROW(B152)-1, "")</f>
        <v/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x14ac:dyDescent="0.3">
      <c r="A155" s="1" t="str">
        <f>IF(Feiertage!$B$3+ROW(A153)-1&lt;=Feiertage!$C$3, Feiertage!$B$3+ROW(A153)-1, "")</f>
        <v/>
      </c>
      <c r="B155" s="1" t="str">
        <f>IF(Feiertage!$B$4+ROW(B153)-1&lt;=Feiertage!$C$4, Feiertage!$B$4+ROW(B153)-1, "")</f>
        <v/>
      </c>
      <c r="C155" s="1"/>
      <c r="D155" s="1"/>
      <c r="E155" s="1" t="str">
        <f>IF(Ferien!$B$7+ROW(B153)-1&lt;=Ferien!$C$7, Ferien!$B$7+ROW(B153)-1, "")</f>
        <v/>
      </c>
      <c r="F155" s="1" t="str">
        <f>IF(Feiertage!$B$8+ROW(B153)-1&lt;=Feiertage!$C$8, Feiertage!$B$8+ROW(B153)-1, "")</f>
        <v/>
      </c>
      <c r="G155" s="1" t="str">
        <f>IF(Feiertage!$B$9+ROW(B153)-1&lt;=Feiertage!$C$9, Feiertage!$B$9+ROW(B153)-1, "")</f>
        <v/>
      </c>
      <c r="H155" s="1" t="str">
        <f>IF(Feiertage!$B$10+ROW(B153)-1&lt;=Feiertage!$C$10, Feiertage!$B$10+ROW(B153)-1, "")</f>
        <v/>
      </c>
      <c r="I155" s="1" t="str">
        <f>IF(Feiertage!$B$11+ROW(B153)-1&lt;=Feiertage!$C$11, Feiertage!$B$11+ROW(B153)-1, "")</f>
        <v/>
      </c>
      <c r="J155" s="1" t="str">
        <f>IF(Feiertage!$B$12+ROW(B153)-1&lt;=Feiertage!$C$12, Feiertage!$B$12+ROW(B153)-1, "")</f>
        <v/>
      </c>
      <c r="K155" s="1" t="str">
        <f>IF(Ferien!$B$13+ROW(B153)-1&lt;=Ferien!$C$13, Ferien!$B$13+ROW(B153)-1, "")</f>
        <v/>
      </c>
      <c r="L155" s="1" t="str">
        <f>IF(Feiertage!$B$14+ROW(B153)-1&lt;=Feiertage!$C$14, Feiertage!$B$14+ROW(B153)-1, "")</f>
        <v/>
      </c>
      <c r="M155" s="1" t="str">
        <f>IF(Feiertage!$B$15+ROW(B153)-1&lt;=Feiertage!$C$15, Feiertage!$B$15+ROW(B153)-1, "")</f>
        <v/>
      </c>
      <c r="N155" s="1" t="str">
        <f>IF(Ferien!$B$16+ROW(B153)-1&lt;=Ferien!$C$16, Ferien!$B$16+ROW(B153)-1, "")</f>
        <v/>
      </c>
      <c r="O155" s="1" t="str">
        <f>IF(Feiertage!$B$17+ROW(B153)-1&lt;=Feiertage!$C$17, Feiertage!$B$17+ROW(B153)-1, "")</f>
        <v/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x14ac:dyDescent="0.3">
      <c r="A156" s="1" t="str">
        <f>IF(Feiertage!$B$3+ROW(A154)-1&lt;=Feiertage!$C$3, Feiertage!$B$3+ROW(A154)-1, "")</f>
        <v/>
      </c>
      <c r="B156" s="1" t="str">
        <f>IF(Feiertage!$B$4+ROW(B154)-1&lt;=Feiertage!$C$4, Feiertage!$B$4+ROW(B154)-1, "")</f>
        <v/>
      </c>
      <c r="C156" s="1"/>
      <c r="D156" s="1"/>
      <c r="E156" s="1" t="str">
        <f>IF(Ferien!$B$7+ROW(B154)-1&lt;=Ferien!$C$7, Ferien!$B$7+ROW(B154)-1, "")</f>
        <v/>
      </c>
      <c r="F156" s="1" t="str">
        <f>IF(Feiertage!$B$8+ROW(B154)-1&lt;=Feiertage!$C$8, Feiertage!$B$8+ROW(B154)-1, "")</f>
        <v/>
      </c>
      <c r="G156" s="1" t="str">
        <f>IF(Feiertage!$B$9+ROW(B154)-1&lt;=Feiertage!$C$9, Feiertage!$B$9+ROW(B154)-1, "")</f>
        <v/>
      </c>
      <c r="H156" s="1" t="str">
        <f>IF(Feiertage!$B$10+ROW(B154)-1&lt;=Feiertage!$C$10, Feiertage!$B$10+ROW(B154)-1, "")</f>
        <v/>
      </c>
      <c r="I156" s="1" t="str">
        <f>IF(Feiertage!$B$11+ROW(B154)-1&lt;=Feiertage!$C$11, Feiertage!$B$11+ROW(B154)-1, "")</f>
        <v/>
      </c>
      <c r="J156" s="1" t="str">
        <f>IF(Feiertage!$B$12+ROW(B154)-1&lt;=Feiertage!$C$12, Feiertage!$B$12+ROW(B154)-1, "")</f>
        <v/>
      </c>
      <c r="K156" s="1" t="str">
        <f>IF(Ferien!$B$13+ROW(B154)-1&lt;=Ferien!$C$13, Ferien!$B$13+ROW(B154)-1, "")</f>
        <v/>
      </c>
      <c r="L156" s="1" t="str">
        <f>IF(Feiertage!$B$14+ROW(B154)-1&lt;=Feiertage!$C$14, Feiertage!$B$14+ROW(B154)-1, "")</f>
        <v/>
      </c>
      <c r="M156" s="1" t="str">
        <f>IF(Feiertage!$B$15+ROW(B154)-1&lt;=Feiertage!$C$15, Feiertage!$B$15+ROW(B154)-1, "")</f>
        <v/>
      </c>
      <c r="N156" s="1" t="str">
        <f>IF(Ferien!$B$16+ROW(B154)-1&lt;=Ferien!$C$16, Ferien!$B$16+ROW(B154)-1, "")</f>
        <v/>
      </c>
      <c r="O156" s="1" t="str">
        <f>IF(Feiertage!$B$17+ROW(B154)-1&lt;=Feiertage!$C$17, Feiertage!$B$17+ROW(B154)-1, "")</f>
        <v/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x14ac:dyDescent="0.3">
      <c r="A157" s="1" t="str">
        <f>IF(Feiertage!$B$3+ROW(A155)-1&lt;=Feiertage!$C$3, Feiertage!$B$3+ROW(A155)-1, "")</f>
        <v/>
      </c>
      <c r="B157" s="1" t="str">
        <f>IF(Feiertage!$B$4+ROW(B155)-1&lt;=Feiertage!$C$4, Feiertage!$B$4+ROW(B155)-1, "")</f>
        <v/>
      </c>
      <c r="C157" s="1"/>
      <c r="D157" s="1"/>
      <c r="E157" s="1" t="str">
        <f>IF(Ferien!$B$7+ROW(B155)-1&lt;=Ferien!$C$7, Ferien!$B$7+ROW(B155)-1, "")</f>
        <v/>
      </c>
      <c r="F157" s="1" t="str">
        <f>IF(Feiertage!$B$8+ROW(B155)-1&lt;=Feiertage!$C$8, Feiertage!$B$8+ROW(B155)-1, "")</f>
        <v/>
      </c>
      <c r="G157" s="1" t="str">
        <f>IF(Feiertage!$B$9+ROW(B155)-1&lt;=Feiertage!$C$9, Feiertage!$B$9+ROW(B155)-1, "")</f>
        <v/>
      </c>
      <c r="H157" s="1" t="str">
        <f>IF(Feiertage!$B$10+ROW(B155)-1&lt;=Feiertage!$C$10, Feiertage!$B$10+ROW(B155)-1, "")</f>
        <v/>
      </c>
      <c r="I157" s="1" t="str">
        <f>IF(Feiertage!$B$11+ROW(B155)-1&lt;=Feiertage!$C$11, Feiertage!$B$11+ROW(B155)-1, "")</f>
        <v/>
      </c>
      <c r="J157" s="1" t="str">
        <f>IF(Feiertage!$B$12+ROW(B155)-1&lt;=Feiertage!$C$12, Feiertage!$B$12+ROW(B155)-1, "")</f>
        <v/>
      </c>
      <c r="K157" s="1" t="str">
        <f>IF(Ferien!$B$13+ROW(B155)-1&lt;=Ferien!$C$13, Ferien!$B$13+ROW(B155)-1, "")</f>
        <v/>
      </c>
      <c r="L157" s="1" t="str">
        <f>IF(Feiertage!$B$14+ROW(B155)-1&lt;=Feiertage!$C$14, Feiertage!$B$14+ROW(B155)-1, "")</f>
        <v/>
      </c>
      <c r="M157" s="1" t="str">
        <f>IF(Feiertage!$B$15+ROW(B155)-1&lt;=Feiertage!$C$15, Feiertage!$B$15+ROW(B155)-1, "")</f>
        <v/>
      </c>
      <c r="N157" s="1" t="str">
        <f>IF(Ferien!$B$16+ROW(B155)-1&lt;=Ferien!$C$16, Ferien!$B$16+ROW(B155)-1, "")</f>
        <v/>
      </c>
      <c r="O157" s="1" t="str">
        <f>IF(Feiertage!$B$17+ROW(B155)-1&lt;=Feiertage!$C$17, Feiertage!$B$17+ROW(B155)-1, "")</f>
        <v/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x14ac:dyDescent="0.3">
      <c r="A158" s="1" t="str">
        <f>IF(Feiertage!$B$3+ROW(A156)-1&lt;=Feiertage!$C$3, Feiertage!$B$3+ROW(A156)-1, "")</f>
        <v/>
      </c>
      <c r="B158" s="1" t="str">
        <f>IF(Feiertage!$B$4+ROW(B156)-1&lt;=Feiertage!$C$4, Feiertage!$B$4+ROW(B156)-1, "")</f>
        <v/>
      </c>
      <c r="C158" s="1"/>
      <c r="D158" s="1"/>
      <c r="E158" s="1" t="str">
        <f>IF(Ferien!$B$7+ROW(B156)-1&lt;=Ferien!$C$7, Ferien!$B$7+ROW(B156)-1, "")</f>
        <v/>
      </c>
      <c r="F158" s="1" t="str">
        <f>IF(Feiertage!$B$8+ROW(B156)-1&lt;=Feiertage!$C$8, Feiertage!$B$8+ROW(B156)-1, "")</f>
        <v/>
      </c>
      <c r="G158" s="1" t="str">
        <f>IF(Feiertage!$B$9+ROW(B156)-1&lt;=Feiertage!$C$9, Feiertage!$B$9+ROW(B156)-1, "")</f>
        <v/>
      </c>
      <c r="H158" s="1" t="str">
        <f>IF(Feiertage!$B$10+ROW(B156)-1&lt;=Feiertage!$C$10, Feiertage!$B$10+ROW(B156)-1, "")</f>
        <v/>
      </c>
      <c r="I158" s="1" t="str">
        <f>IF(Feiertage!$B$11+ROW(B156)-1&lt;=Feiertage!$C$11, Feiertage!$B$11+ROW(B156)-1, "")</f>
        <v/>
      </c>
      <c r="J158" s="1" t="str">
        <f>IF(Feiertage!$B$12+ROW(B156)-1&lt;=Feiertage!$C$12, Feiertage!$B$12+ROW(B156)-1, "")</f>
        <v/>
      </c>
      <c r="K158" s="1" t="str">
        <f>IF(Ferien!$B$13+ROW(B156)-1&lt;=Ferien!$C$13, Ferien!$B$13+ROW(B156)-1, "")</f>
        <v/>
      </c>
      <c r="L158" s="1" t="str">
        <f>IF(Feiertage!$B$14+ROW(B156)-1&lt;=Feiertage!$C$14, Feiertage!$B$14+ROW(B156)-1, "")</f>
        <v/>
      </c>
      <c r="M158" s="1" t="str">
        <f>IF(Feiertage!$B$15+ROW(B156)-1&lt;=Feiertage!$C$15, Feiertage!$B$15+ROW(B156)-1, "")</f>
        <v/>
      </c>
      <c r="N158" s="1" t="str">
        <f>IF(Ferien!$B$16+ROW(B156)-1&lt;=Ferien!$C$16, Ferien!$B$16+ROW(B156)-1, "")</f>
        <v/>
      </c>
      <c r="O158" s="1" t="str">
        <f>IF(Feiertage!$B$17+ROW(B156)-1&lt;=Feiertage!$C$17, Feiertage!$B$17+ROW(B156)-1, "")</f>
        <v/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x14ac:dyDescent="0.3">
      <c r="A159" s="1" t="str">
        <f>IF(Feiertage!$B$3+ROW(A157)-1&lt;=Feiertage!$C$3, Feiertage!$B$3+ROW(A157)-1, "")</f>
        <v/>
      </c>
      <c r="B159" s="1" t="str">
        <f>IF(Feiertage!$B$4+ROW(B157)-1&lt;=Feiertage!$C$4, Feiertage!$B$4+ROW(B157)-1, "")</f>
        <v/>
      </c>
      <c r="C159" s="1"/>
      <c r="D159" s="1"/>
      <c r="E159" s="1" t="str">
        <f>IF(Ferien!$B$7+ROW(B157)-1&lt;=Ferien!$C$7, Ferien!$B$7+ROW(B157)-1, "")</f>
        <v/>
      </c>
      <c r="F159" s="1" t="str">
        <f>IF(Feiertage!$B$8+ROW(B157)-1&lt;=Feiertage!$C$8, Feiertage!$B$8+ROW(B157)-1, "")</f>
        <v/>
      </c>
      <c r="G159" s="1" t="str">
        <f>IF(Feiertage!$B$9+ROW(B157)-1&lt;=Feiertage!$C$9, Feiertage!$B$9+ROW(B157)-1, "")</f>
        <v/>
      </c>
      <c r="H159" s="1" t="str">
        <f>IF(Feiertage!$B$10+ROW(B157)-1&lt;=Feiertage!$C$10, Feiertage!$B$10+ROW(B157)-1, "")</f>
        <v/>
      </c>
      <c r="I159" s="1" t="str">
        <f>IF(Feiertage!$B$11+ROW(B157)-1&lt;=Feiertage!$C$11, Feiertage!$B$11+ROW(B157)-1, "")</f>
        <v/>
      </c>
      <c r="J159" s="1" t="str">
        <f>IF(Feiertage!$B$12+ROW(B157)-1&lt;=Feiertage!$C$12, Feiertage!$B$12+ROW(B157)-1, "")</f>
        <v/>
      </c>
      <c r="K159" s="1" t="str">
        <f>IF(Ferien!$B$13+ROW(B157)-1&lt;=Ferien!$C$13, Ferien!$B$13+ROW(B157)-1, "")</f>
        <v/>
      </c>
      <c r="L159" s="1" t="str">
        <f>IF(Feiertage!$B$14+ROW(B157)-1&lt;=Feiertage!$C$14, Feiertage!$B$14+ROW(B157)-1, "")</f>
        <v/>
      </c>
      <c r="M159" s="1" t="str">
        <f>IF(Feiertage!$B$15+ROW(B157)-1&lt;=Feiertage!$C$15, Feiertage!$B$15+ROW(B157)-1, "")</f>
        <v/>
      </c>
      <c r="N159" s="1" t="str">
        <f>IF(Ferien!$B$16+ROW(B157)-1&lt;=Ferien!$C$16, Ferien!$B$16+ROW(B157)-1, "")</f>
        <v/>
      </c>
      <c r="O159" s="1" t="str">
        <f>IF(Feiertage!$B$17+ROW(B157)-1&lt;=Feiertage!$C$17, Feiertage!$B$17+ROW(B157)-1, "")</f>
        <v/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x14ac:dyDescent="0.3">
      <c r="A160" s="1" t="str">
        <f>IF(Feiertage!$B$3+ROW(A158)-1&lt;=Feiertage!$C$3, Feiertage!$B$3+ROW(A158)-1, "")</f>
        <v/>
      </c>
      <c r="B160" s="1" t="str">
        <f>IF(Feiertage!$B$4+ROW(B158)-1&lt;=Feiertage!$C$4, Feiertage!$B$4+ROW(B158)-1, "")</f>
        <v/>
      </c>
      <c r="C160" s="1"/>
      <c r="D160" s="1"/>
      <c r="E160" s="1" t="str">
        <f>IF(Ferien!$B$7+ROW(B158)-1&lt;=Ferien!$C$7, Ferien!$B$7+ROW(B158)-1, "")</f>
        <v/>
      </c>
      <c r="F160" s="1" t="str">
        <f>IF(Feiertage!$B$8+ROW(B158)-1&lt;=Feiertage!$C$8, Feiertage!$B$8+ROW(B158)-1, "")</f>
        <v/>
      </c>
      <c r="G160" s="1" t="str">
        <f>IF(Feiertage!$B$9+ROW(B158)-1&lt;=Feiertage!$C$9, Feiertage!$B$9+ROW(B158)-1, "")</f>
        <v/>
      </c>
      <c r="H160" s="1" t="str">
        <f>IF(Feiertage!$B$10+ROW(B158)-1&lt;=Feiertage!$C$10, Feiertage!$B$10+ROW(B158)-1, "")</f>
        <v/>
      </c>
      <c r="I160" s="1" t="str">
        <f>IF(Feiertage!$B$11+ROW(B158)-1&lt;=Feiertage!$C$11, Feiertage!$B$11+ROW(B158)-1, "")</f>
        <v/>
      </c>
      <c r="J160" s="1" t="str">
        <f>IF(Feiertage!$B$12+ROW(B158)-1&lt;=Feiertage!$C$12, Feiertage!$B$12+ROW(B158)-1, "")</f>
        <v/>
      </c>
      <c r="K160" s="1" t="str">
        <f>IF(Ferien!$B$13+ROW(B158)-1&lt;=Ferien!$C$13, Ferien!$B$13+ROW(B158)-1, "")</f>
        <v/>
      </c>
      <c r="L160" s="1" t="str">
        <f>IF(Feiertage!$B$14+ROW(B158)-1&lt;=Feiertage!$C$14, Feiertage!$B$14+ROW(B158)-1, "")</f>
        <v/>
      </c>
      <c r="M160" s="1" t="str">
        <f>IF(Feiertage!$B$15+ROW(B158)-1&lt;=Feiertage!$C$15, Feiertage!$B$15+ROW(B158)-1, "")</f>
        <v/>
      </c>
      <c r="N160" s="1" t="str">
        <f>IF(Ferien!$B$16+ROW(B158)-1&lt;=Ferien!$C$16, Ferien!$B$16+ROW(B158)-1, "")</f>
        <v/>
      </c>
      <c r="O160" s="1" t="str">
        <f>IF(Feiertage!$B$17+ROW(B158)-1&lt;=Feiertage!$C$17, Feiertage!$B$17+ROW(B158)-1, "")</f>
        <v/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x14ac:dyDescent="0.3">
      <c r="A161" s="1" t="str">
        <f>IF(Feiertage!$B$3+ROW(A159)-1&lt;=Feiertage!$C$3, Feiertage!$B$3+ROW(A159)-1, "")</f>
        <v/>
      </c>
      <c r="B161" s="1" t="str">
        <f>IF(Feiertage!$B$4+ROW(B159)-1&lt;=Feiertage!$C$4, Feiertage!$B$4+ROW(B159)-1, "")</f>
        <v/>
      </c>
      <c r="C161" s="1"/>
      <c r="D161" s="1"/>
      <c r="E161" s="1" t="str">
        <f>IF(Ferien!$B$7+ROW(B159)-1&lt;=Ferien!$C$7, Ferien!$B$7+ROW(B159)-1, "")</f>
        <v/>
      </c>
      <c r="F161" s="1" t="str">
        <f>IF(Feiertage!$B$8+ROW(B159)-1&lt;=Feiertage!$C$8, Feiertage!$B$8+ROW(B159)-1, "")</f>
        <v/>
      </c>
      <c r="G161" s="1" t="str">
        <f>IF(Feiertage!$B$9+ROW(B159)-1&lt;=Feiertage!$C$9, Feiertage!$B$9+ROW(B159)-1, "")</f>
        <v/>
      </c>
      <c r="H161" s="1" t="str">
        <f>IF(Feiertage!$B$10+ROW(B159)-1&lt;=Feiertage!$C$10, Feiertage!$B$10+ROW(B159)-1, "")</f>
        <v/>
      </c>
      <c r="I161" s="1" t="str">
        <f>IF(Feiertage!$B$11+ROW(B159)-1&lt;=Feiertage!$C$11, Feiertage!$B$11+ROW(B159)-1, "")</f>
        <v/>
      </c>
      <c r="J161" s="1" t="str">
        <f>IF(Feiertage!$B$12+ROW(B159)-1&lt;=Feiertage!$C$12, Feiertage!$B$12+ROW(B159)-1, "")</f>
        <v/>
      </c>
      <c r="K161" s="1" t="str">
        <f>IF(Ferien!$B$13+ROW(B159)-1&lt;=Ferien!$C$13, Ferien!$B$13+ROW(B159)-1, "")</f>
        <v/>
      </c>
      <c r="L161" s="1" t="str">
        <f>IF(Feiertage!$B$14+ROW(B159)-1&lt;=Feiertage!$C$14, Feiertage!$B$14+ROW(B159)-1, "")</f>
        <v/>
      </c>
      <c r="M161" s="1" t="str">
        <f>IF(Feiertage!$B$15+ROW(B159)-1&lt;=Feiertage!$C$15, Feiertage!$B$15+ROW(B159)-1, "")</f>
        <v/>
      </c>
      <c r="N161" s="1" t="str">
        <f>IF(Ferien!$B$16+ROW(B159)-1&lt;=Ferien!$C$16, Ferien!$B$16+ROW(B159)-1, "")</f>
        <v/>
      </c>
      <c r="O161" s="1" t="str">
        <f>IF(Feiertage!$B$17+ROW(B159)-1&lt;=Feiertage!$C$17, Feiertage!$B$17+ROW(B159)-1, "")</f>
        <v/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x14ac:dyDescent="0.3">
      <c r="A162" s="1" t="str">
        <f>IF(Feiertage!$B$3+ROW(A160)-1&lt;=Feiertage!$C$3, Feiertage!$B$3+ROW(A160)-1, "")</f>
        <v/>
      </c>
      <c r="B162" s="1" t="str">
        <f>IF(Feiertage!$B$4+ROW(B160)-1&lt;=Feiertage!$C$4, Feiertage!$B$4+ROW(B160)-1, "")</f>
        <v/>
      </c>
      <c r="C162" s="1"/>
      <c r="D162" s="1"/>
      <c r="E162" s="1" t="str">
        <f>IF(Ferien!$B$7+ROW(B160)-1&lt;=Ferien!$C$7, Ferien!$B$7+ROW(B160)-1, "")</f>
        <v/>
      </c>
      <c r="F162" s="1" t="str">
        <f>IF(Feiertage!$B$8+ROW(B160)-1&lt;=Feiertage!$C$8, Feiertage!$B$8+ROW(B160)-1, "")</f>
        <v/>
      </c>
      <c r="G162" s="1" t="str">
        <f>IF(Feiertage!$B$9+ROW(B160)-1&lt;=Feiertage!$C$9, Feiertage!$B$9+ROW(B160)-1, "")</f>
        <v/>
      </c>
      <c r="H162" s="1" t="str">
        <f>IF(Feiertage!$B$10+ROW(B160)-1&lt;=Feiertage!$C$10, Feiertage!$B$10+ROW(B160)-1, "")</f>
        <v/>
      </c>
      <c r="I162" s="1" t="str">
        <f>IF(Feiertage!$B$11+ROW(B160)-1&lt;=Feiertage!$C$11, Feiertage!$B$11+ROW(B160)-1, "")</f>
        <v/>
      </c>
      <c r="J162" s="1" t="str">
        <f>IF(Feiertage!$B$12+ROW(B160)-1&lt;=Feiertage!$C$12, Feiertage!$B$12+ROW(B160)-1, "")</f>
        <v/>
      </c>
      <c r="K162" s="1" t="str">
        <f>IF(Ferien!$B$13+ROW(B160)-1&lt;=Ferien!$C$13, Ferien!$B$13+ROW(B160)-1, "")</f>
        <v/>
      </c>
      <c r="L162" s="1" t="str">
        <f>IF(Feiertage!$B$14+ROW(B160)-1&lt;=Feiertage!$C$14, Feiertage!$B$14+ROW(B160)-1, "")</f>
        <v/>
      </c>
      <c r="M162" s="1" t="str">
        <f>IF(Feiertage!$B$15+ROW(B160)-1&lt;=Feiertage!$C$15, Feiertage!$B$15+ROW(B160)-1, "")</f>
        <v/>
      </c>
      <c r="N162" s="1" t="str">
        <f>IF(Ferien!$B$16+ROW(B160)-1&lt;=Ferien!$C$16, Ferien!$B$16+ROW(B160)-1, "")</f>
        <v/>
      </c>
      <c r="O162" s="1" t="str">
        <f>IF(Feiertage!$B$17+ROW(B160)-1&lt;=Feiertage!$C$17, Feiertage!$B$17+ROW(B160)-1, "")</f>
        <v/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x14ac:dyDescent="0.3">
      <c r="A163" s="1" t="str">
        <f>IF(Feiertage!$B$3+ROW(A161)-1&lt;=Feiertage!$C$3, Feiertage!$B$3+ROW(A161)-1, "")</f>
        <v/>
      </c>
      <c r="B163" s="1" t="str">
        <f>IF(Feiertage!$B$4+ROW(B161)-1&lt;=Feiertage!$C$4, Feiertage!$B$4+ROW(B161)-1, "")</f>
        <v/>
      </c>
      <c r="C163" s="1"/>
      <c r="D163" s="1"/>
      <c r="E163" s="1" t="str">
        <f>IF(Ferien!$B$7+ROW(B161)-1&lt;=Ferien!$C$7, Ferien!$B$7+ROW(B161)-1, "")</f>
        <v/>
      </c>
      <c r="F163" s="1" t="str">
        <f>IF(Feiertage!$B$8+ROW(B161)-1&lt;=Feiertage!$C$8, Feiertage!$B$8+ROW(B161)-1, "")</f>
        <v/>
      </c>
      <c r="G163" s="1" t="str">
        <f>IF(Feiertage!$B$9+ROW(B161)-1&lt;=Feiertage!$C$9, Feiertage!$B$9+ROW(B161)-1, "")</f>
        <v/>
      </c>
      <c r="H163" s="1" t="str">
        <f>IF(Feiertage!$B$10+ROW(B161)-1&lt;=Feiertage!$C$10, Feiertage!$B$10+ROW(B161)-1, "")</f>
        <v/>
      </c>
      <c r="I163" s="1" t="str">
        <f>IF(Feiertage!$B$11+ROW(B161)-1&lt;=Feiertage!$C$11, Feiertage!$B$11+ROW(B161)-1, "")</f>
        <v/>
      </c>
      <c r="J163" s="1" t="str">
        <f>IF(Feiertage!$B$12+ROW(B161)-1&lt;=Feiertage!$C$12, Feiertage!$B$12+ROW(B161)-1, "")</f>
        <v/>
      </c>
      <c r="K163" s="1" t="str">
        <f>IF(Ferien!$B$13+ROW(B161)-1&lt;=Ferien!$C$13, Ferien!$B$13+ROW(B161)-1, "")</f>
        <v/>
      </c>
      <c r="L163" s="1" t="str">
        <f>IF(Feiertage!$B$14+ROW(B161)-1&lt;=Feiertage!$C$14, Feiertage!$B$14+ROW(B161)-1, "")</f>
        <v/>
      </c>
      <c r="M163" s="1" t="str">
        <f>IF(Feiertage!$B$15+ROW(B161)-1&lt;=Feiertage!$C$15, Feiertage!$B$15+ROW(B161)-1, "")</f>
        <v/>
      </c>
      <c r="N163" s="1" t="str">
        <f>IF(Ferien!$B$16+ROW(B161)-1&lt;=Ferien!$C$16, Ferien!$B$16+ROW(B161)-1, "")</f>
        <v/>
      </c>
      <c r="O163" s="1" t="str">
        <f>IF(Feiertage!$B$17+ROW(B161)-1&lt;=Feiertage!$C$17, Feiertage!$B$17+ROW(B161)-1, "")</f>
        <v/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x14ac:dyDescent="0.3">
      <c r="A164" s="1" t="str">
        <f>IF(Feiertage!$B$3+ROW(A162)-1&lt;=Feiertage!$C$3, Feiertage!$B$3+ROW(A162)-1, "")</f>
        <v/>
      </c>
      <c r="B164" s="1" t="str">
        <f>IF(Feiertage!$B$4+ROW(B162)-1&lt;=Feiertage!$C$4, Feiertage!$B$4+ROW(B162)-1, "")</f>
        <v/>
      </c>
      <c r="C164" s="1"/>
      <c r="D164" s="1"/>
      <c r="E164" s="1" t="str">
        <f>IF(Ferien!$B$7+ROW(B162)-1&lt;=Ferien!$C$7, Ferien!$B$7+ROW(B162)-1, "")</f>
        <v/>
      </c>
      <c r="F164" s="1" t="str">
        <f>IF(Feiertage!$B$8+ROW(B162)-1&lt;=Feiertage!$C$8, Feiertage!$B$8+ROW(B162)-1, "")</f>
        <v/>
      </c>
      <c r="G164" s="1" t="str">
        <f>IF(Feiertage!$B$9+ROW(B162)-1&lt;=Feiertage!$C$9, Feiertage!$B$9+ROW(B162)-1, "")</f>
        <v/>
      </c>
      <c r="H164" s="1" t="str">
        <f>IF(Feiertage!$B$10+ROW(B162)-1&lt;=Feiertage!$C$10, Feiertage!$B$10+ROW(B162)-1, "")</f>
        <v/>
      </c>
      <c r="I164" s="1" t="str">
        <f>IF(Feiertage!$B$11+ROW(B162)-1&lt;=Feiertage!$C$11, Feiertage!$B$11+ROW(B162)-1, "")</f>
        <v/>
      </c>
      <c r="J164" s="1" t="str">
        <f>IF(Feiertage!$B$12+ROW(B162)-1&lt;=Feiertage!$C$12, Feiertage!$B$12+ROW(B162)-1, "")</f>
        <v/>
      </c>
      <c r="K164" s="1" t="str">
        <f>IF(Ferien!$B$13+ROW(B162)-1&lt;=Ferien!$C$13, Ferien!$B$13+ROW(B162)-1, "")</f>
        <v/>
      </c>
      <c r="L164" s="1" t="str">
        <f>IF(Feiertage!$B$14+ROW(B162)-1&lt;=Feiertage!$C$14, Feiertage!$B$14+ROW(B162)-1, "")</f>
        <v/>
      </c>
      <c r="M164" s="1" t="str">
        <f>IF(Feiertage!$B$15+ROW(B162)-1&lt;=Feiertage!$C$15, Feiertage!$B$15+ROW(B162)-1, "")</f>
        <v/>
      </c>
      <c r="N164" s="1" t="str">
        <f>IF(Ferien!$B$16+ROW(B162)-1&lt;=Ferien!$C$16, Ferien!$B$16+ROW(B162)-1, "")</f>
        <v/>
      </c>
      <c r="O164" s="1" t="str">
        <f>IF(Feiertage!$B$17+ROW(B162)-1&lt;=Feiertage!$C$17, Feiertage!$B$17+ROW(B162)-1, "")</f>
        <v/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x14ac:dyDescent="0.3">
      <c r="A165" s="1" t="str">
        <f>IF(Feiertage!$B$3+ROW(A163)-1&lt;=Feiertage!$C$3, Feiertage!$B$3+ROW(A163)-1, "")</f>
        <v/>
      </c>
      <c r="B165" s="1" t="str">
        <f>IF(Feiertage!$B$4+ROW(B163)-1&lt;=Feiertage!$C$4, Feiertage!$B$4+ROW(B163)-1, "")</f>
        <v/>
      </c>
      <c r="C165" s="1"/>
      <c r="D165" s="1"/>
      <c r="E165" s="1" t="str">
        <f>IF(Ferien!$B$7+ROW(B163)-1&lt;=Ferien!$C$7, Ferien!$B$7+ROW(B163)-1, "")</f>
        <v/>
      </c>
      <c r="F165" s="1" t="str">
        <f>IF(Feiertage!$B$8+ROW(B163)-1&lt;=Feiertage!$C$8, Feiertage!$B$8+ROW(B163)-1, "")</f>
        <v/>
      </c>
      <c r="G165" s="1" t="str">
        <f>IF(Feiertage!$B$9+ROW(B163)-1&lt;=Feiertage!$C$9, Feiertage!$B$9+ROW(B163)-1, "")</f>
        <v/>
      </c>
      <c r="H165" s="1" t="str">
        <f>IF(Feiertage!$B$10+ROW(B163)-1&lt;=Feiertage!$C$10, Feiertage!$B$10+ROW(B163)-1, "")</f>
        <v/>
      </c>
      <c r="I165" s="1" t="str">
        <f>IF(Feiertage!$B$11+ROW(B163)-1&lt;=Feiertage!$C$11, Feiertage!$B$11+ROW(B163)-1, "")</f>
        <v/>
      </c>
      <c r="J165" s="1" t="str">
        <f>IF(Feiertage!$B$12+ROW(B163)-1&lt;=Feiertage!$C$12, Feiertage!$B$12+ROW(B163)-1, "")</f>
        <v/>
      </c>
      <c r="K165" s="1" t="str">
        <f>IF(Ferien!$B$13+ROW(B163)-1&lt;=Ferien!$C$13, Ferien!$B$13+ROW(B163)-1, "")</f>
        <v/>
      </c>
      <c r="L165" s="1" t="str">
        <f>IF(Feiertage!$B$14+ROW(B163)-1&lt;=Feiertage!$C$14, Feiertage!$B$14+ROW(B163)-1, "")</f>
        <v/>
      </c>
      <c r="M165" s="1" t="str">
        <f>IF(Feiertage!$B$15+ROW(B163)-1&lt;=Feiertage!$C$15, Feiertage!$B$15+ROW(B163)-1, "")</f>
        <v/>
      </c>
      <c r="N165" s="1" t="str">
        <f>IF(Ferien!$B$16+ROW(B163)-1&lt;=Ferien!$C$16, Ferien!$B$16+ROW(B163)-1, "")</f>
        <v/>
      </c>
      <c r="O165" s="1" t="str">
        <f>IF(Feiertage!$B$17+ROW(B163)-1&lt;=Feiertage!$C$17, Feiertage!$B$17+ROW(B163)-1, "")</f>
        <v/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x14ac:dyDescent="0.3">
      <c r="A166" s="1" t="str">
        <f>IF(Feiertage!$B$3+ROW(A164)-1&lt;=Feiertage!$C$3, Feiertage!$B$3+ROW(A164)-1, "")</f>
        <v/>
      </c>
      <c r="B166" s="1" t="str">
        <f>IF(Feiertage!$B$4+ROW(B164)-1&lt;=Feiertage!$C$4, Feiertage!$B$4+ROW(B164)-1, "")</f>
        <v/>
      </c>
      <c r="C166" s="1"/>
      <c r="D166" s="1"/>
      <c r="E166" s="1" t="str">
        <f>IF(Ferien!$B$7+ROW(B164)-1&lt;=Ferien!$C$7, Ferien!$B$7+ROW(B164)-1, "")</f>
        <v/>
      </c>
      <c r="F166" s="1" t="str">
        <f>IF(Feiertage!$B$8+ROW(B164)-1&lt;=Feiertage!$C$8, Feiertage!$B$8+ROW(B164)-1, "")</f>
        <v/>
      </c>
      <c r="G166" s="1" t="str">
        <f>IF(Feiertage!$B$9+ROW(B164)-1&lt;=Feiertage!$C$9, Feiertage!$B$9+ROW(B164)-1, "")</f>
        <v/>
      </c>
      <c r="H166" s="1" t="str">
        <f>IF(Feiertage!$B$10+ROW(B164)-1&lt;=Feiertage!$C$10, Feiertage!$B$10+ROW(B164)-1, "")</f>
        <v/>
      </c>
      <c r="I166" s="1" t="str">
        <f>IF(Feiertage!$B$11+ROW(B164)-1&lt;=Feiertage!$C$11, Feiertage!$B$11+ROW(B164)-1, "")</f>
        <v/>
      </c>
      <c r="J166" s="1" t="str">
        <f>IF(Feiertage!$B$12+ROW(B164)-1&lt;=Feiertage!$C$12, Feiertage!$B$12+ROW(B164)-1, "")</f>
        <v/>
      </c>
      <c r="K166" s="1" t="str">
        <f>IF(Ferien!$B$13+ROW(B164)-1&lt;=Ferien!$C$13, Ferien!$B$13+ROW(B164)-1, "")</f>
        <v/>
      </c>
      <c r="L166" s="1" t="str">
        <f>IF(Feiertage!$B$14+ROW(B164)-1&lt;=Feiertage!$C$14, Feiertage!$B$14+ROW(B164)-1, "")</f>
        <v/>
      </c>
      <c r="M166" s="1" t="str">
        <f>IF(Ferien!$B$15+ROW(B164)-1&lt;=Ferien!$C$15, Ferien!$B$15+ROW(B164)-1, "")</f>
        <v/>
      </c>
      <c r="N166" s="1" t="str">
        <f>IF(Ferien!$B$16+ROW(B164)-1&lt;=Ferien!$C$16, Ferien!$B$16+ROW(B164)-1, "")</f>
        <v/>
      </c>
      <c r="O166" s="1" t="str">
        <f>IF(Feiertage!$B$17+ROW(B164)-1&lt;=Feiertage!$C$17, Feiertage!$B$17+ROW(B164)-1, "")</f>
        <v/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x14ac:dyDescent="0.3">
      <c r="A167" s="1" t="str">
        <f>IF(Feiertage!$B$3+ROW(A165)-1&lt;=Feiertage!$C$3, Feiertage!$B$3+ROW(A165)-1, "")</f>
        <v/>
      </c>
      <c r="B167" s="1" t="str">
        <f>IF(Feiertage!$B$4+ROW(B165)-1&lt;=Feiertage!$C$4, Feiertage!$B$4+ROW(B165)-1, "")</f>
        <v/>
      </c>
      <c r="C167" s="1"/>
      <c r="D167" s="1"/>
      <c r="E167" s="1" t="str">
        <f>IF(Ferien!$B$7+ROW(B165)-1&lt;=Ferien!$C$7, Ferien!$B$7+ROW(B165)-1, "")</f>
        <v/>
      </c>
      <c r="F167" s="1" t="str">
        <f>IF(Feiertage!$B$8+ROW(B165)-1&lt;=Feiertage!$C$8, Feiertage!$B$8+ROW(B165)-1, "")</f>
        <v/>
      </c>
      <c r="G167" s="1" t="str">
        <f>IF(Feiertage!$B$9+ROW(B165)-1&lt;=Feiertage!$C$9, Feiertage!$B$9+ROW(B165)-1, "")</f>
        <v/>
      </c>
      <c r="H167" s="1" t="str">
        <f>IF(Feiertage!$B$10+ROW(B165)-1&lt;=Feiertage!$C$10, Feiertage!$B$10+ROW(B165)-1, "")</f>
        <v/>
      </c>
      <c r="I167" s="1" t="str">
        <f>IF(Feiertage!$B$11+ROW(B165)-1&lt;=Feiertage!$C$11, Feiertage!$B$11+ROW(B165)-1, "")</f>
        <v/>
      </c>
      <c r="J167" s="1" t="str">
        <f>IF(Feiertage!$B$12+ROW(B165)-1&lt;=Feiertage!$C$12, Feiertage!$B$12+ROW(B165)-1, "")</f>
        <v/>
      </c>
      <c r="K167" s="1" t="str">
        <f>IF(Ferien!$B$13+ROW(B165)-1&lt;=Ferien!$C$13, Ferien!$B$13+ROW(B165)-1, "")</f>
        <v/>
      </c>
      <c r="L167" s="1" t="str">
        <f>IF(Feiertage!$B$14+ROW(B165)-1&lt;=Feiertage!$C$14, Feiertage!$B$14+ROW(B165)-1, "")</f>
        <v/>
      </c>
      <c r="M167" s="1" t="str">
        <f>IF(Ferien!$B$15+ROW(B165)-1&lt;=Ferien!$C$15, Ferien!$B$15+ROW(B165)-1, "")</f>
        <v/>
      </c>
      <c r="N167" s="1" t="str">
        <f>IF(Ferien!$B$16+ROW(B165)-1&lt;=Ferien!$C$16, Ferien!$B$16+ROW(B165)-1, "")</f>
        <v/>
      </c>
      <c r="O167" s="1" t="str">
        <f>IF(Feiertage!$B$17+ROW(B165)-1&lt;=Feiertage!$C$17, Feiertage!$B$17+ROW(B165)-1, "")</f>
        <v/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x14ac:dyDescent="0.3">
      <c r="A168" s="1" t="str">
        <f>IF(Feiertage!$B$3+ROW(A166)-1&lt;=Feiertage!$C$3, Feiertage!$B$3+ROW(A166)-1, "")</f>
        <v/>
      </c>
      <c r="B168" s="1" t="str">
        <f>IF(Feiertage!$B$4+ROW(B166)-1&lt;=Feiertage!$C$4, Feiertage!$B$4+ROW(B166)-1, "")</f>
        <v/>
      </c>
      <c r="C168" s="1"/>
      <c r="D168" s="1"/>
      <c r="E168" s="1" t="str">
        <f>IF(Ferien!$B$7+ROW(B166)-1&lt;=Ferien!$C$7, Ferien!$B$7+ROW(B166)-1, "")</f>
        <v/>
      </c>
      <c r="F168" s="1" t="str">
        <f>IF(Feiertage!$B$8+ROW(B166)-1&lt;=Feiertage!$C$8, Feiertage!$B$8+ROW(B166)-1, "")</f>
        <v/>
      </c>
      <c r="G168" s="1" t="str">
        <f>IF(Feiertage!$B$9+ROW(B166)-1&lt;=Feiertage!$C$9, Feiertage!$B$9+ROW(B166)-1, "")</f>
        <v/>
      </c>
      <c r="H168" s="1" t="str">
        <f>IF(Feiertage!$B$10+ROW(B166)-1&lt;=Feiertage!$C$10, Feiertage!$B$10+ROW(B166)-1, "")</f>
        <v/>
      </c>
      <c r="I168" s="1" t="str">
        <f>IF(Feiertage!$B$11+ROW(B166)-1&lt;=Feiertage!$C$11, Feiertage!$B$11+ROW(B166)-1, "")</f>
        <v/>
      </c>
      <c r="J168" s="1" t="str">
        <f>IF(Feiertage!$B$12+ROW(B166)-1&lt;=Feiertage!$C$12, Feiertage!$B$12+ROW(B166)-1, "")</f>
        <v/>
      </c>
      <c r="K168" s="1" t="str">
        <f>IF(Ferien!$B$13+ROW(B166)-1&lt;=Ferien!$C$13, Ferien!$B$13+ROW(B166)-1, "")</f>
        <v/>
      </c>
      <c r="L168" s="1" t="str">
        <f>IF(Feiertage!$B$14+ROW(B166)-1&lt;=Feiertage!$C$14, Feiertage!$B$14+ROW(B166)-1, "")</f>
        <v/>
      </c>
      <c r="M168" s="1" t="str">
        <f>IF(Ferien!$B$15+ROW(B166)-1&lt;=Ferien!$C$15, Ferien!$B$15+ROW(B166)-1, "")</f>
        <v/>
      </c>
      <c r="N168" s="1" t="str">
        <f>IF(Ferien!$B$16+ROW(B166)-1&lt;=Ferien!$C$16, Ferien!$B$16+ROW(B166)-1, "")</f>
        <v/>
      </c>
      <c r="O168" s="1" t="str">
        <f>IF(Feiertage!$B$17+ROW(B166)-1&lt;=Feiertage!$C$17, Feiertage!$B$17+ROW(B166)-1, "")</f>
        <v/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x14ac:dyDescent="0.3">
      <c r="A169" s="1" t="str">
        <f>IF(Feiertage!$B$3+ROW(A167)-1&lt;=Feiertage!$C$3, Feiertage!$B$3+ROW(A167)-1, "")</f>
        <v/>
      </c>
      <c r="B169" s="1" t="str">
        <f>IF(Feiertage!$B$4+ROW(B167)-1&lt;=Feiertage!$C$4, Feiertage!$B$4+ROW(B167)-1, "")</f>
        <v/>
      </c>
      <c r="C169" s="1"/>
      <c r="D169" s="1"/>
      <c r="E169" s="1" t="str">
        <f>IF(Ferien!$B$7+ROW(B167)-1&lt;=Ferien!$C$7, Ferien!$B$7+ROW(B167)-1, "")</f>
        <v/>
      </c>
      <c r="F169" s="1" t="str">
        <f>IF(Feiertage!$B$8+ROW(B167)-1&lt;=Feiertage!$C$8, Feiertage!$B$8+ROW(B167)-1, "")</f>
        <v/>
      </c>
      <c r="G169" s="1" t="str">
        <f>IF(Feiertage!$B$9+ROW(B167)-1&lt;=Feiertage!$C$9, Feiertage!$B$9+ROW(B167)-1, "")</f>
        <v/>
      </c>
      <c r="H169" s="1" t="str">
        <f>IF(Feiertage!$B$10+ROW(B167)-1&lt;=Feiertage!$C$10, Feiertage!$B$10+ROW(B167)-1, "")</f>
        <v/>
      </c>
      <c r="I169" s="1" t="str">
        <f>IF(Feiertage!$B$11+ROW(B167)-1&lt;=Feiertage!$C$11, Feiertage!$B$11+ROW(B167)-1, "")</f>
        <v/>
      </c>
      <c r="J169" s="1" t="str">
        <f>IF(Feiertage!$B$12+ROW(B167)-1&lt;=Feiertage!$C$12, Feiertage!$B$12+ROW(B167)-1, "")</f>
        <v/>
      </c>
      <c r="K169" s="1" t="str">
        <f>IF(Ferien!$B$13+ROW(B167)-1&lt;=Ferien!$C$13, Ferien!$B$13+ROW(B167)-1, "")</f>
        <v/>
      </c>
      <c r="L169" s="1" t="str">
        <f>IF(Feiertage!$B$14+ROW(B167)-1&lt;=Feiertage!$C$14, Feiertage!$B$14+ROW(B167)-1, "")</f>
        <v/>
      </c>
      <c r="M169" s="1" t="str">
        <f>IF(Ferien!$B$15+ROW(B167)-1&lt;=Ferien!$C$15, Ferien!$B$15+ROW(B167)-1, "")</f>
        <v/>
      </c>
      <c r="N169" s="1" t="str">
        <f>IF(Ferien!$B$16+ROW(B167)-1&lt;=Ferien!$C$16, Ferien!$B$16+ROW(B167)-1, "")</f>
        <v/>
      </c>
      <c r="O169" s="1" t="str">
        <f>IF(Feiertage!$B$17+ROW(B167)-1&lt;=Feiertage!$C$17, Feiertage!$B$17+ROW(B167)-1, "")</f>
        <v/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x14ac:dyDescent="0.3">
      <c r="A170" s="1" t="str">
        <f>IF(Feiertage!$B$3+ROW(A168)-1&lt;=Feiertage!$C$3, Feiertage!$B$3+ROW(A168)-1, "")</f>
        <v/>
      </c>
      <c r="B170" s="1" t="str">
        <f>IF(Feiertage!$B$4+ROW(B168)-1&lt;=Feiertage!$C$4, Feiertage!$B$4+ROW(B168)-1, "")</f>
        <v/>
      </c>
      <c r="C170" s="1"/>
      <c r="D170" s="1"/>
      <c r="E170" s="1" t="str">
        <f>IF(Ferien!$B$7+ROW(B168)-1&lt;=Ferien!$C$7, Ferien!$B$7+ROW(B168)-1, "")</f>
        <v/>
      </c>
      <c r="F170" s="1" t="str">
        <f>IF(Feiertage!$B$8+ROW(B168)-1&lt;=Feiertage!$C$8, Feiertage!$B$8+ROW(B168)-1, "")</f>
        <v/>
      </c>
      <c r="G170" s="1" t="str">
        <f>IF(Feiertage!$B$9+ROW(B168)-1&lt;=Feiertage!$C$9, Feiertage!$B$9+ROW(B168)-1, "")</f>
        <v/>
      </c>
      <c r="H170" s="1" t="str">
        <f>IF(Feiertage!$B$10+ROW(B168)-1&lt;=Feiertage!$C$10, Feiertage!$B$10+ROW(B168)-1, "")</f>
        <v/>
      </c>
      <c r="I170" s="1" t="str">
        <f>IF(Feiertage!$B$11+ROW(B168)-1&lt;=Feiertage!$C$11, Feiertage!$B$11+ROW(B168)-1, "")</f>
        <v/>
      </c>
      <c r="J170" s="1" t="str">
        <f>IF(Feiertage!$B$12+ROW(B168)-1&lt;=Feiertage!$C$12, Feiertage!$B$12+ROW(B168)-1, "")</f>
        <v/>
      </c>
      <c r="K170" s="1" t="str">
        <f>IF(Ferien!$B$13+ROW(B168)-1&lt;=Ferien!$C$13, Ferien!$B$13+ROW(B168)-1, "")</f>
        <v/>
      </c>
      <c r="L170" s="1" t="str">
        <f>IF(Feiertage!$B$14+ROW(B168)-1&lt;=Feiertage!$C$14, Feiertage!$B$14+ROW(B168)-1, "")</f>
        <v/>
      </c>
      <c r="M170" s="1" t="str">
        <f>IF(Ferien!$B$15+ROW(B168)-1&lt;=Ferien!$C$15, Ferien!$B$15+ROW(B168)-1, "")</f>
        <v/>
      </c>
      <c r="N170" s="1" t="str">
        <f>IF(Ferien!$B$16+ROW(B168)-1&lt;=Ferien!$C$16, Ferien!$B$16+ROW(B168)-1, "")</f>
        <v/>
      </c>
      <c r="O170" s="1" t="str">
        <f>IF(Feiertage!$B$17+ROW(B168)-1&lt;=Feiertage!$C$17, Feiertage!$B$17+ROW(B168)-1, "")</f>
        <v/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x14ac:dyDescent="0.3">
      <c r="A171" s="1" t="str">
        <f>IF(Feiertage!$B$3+ROW(A169)-1&lt;=Feiertage!$C$3, Feiertage!$B$3+ROW(A169)-1, "")</f>
        <v/>
      </c>
      <c r="B171" s="1" t="str">
        <f>IF(Feiertage!$B$4+ROW(B169)-1&lt;=Feiertage!$C$4, Feiertage!$B$4+ROW(B169)-1, "")</f>
        <v/>
      </c>
      <c r="C171" s="1"/>
      <c r="D171" s="1"/>
      <c r="E171" s="1" t="str">
        <f>IF(Ferien!$B$7+ROW(B169)-1&lt;=Ferien!$C$7, Ferien!$B$7+ROW(B169)-1, "")</f>
        <v/>
      </c>
      <c r="F171" s="1" t="str">
        <f>IF(Feiertage!$B$8+ROW(B169)-1&lt;=Feiertage!$C$8, Feiertage!$B$8+ROW(B169)-1, "")</f>
        <v/>
      </c>
      <c r="G171" s="1" t="str">
        <f>IF(Feiertage!$B$9+ROW(B169)-1&lt;=Feiertage!$C$9, Feiertage!$B$9+ROW(B169)-1, "")</f>
        <v/>
      </c>
      <c r="H171" s="1" t="str">
        <f>IF(Feiertage!$B$10+ROW(B169)-1&lt;=Feiertage!$C$10, Feiertage!$B$10+ROW(B169)-1, "")</f>
        <v/>
      </c>
      <c r="I171" s="1" t="str">
        <f>IF(Feiertage!$B$11+ROW(B169)-1&lt;=Feiertage!$C$11, Feiertage!$B$11+ROW(B169)-1, "")</f>
        <v/>
      </c>
      <c r="J171" s="1" t="str">
        <f>IF(Feiertage!$B$12+ROW(B169)-1&lt;=Feiertage!$C$12, Feiertage!$B$12+ROW(B169)-1, "")</f>
        <v/>
      </c>
      <c r="K171" s="1" t="str">
        <f>IF(Ferien!$B$13+ROW(B169)-1&lt;=Ferien!$C$13, Ferien!$B$13+ROW(B169)-1, "")</f>
        <v/>
      </c>
      <c r="L171" s="1" t="str">
        <f>IF(Feiertage!$B$14+ROW(B169)-1&lt;=Feiertage!$C$14, Feiertage!$B$14+ROW(B169)-1, "")</f>
        <v/>
      </c>
      <c r="M171" s="1" t="str">
        <f>IF(Ferien!$B$15+ROW(B169)-1&lt;=Ferien!$C$15, Ferien!$B$15+ROW(B169)-1, "")</f>
        <v/>
      </c>
      <c r="N171" s="1" t="str">
        <f>IF(Ferien!$B$16+ROW(B169)-1&lt;=Ferien!$C$16, Ferien!$B$16+ROW(B169)-1, "")</f>
        <v/>
      </c>
      <c r="O171" s="1" t="str">
        <f>IF(Feiertage!$B$17+ROW(B169)-1&lt;=Feiertage!$C$17, Feiertage!$B$17+ROW(B169)-1, "")</f>
        <v/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x14ac:dyDescent="0.3">
      <c r="A172" s="1" t="str">
        <f>IF(Feiertage!$B$3+ROW(A170)-1&lt;=Feiertage!$C$3, Feiertage!$B$3+ROW(A170)-1, "")</f>
        <v/>
      </c>
      <c r="B172" s="1" t="str">
        <f>IF(Feiertage!$B$4+ROW(B170)-1&lt;=Feiertage!$C$4, Feiertage!$B$4+ROW(B170)-1, "")</f>
        <v/>
      </c>
      <c r="C172" s="1"/>
      <c r="D172" s="1"/>
      <c r="E172" s="1" t="str">
        <f>IF(Ferien!$B$7+ROW(B170)-1&lt;=Ferien!$C$7, Ferien!$B$7+ROW(B170)-1, "")</f>
        <v/>
      </c>
      <c r="F172" s="1" t="str">
        <f>IF(Feiertage!$B$8+ROW(B170)-1&lt;=Feiertage!$C$8, Feiertage!$B$8+ROW(B170)-1, "")</f>
        <v/>
      </c>
      <c r="G172" s="1" t="str">
        <f>IF(Feiertage!$B$9+ROW(B170)-1&lt;=Feiertage!$C$9, Feiertage!$B$9+ROW(B170)-1, "")</f>
        <v/>
      </c>
      <c r="H172" s="1" t="str">
        <f>IF(Feiertage!$B$10+ROW(B170)-1&lt;=Feiertage!$C$10, Feiertage!$B$10+ROW(B170)-1, "")</f>
        <v/>
      </c>
      <c r="I172" s="1" t="str">
        <f>IF(Feiertage!$B$11+ROW(B170)-1&lt;=Feiertage!$C$11, Feiertage!$B$11+ROW(B170)-1, "")</f>
        <v/>
      </c>
      <c r="J172" s="1" t="str">
        <f>IF(Feiertage!$B$12+ROW(B170)-1&lt;=Feiertage!$C$12, Feiertage!$B$12+ROW(B170)-1, "")</f>
        <v/>
      </c>
      <c r="K172" s="1" t="str">
        <f>IF(Ferien!$B$13+ROW(B170)-1&lt;=Ferien!$C$13, Ferien!$B$13+ROW(B170)-1, "")</f>
        <v/>
      </c>
      <c r="L172" s="1" t="str">
        <f>IF(Feiertage!$B$14+ROW(B170)-1&lt;=Feiertage!$C$14, Feiertage!$B$14+ROW(B170)-1, "")</f>
        <v/>
      </c>
      <c r="M172" s="1" t="str">
        <f>IF(Ferien!$B$15+ROW(B170)-1&lt;=Ferien!$C$15, Ferien!$B$15+ROW(B170)-1, "")</f>
        <v/>
      </c>
      <c r="N172" s="1" t="str">
        <f>IF(Ferien!$B$16+ROW(B170)-1&lt;=Ferien!$C$16, Ferien!$B$16+ROW(B170)-1, "")</f>
        <v/>
      </c>
      <c r="O172" s="1" t="str">
        <f>IF(Feiertage!$B$17+ROW(B170)-1&lt;=Feiertage!$C$17, Feiertage!$B$17+ROW(B170)-1, "")</f>
        <v/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x14ac:dyDescent="0.3">
      <c r="A173" s="1" t="str">
        <f>IF(Feiertage!$B$3+ROW(A171)-1&lt;=Feiertage!$C$3, Feiertage!$B$3+ROW(A171)-1, "")</f>
        <v/>
      </c>
      <c r="B173" s="1" t="str">
        <f>IF(Feiertage!$B$4+ROW(B171)-1&lt;=Feiertage!$C$4, Feiertage!$B$4+ROW(B171)-1, "")</f>
        <v/>
      </c>
      <c r="C173" s="1"/>
      <c r="D173" s="1"/>
      <c r="E173" s="1" t="str">
        <f>IF(Ferien!$B$7+ROW(B171)-1&lt;=Ferien!$C$7, Ferien!$B$7+ROW(B171)-1, "")</f>
        <v/>
      </c>
      <c r="F173" s="1" t="str">
        <f>IF(Feiertage!$B$8+ROW(B171)-1&lt;=Feiertage!$C$8, Feiertage!$B$8+ROW(B171)-1, "")</f>
        <v/>
      </c>
      <c r="G173" s="1" t="str">
        <f>IF(Feiertage!$B$9+ROW(B171)-1&lt;=Feiertage!$C$9, Feiertage!$B$9+ROW(B171)-1, "")</f>
        <v/>
      </c>
      <c r="H173" s="1" t="str">
        <f>IF(Feiertage!$B$10+ROW(B171)-1&lt;=Feiertage!$C$10, Feiertage!$B$10+ROW(B171)-1, "")</f>
        <v/>
      </c>
      <c r="I173" s="1" t="str">
        <f>IF(Feiertage!$B$11+ROW(B171)-1&lt;=Feiertage!$C$11, Feiertage!$B$11+ROW(B171)-1, "")</f>
        <v/>
      </c>
      <c r="J173" s="1" t="str">
        <f>IF(Feiertage!$B$12+ROW(B171)-1&lt;=Feiertage!$C$12, Feiertage!$B$12+ROW(B171)-1, "")</f>
        <v/>
      </c>
      <c r="K173" s="1" t="str">
        <f>IF(Ferien!$B$13+ROW(B171)-1&lt;=Ferien!$C$13, Ferien!$B$13+ROW(B171)-1, "")</f>
        <v/>
      </c>
      <c r="L173" s="1" t="str">
        <f>IF(Feiertage!$B$14+ROW(B171)-1&lt;=Feiertage!$C$14, Feiertage!$B$14+ROW(B171)-1, "")</f>
        <v/>
      </c>
      <c r="M173" s="1" t="str">
        <f>IF(Ferien!$B$15+ROW(B171)-1&lt;=Ferien!$C$15, Ferien!$B$15+ROW(B171)-1, "")</f>
        <v/>
      </c>
      <c r="N173" s="1" t="str">
        <f>IF(Ferien!$B$16+ROW(B171)-1&lt;=Ferien!$C$16, Ferien!$B$16+ROW(B171)-1, "")</f>
        <v/>
      </c>
      <c r="O173" s="1" t="str">
        <f>IF(Feiertage!$B$17+ROW(B171)-1&lt;=Feiertage!$C$17, Feiertage!$B$17+ROW(B171)-1, "")</f>
        <v/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x14ac:dyDescent="0.3">
      <c r="A174" s="1" t="str">
        <f>IF(Feiertage!$B$3+ROW(A172)-1&lt;=Feiertage!$C$3, Feiertage!$B$3+ROW(A172)-1, "")</f>
        <v/>
      </c>
      <c r="B174" s="1" t="str">
        <f>IF(Feiertage!$B$4+ROW(B172)-1&lt;=Feiertage!$C$4, Feiertage!$B$4+ROW(B172)-1, "")</f>
        <v/>
      </c>
      <c r="C174" s="1"/>
      <c r="D174" s="1"/>
      <c r="E174" s="1" t="str">
        <f>IF(Ferien!$B$7+ROW(B172)-1&lt;=Ferien!$C$7, Ferien!$B$7+ROW(B172)-1, "")</f>
        <v/>
      </c>
      <c r="F174" s="1" t="str">
        <f>IF(Feiertage!$B$8+ROW(B172)-1&lt;=Feiertage!$C$8, Feiertage!$B$8+ROW(B172)-1, "")</f>
        <v/>
      </c>
      <c r="G174" s="1" t="str">
        <f>IF(Feiertage!$B$9+ROW(B172)-1&lt;=Feiertage!$C$9, Feiertage!$B$9+ROW(B172)-1, "")</f>
        <v/>
      </c>
      <c r="H174" s="1" t="str">
        <f>IF(Feiertage!$B$10+ROW(B172)-1&lt;=Feiertage!$C$10, Feiertage!$B$10+ROW(B172)-1, "")</f>
        <v/>
      </c>
      <c r="I174" s="1" t="str">
        <f>IF(Feiertage!$B$11+ROW(B172)-1&lt;=Feiertage!$C$11, Feiertage!$B$11+ROW(B172)-1, "")</f>
        <v/>
      </c>
      <c r="J174" s="1" t="str">
        <f>IF(Feiertage!$B$12+ROW(B172)-1&lt;=Feiertage!$C$12, Feiertage!$B$12+ROW(B172)-1, "")</f>
        <v/>
      </c>
      <c r="K174" s="1" t="str">
        <f>IF(Ferien!$B$13+ROW(B172)-1&lt;=Ferien!$C$13, Ferien!$B$13+ROW(B172)-1, "")</f>
        <v/>
      </c>
      <c r="L174" s="1" t="str">
        <f>IF(Feiertage!$B$14+ROW(B172)-1&lt;=Feiertage!$C$14, Feiertage!$B$14+ROW(B172)-1, "")</f>
        <v/>
      </c>
      <c r="M174" s="1" t="str">
        <f>IF(Ferien!$B$15+ROW(B172)-1&lt;=Ferien!$C$15, Ferien!$B$15+ROW(B172)-1, "")</f>
        <v/>
      </c>
      <c r="N174" s="1" t="str">
        <f>IF(Ferien!$B$16+ROW(B172)-1&lt;=Ferien!$C$16, Ferien!$B$16+ROW(B172)-1, "")</f>
        <v/>
      </c>
      <c r="O174" s="1" t="str">
        <f>IF(Feiertage!$B$17+ROW(B172)-1&lt;=Feiertage!$C$17, Feiertage!$B$17+ROW(B172)-1, "")</f>
        <v/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x14ac:dyDescent="0.3">
      <c r="A175" s="1" t="str">
        <f>IF(Feiertage!$B$3+ROW(A173)-1&lt;=Feiertage!$C$3, Feiertage!$B$3+ROW(A173)-1, "")</f>
        <v/>
      </c>
      <c r="B175" s="1" t="str">
        <f>IF(Feiertage!$B$4+ROW(B173)-1&lt;=Feiertage!$C$4, Feiertage!$B$4+ROW(B173)-1, "")</f>
        <v/>
      </c>
      <c r="C175" s="1"/>
      <c r="D175" s="1"/>
      <c r="E175" s="1" t="str">
        <f>IF(Ferien!$B$7+ROW(B173)-1&lt;=Ferien!$C$7, Ferien!$B$7+ROW(B173)-1, "")</f>
        <v/>
      </c>
      <c r="F175" s="1" t="str">
        <f>IF(Feiertage!$B$8+ROW(B173)-1&lt;=Feiertage!$C$8, Feiertage!$B$8+ROW(B173)-1, "")</f>
        <v/>
      </c>
      <c r="G175" s="1" t="str">
        <f>IF(Feiertage!$B$9+ROW(B173)-1&lt;=Feiertage!$C$9, Feiertage!$B$9+ROW(B173)-1, "")</f>
        <v/>
      </c>
      <c r="H175" s="1" t="str">
        <f>IF(Feiertage!$B$10+ROW(B173)-1&lt;=Feiertage!$C$10, Feiertage!$B$10+ROW(B173)-1, "")</f>
        <v/>
      </c>
      <c r="I175" s="1" t="str">
        <f>IF(Feiertage!$B$11+ROW(B173)-1&lt;=Feiertage!$C$11, Feiertage!$B$11+ROW(B173)-1, "")</f>
        <v/>
      </c>
      <c r="J175" s="1" t="str">
        <f>IF(Feiertage!$B$12+ROW(B173)-1&lt;=Feiertage!$C$12, Feiertage!$B$12+ROW(B173)-1, "")</f>
        <v/>
      </c>
      <c r="K175" s="1" t="str">
        <f>IF(Ferien!$B$13+ROW(B173)-1&lt;=Ferien!$C$13, Ferien!$B$13+ROW(B173)-1, "")</f>
        <v/>
      </c>
      <c r="L175" s="1" t="str">
        <f>IF(Ferien!$B$14+ROW(B173)-1&lt;=Ferien!$C$14, Ferien!$B$14+ROW(B173)-1, "")</f>
        <v/>
      </c>
      <c r="M175" s="1" t="str">
        <f>IF(Ferien!$B$15+ROW(B173)-1&lt;=Ferien!$C$15, Ferien!$B$15+ROW(B173)-1, "")</f>
        <v/>
      </c>
      <c r="N175" s="1" t="str">
        <f>IF(Ferien!$B$16+ROW(B173)-1&lt;=Ferien!$C$16, Ferien!$B$16+ROW(B173)-1, "")</f>
        <v/>
      </c>
      <c r="O175" s="1" t="str">
        <f>IF(Feiertage!$B$17+ROW(B173)-1&lt;=Feiertage!$C$17, Feiertage!$B$17+ROW(B173)-1, "")</f>
        <v/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x14ac:dyDescent="0.3">
      <c r="A176" s="1" t="str">
        <f>IF(Feiertage!$B$3+ROW(A174)-1&lt;=Feiertage!$C$3, Feiertage!$B$3+ROW(A174)-1, "")</f>
        <v/>
      </c>
      <c r="B176" s="1" t="str">
        <f>IF(Feiertage!$B$4+ROW(B174)-1&lt;=Feiertage!$C$4, Feiertage!$B$4+ROW(B174)-1, "")</f>
        <v/>
      </c>
      <c r="C176" s="1"/>
      <c r="D176" s="1"/>
      <c r="E176" s="1" t="str">
        <f>IF(Ferien!$B$7+ROW(B174)-1&lt;=Ferien!$C$7, Ferien!$B$7+ROW(B174)-1, "")</f>
        <v/>
      </c>
      <c r="F176" s="1" t="str">
        <f>IF(Feiertage!$B$8+ROW(B174)-1&lt;=Feiertage!$C$8, Feiertage!$B$8+ROW(B174)-1, "")</f>
        <v/>
      </c>
      <c r="G176" s="1" t="str">
        <f>IF(Feiertage!$B$9+ROW(B174)-1&lt;=Feiertage!$C$9, Feiertage!$B$9+ROW(B174)-1, "")</f>
        <v/>
      </c>
      <c r="H176" s="1" t="str">
        <f>IF(Feiertage!$B$10+ROW(B174)-1&lt;=Feiertage!$C$10, Feiertage!$B$10+ROW(B174)-1, "")</f>
        <v/>
      </c>
      <c r="I176" s="1" t="str">
        <f>IF(Feiertage!$B$11+ROW(B174)-1&lt;=Feiertage!$C$11, Feiertage!$B$11+ROW(B174)-1, "")</f>
        <v/>
      </c>
      <c r="J176" s="1" t="str">
        <f>IF(Feiertage!$B$12+ROW(B174)-1&lt;=Feiertage!$C$12, Feiertage!$B$12+ROW(B174)-1, "")</f>
        <v/>
      </c>
      <c r="K176" s="1" t="str">
        <f>IF(Ferien!$B$13+ROW(B174)-1&lt;=Ferien!$C$13, Ferien!$B$13+ROW(B174)-1, "")</f>
        <v/>
      </c>
      <c r="L176" s="1" t="str">
        <f>IF(Ferien!$B$14+ROW(B174)-1&lt;=Ferien!$C$14, Ferien!$B$14+ROW(B174)-1, "")</f>
        <v/>
      </c>
      <c r="M176" s="1" t="str">
        <f>IF(Ferien!$B$15+ROW(B174)-1&lt;=Ferien!$C$15, Ferien!$B$15+ROW(B174)-1, "")</f>
        <v/>
      </c>
      <c r="N176" s="1" t="str">
        <f>IF(Ferien!$B$16+ROW(B174)-1&lt;=Ferien!$C$16, Ferien!$B$16+ROW(B174)-1, "")</f>
        <v/>
      </c>
      <c r="O176" s="1" t="str">
        <f>IF(Feiertage!$B$17+ROW(B174)-1&lt;=Feiertage!$C$17, Feiertage!$B$17+ROW(B174)-1, "")</f>
        <v/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x14ac:dyDescent="0.3">
      <c r="A177" s="1" t="str">
        <f>IF(Feiertage!$B$3+ROW(A175)-1&lt;=Feiertage!$C$3, Feiertage!$B$3+ROW(A175)-1, "")</f>
        <v/>
      </c>
      <c r="B177" s="1" t="str">
        <f>IF(Feiertage!$B$4+ROW(B175)-1&lt;=Feiertage!$C$4, Feiertage!$B$4+ROW(B175)-1, "")</f>
        <v/>
      </c>
      <c r="C177" s="1"/>
      <c r="D177" s="1"/>
      <c r="E177" s="1" t="str">
        <f>IF(Ferien!$B$7+ROW(B175)-1&lt;=Ferien!$C$7, Ferien!$B$7+ROW(B175)-1, "")</f>
        <v/>
      </c>
      <c r="F177" s="1" t="str">
        <f>IF(Feiertage!$B$8+ROW(B175)-1&lt;=Feiertage!$C$8, Feiertage!$B$8+ROW(B175)-1, "")</f>
        <v/>
      </c>
      <c r="G177" s="1" t="str">
        <f>IF(Feiertage!$B$9+ROW(B175)-1&lt;=Feiertage!$C$9, Feiertage!$B$9+ROW(B175)-1, "")</f>
        <v/>
      </c>
      <c r="H177" s="1" t="str">
        <f>IF(Feiertage!$B$10+ROW(B175)-1&lt;=Feiertage!$C$10, Feiertage!$B$10+ROW(B175)-1, "")</f>
        <v/>
      </c>
      <c r="I177" s="1" t="str">
        <f>IF(Feiertage!$B$11+ROW(B175)-1&lt;=Feiertage!$C$11, Feiertage!$B$11+ROW(B175)-1, "")</f>
        <v/>
      </c>
      <c r="J177" s="1" t="str">
        <f>IF(Feiertage!$B$12+ROW(B175)-1&lt;=Feiertage!$C$12, Feiertage!$B$12+ROW(B175)-1, "")</f>
        <v/>
      </c>
      <c r="K177" s="1" t="str">
        <f>IF(Ferien!$B$13+ROW(B175)-1&lt;=Ferien!$C$13, Ferien!$B$13+ROW(B175)-1, "")</f>
        <v/>
      </c>
      <c r="L177" s="1" t="str">
        <f>IF(Ferien!$B$14+ROW(B175)-1&lt;=Ferien!$C$14, Ferien!$B$14+ROW(B175)-1, "")</f>
        <v/>
      </c>
      <c r="M177" s="1" t="str">
        <f>IF(Ferien!$B$15+ROW(B175)-1&lt;=Ferien!$C$15, Ferien!$B$15+ROW(B175)-1, "")</f>
        <v/>
      </c>
      <c r="N177" s="1" t="str">
        <f>IF(Ferien!$B$16+ROW(B175)-1&lt;=Ferien!$C$16, Ferien!$B$16+ROW(B175)-1, "")</f>
        <v/>
      </c>
      <c r="O177" s="1" t="str">
        <f>IF(Feiertage!$B$17+ROW(B175)-1&lt;=Feiertage!$C$17, Feiertage!$B$17+ROW(B175)-1, "")</f>
        <v/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x14ac:dyDescent="0.3">
      <c r="A178" s="1" t="str">
        <f>IF(Feiertage!$B$3+ROW(A176)-1&lt;=Feiertage!$C$3, Feiertage!$B$3+ROW(A176)-1, "")</f>
        <v/>
      </c>
      <c r="B178" s="1" t="str">
        <f>IF(Feiertage!$B$4+ROW(B176)-1&lt;=Feiertage!$C$4, Feiertage!$B$4+ROW(B176)-1, "")</f>
        <v/>
      </c>
      <c r="C178" s="1"/>
      <c r="D178" s="1"/>
      <c r="E178" s="1" t="str">
        <f>IF(Ferien!$B$7+ROW(B176)-1&lt;=Ferien!$C$7, Ferien!$B$7+ROW(B176)-1, "")</f>
        <v/>
      </c>
      <c r="F178" s="1" t="str">
        <f>IF(Feiertage!$B$8+ROW(B176)-1&lt;=Feiertage!$C$8, Feiertage!$B$8+ROW(B176)-1, "")</f>
        <v/>
      </c>
      <c r="G178" s="1" t="str">
        <f>IF(Feiertage!$B$9+ROW(B176)-1&lt;=Feiertage!$C$9, Feiertage!$B$9+ROW(B176)-1, "")</f>
        <v/>
      </c>
      <c r="H178" s="1" t="str">
        <f>IF(Feiertage!$B$10+ROW(B176)-1&lt;=Feiertage!$C$10, Feiertage!$B$10+ROW(B176)-1, "")</f>
        <v/>
      </c>
      <c r="I178" s="1" t="str">
        <f>IF(Feiertage!$B$11+ROW(B176)-1&lt;=Feiertage!$C$11, Feiertage!$B$11+ROW(B176)-1, "")</f>
        <v/>
      </c>
      <c r="J178" s="1" t="str">
        <f>IF(Feiertage!$B$12+ROW(B176)-1&lt;=Feiertage!$C$12, Feiertage!$B$12+ROW(B176)-1, "")</f>
        <v/>
      </c>
      <c r="K178" s="1" t="str">
        <f>IF(Ferien!$B$13+ROW(B176)-1&lt;=Ferien!$C$13, Ferien!$B$13+ROW(B176)-1, "")</f>
        <v/>
      </c>
      <c r="L178" s="1" t="str">
        <f>IF(Ferien!$B$14+ROW(B176)-1&lt;=Ferien!$C$14, Ferien!$B$14+ROW(B176)-1, "")</f>
        <v/>
      </c>
      <c r="M178" s="1" t="str">
        <f>IF(Ferien!$B$15+ROW(B176)-1&lt;=Ferien!$C$15, Ferien!$B$15+ROW(B176)-1, "")</f>
        <v/>
      </c>
      <c r="N178" s="1" t="str">
        <f>IF(Ferien!$B$16+ROW(B176)-1&lt;=Ferien!$C$16, Ferien!$B$16+ROW(B176)-1, "")</f>
        <v/>
      </c>
      <c r="O178" s="1" t="str">
        <f>IF(Feiertage!$B$17+ROW(B176)-1&lt;=Feiertage!$C$17, Feiertage!$B$17+ROW(B176)-1, "")</f>
        <v/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x14ac:dyDescent="0.3">
      <c r="A179" s="1" t="str">
        <f>IF(Feiertage!$B$3+ROW(A177)-1&lt;=Feiertage!$C$3, Feiertage!$B$3+ROW(A177)-1, "")</f>
        <v/>
      </c>
      <c r="B179" s="1" t="str">
        <f>IF(Feiertage!$B$4+ROW(B177)-1&lt;=Feiertage!$C$4, Feiertage!$B$4+ROW(B177)-1, "")</f>
        <v/>
      </c>
      <c r="C179" s="1"/>
      <c r="D179" s="1"/>
      <c r="E179" s="1" t="str">
        <f>IF(Ferien!$B$7+ROW(B177)-1&lt;=Ferien!$C$7, Ferien!$B$7+ROW(B177)-1, "")</f>
        <v/>
      </c>
      <c r="F179" s="1" t="str">
        <f>IF(Feiertage!$B$8+ROW(B177)-1&lt;=Feiertage!$C$8, Feiertage!$B$8+ROW(B177)-1, "")</f>
        <v/>
      </c>
      <c r="G179" s="1" t="str">
        <f>IF(Feiertage!$B$9+ROW(B177)-1&lt;=Feiertage!$C$9, Feiertage!$B$9+ROW(B177)-1, "")</f>
        <v/>
      </c>
      <c r="H179" s="1" t="str">
        <f>IF(Feiertage!$B$10+ROW(B177)-1&lt;=Feiertage!$C$10, Feiertage!$B$10+ROW(B177)-1, "")</f>
        <v/>
      </c>
      <c r="I179" s="1" t="str">
        <f>IF(Feiertage!$B$11+ROW(B177)-1&lt;=Feiertage!$C$11, Feiertage!$B$11+ROW(B177)-1, "")</f>
        <v/>
      </c>
      <c r="J179" s="1" t="str">
        <f>IF(Feiertage!$B$12+ROW(B177)-1&lt;=Feiertage!$C$12, Feiertage!$B$12+ROW(B177)-1, "")</f>
        <v/>
      </c>
      <c r="K179" s="1" t="str">
        <f>IF(Ferien!$B$13+ROW(B177)-1&lt;=Ferien!$C$13, Ferien!$B$13+ROW(B177)-1, "")</f>
        <v/>
      </c>
      <c r="L179" s="1" t="str">
        <f>IF(Ferien!$B$14+ROW(B177)-1&lt;=Ferien!$C$14, Ferien!$B$14+ROW(B177)-1, "")</f>
        <v/>
      </c>
      <c r="M179" s="1" t="str">
        <f>IF(Ferien!$B$15+ROW(B177)-1&lt;=Ferien!$C$15, Ferien!$B$15+ROW(B177)-1, "")</f>
        <v/>
      </c>
      <c r="N179" s="1" t="str">
        <f>IF(Ferien!$B$16+ROW(B177)-1&lt;=Ferien!$C$16, Ferien!$B$16+ROW(B177)-1, "")</f>
        <v/>
      </c>
      <c r="O179" s="1" t="str">
        <f>IF(Ferien!$B$17+ROW(B177)-1&lt;=Ferien!$C$17, Ferien!$B$17+ROW(B177)-1, "")</f>
        <v/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x14ac:dyDescent="0.3">
      <c r="A180" s="1" t="str">
        <f>IF(Feiertage!$B$3+ROW(A178)-1&lt;=Feiertage!$C$3, Feiertage!$B$3+ROW(A178)-1, "")</f>
        <v/>
      </c>
      <c r="B180" s="1" t="str">
        <f>IF(Feiertage!$B$4+ROW(B178)-1&lt;=Feiertage!$C$4, Feiertage!$B$4+ROW(B178)-1, "")</f>
        <v/>
      </c>
      <c r="C180" s="1"/>
      <c r="D180" s="1"/>
      <c r="E180" s="1" t="str">
        <f>IF(Ferien!$B$7+ROW(B178)-1&lt;=Ferien!$C$7, Ferien!$B$7+ROW(B178)-1, "")</f>
        <v/>
      </c>
      <c r="F180" s="1" t="str">
        <f>IF(Feiertage!$B$8+ROW(B178)-1&lt;=Feiertage!$C$8, Feiertage!$B$8+ROW(B178)-1, "")</f>
        <v/>
      </c>
      <c r="G180" s="1" t="str">
        <f>IF(Feiertage!$B$9+ROW(B178)-1&lt;=Feiertage!$C$9, Feiertage!$B$9+ROW(B178)-1, "")</f>
        <v/>
      </c>
      <c r="H180" s="1" t="str">
        <f>IF(Feiertage!$B$10+ROW(B178)-1&lt;=Feiertage!$C$10, Feiertage!$B$10+ROW(B178)-1, "")</f>
        <v/>
      </c>
      <c r="I180" s="1" t="str">
        <f>IF(Feiertage!$B$11+ROW(B178)-1&lt;=Feiertage!$C$11, Feiertage!$B$11+ROW(B178)-1, "")</f>
        <v/>
      </c>
      <c r="J180" s="1" t="str">
        <f>IF(Feiertage!$B$12+ROW(B178)-1&lt;=Feiertage!$C$12, Feiertage!$B$12+ROW(B178)-1, "")</f>
        <v/>
      </c>
      <c r="K180" s="1" t="str">
        <f>IF(Ferien!$B$13+ROW(B178)-1&lt;=Ferien!$C$13, Ferien!$B$13+ROW(B178)-1, "")</f>
        <v/>
      </c>
      <c r="L180" s="1" t="str">
        <f>IF(Ferien!$B$14+ROW(B178)-1&lt;=Ferien!$C$14, Ferien!$B$14+ROW(B178)-1, "")</f>
        <v/>
      </c>
      <c r="M180" s="1" t="str">
        <f>IF(Ferien!$B$15+ROW(B178)-1&lt;=Ferien!$C$15, Ferien!$B$15+ROW(B178)-1, "")</f>
        <v/>
      </c>
      <c r="N180" s="1" t="str">
        <f>IF(Ferien!$B$16+ROW(B178)-1&lt;=Ferien!$C$16, Ferien!$B$16+ROW(B178)-1, "")</f>
        <v/>
      </c>
      <c r="O180" s="1" t="str">
        <f>IF(Ferien!$B$17+ROW(B178)-1&lt;=Ferien!$C$17, Ferien!$B$17+ROW(B178)-1, "")</f>
        <v/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x14ac:dyDescent="0.3">
      <c r="A181" s="1" t="str">
        <f>IF(Feiertage!$B$3+ROW(A179)-1&lt;=Feiertage!$C$3, Feiertage!$B$3+ROW(A179)-1, "")</f>
        <v/>
      </c>
      <c r="B181" s="1" t="str">
        <f>IF(Feiertage!$B$4+ROW(B179)-1&lt;=Feiertage!$C$4, Feiertage!$B$4+ROW(B179)-1, "")</f>
        <v/>
      </c>
      <c r="C181" s="1"/>
      <c r="D181" s="1"/>
      <c r="E181" s="1" t="str">
        <f>IF(Ferien!$B$7+ROW(B179)-1&lt;=Ferien!$C$7, Ferien!$B$7+ROW(B179)-1, "")</f>
        <v/>
      </c>
      <c r="F181" s="1" t="str">
        <f>IF(Feiertage!$B$8+ROW(B179)-1&lt;=Feiertage!$C$8, Feiertage!$B$8+ROW(B179)-1, "")</f>
        <v/>
      </c>
      <c r="G181" s="1" t="str">
        <f>IF(Feiertage!$B$9+ROW(B179)-1&lt;=Feiertage!$C$9, Feiertage!$B$9+ROW(B179)-1, "")</f>
        <v/>
      </c>
      <c r="H181" s="1" t="str">
        <f>IF(Feiertage!$B$10+ROW(B179)-1&lt;=Feiertage!$C$10, Feiertage!$B$10+ROW(B179)-1, "")</f>
        <v/>
      </c>
      <c r="I181" s="1" t="str">
        <f>IF(Feiertage!$B$11+ROW(B179)-1&lt;=Feiertage!$C$11, Feiertage!$B$11+ROW(B179)-1, "")</f>
        <v/>
      </c>
      <c r="J181" s="1" t="str">
        <f>IF(Feiertage!$B$12+ROW(B179)-1&lt;=Feiertage!$C$12, Feiertage!$B$12+ROW(B179)-1, "")</f>
        <v/>
      </c>
      <c r="K181" s="1" t="str">
        <f>IF(Ferien!$B$13+ROW(B179)-1&lt;=Ferien!$C$13, Ferien!$B$13+ROW(B179)-1, "")</f>
        <v/>
      </c>
      <c r="L181" s="1" t="str">
        <f>IF(Ferien!$B$14+ROW(B179)-1&lt;=Ferien!$C$14, Ferien!$B$14+ROW(B179)-1, "")</f>
        <v/>
      </c>
      <c r="M181" s="1" t="str">
        <f>IF(Ferien!$B$15+ROW(B179)-1&lt;=Ferien!$C$15, Ferien!$B$15+ROW(B179)-1, "")</f>
        <v/>
      </c>
      <c r="N181" s="1" t="str">
        <f>IF(Ferien!$B$16+ROW(B179)-1&lt;=Ferien!$C$16, Ferien!$B$16+ROW(B179)-1, "")</f>
        <v/>
      </c>
      <c r="O181" s="1" t="str">
        <f>IF(Ferien!$B$17+ROW(B179)-1&lt;=Ferien!$C$17, Ferien!$B$17+ROW(B179)-1, "")</f>
        <v/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x14ac:dyDescent="0.3">
      <c r="A182" s="1" t="str">
        <f>IF(Feiertage!$B$3+ROW(A180)-1&lt;=Feiertage!$C$3, Feiertage!$B$3+ROW(A180)-1, "")</f>
        <v/>
      </c>
      <c r="B182" s="1" t="str">
        <f>IF(Feiertage!$B$4+ROW(B180)-1&lt;=Feiertage!$C$4, Feiertage!$B$4+ROW(B180)-1, "")</f>
        <v/>
      </c>
      <c r="C182" s="1"/>
      <c r="D182" s="1"/>
      <c r="E182" s="1" t="str">
        <f>IF(Ferien!$B$7+ROW(B180)-1&lt;=Ferien!$C$7, Ferien!$B$7+ROW(B180)-1, "")</f>
        <v/>
      </c>
      <c r="F182" s="1" t="str">
        <f>IF(Feiertage!$B$8+ROW(B180)-1&lt;=Feiertage!$C$8, Feiertage!$B$8+ROW(B180)-1, "")</f>
        <v/>
      </c>
      <c r="G182" s="1" t="str">
        <f>IF(Feiertage!$B$9+ROW(B180)-1&lt;=Feiertage!$C$9, Feiertage!$B$9+ROW(B180)-1, "")</f>
        <v/>
      </c>
      <c r="H182" s="1" t="str">
        <f>IF(Feiertage!$B$10+ROW(B180)-1&lt;=Feiertage!$C$10, Feiertage!$B$10+ROW(B180)-1, "")</f>
        <v/>
      </c>
      <c r="I182" s="1" t="str">
        <f>IF(Feiertage!$B$11+ROW(B180)-1&lt;=Feiertage!$C$11, Feiertage!$B$11+ROW(B180)-1, "")</f>
        <v/>
      </c>
      <c r="J182" s="1" t="str">
        <f>IF(Feiertage!$B$12+ROW(B180)-1&lt;=Feiertage!$C$12, Feiertage!$B$12+ROW(B180)-1, "")</f>
        <v/>
      </c>
      <c r="K182" s="1" t="str">
        <f>IF(Ferien!$B$13+ROW(B180)-1&lt;=Ferien!$C$13, Ferien!$B$13+ROW(B180)-1, "")</f>
        <v/>
      </c>
      <c r="L182" s="1" t="str">
        <f>IF(Ferien!$B$14+ROW(B180)-1&lt;=Ferien!$C$14, Ferien!$B$14+ROW(B180)-1, "")</f>
        <v/>
      </c>
      <c r="M182" s="1" t="str">
        <f>IF(Ferien!$B$15+ROW(B180)-1&lt;=Ferien!$C$15, Ferien!$B$15+ROW(B180)-1, "")</f>
        <v/>
      </c>
      <c r="N182" s="1" t="str">
        <f>IF(Ferien!$B$16+ROW(B180)-1&lt;=Ferien!$C$16, Ferien!$B$16+ROW(B180)-1, "")</f>
        <v/>
      </c>
      <c r="O182" s="1" t="str">
        <f>IF(Ferien!$B$17+ROW(B180)-1&lt;=Ferien!$C$17, Ferien!$B$17+ROW(B180)-1, "")</f>
        <v/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x14ac:dyDescent="0.3">
      <c r="A183" s="1" t="str">
        <f>IF(Feiertage!$B$3+ROW(A181)-1&lt;=Feiertage!$C$3, Feiertage!$B$3+ROW(A181)-1, "")</f>
        <v/>
      </c>
      <c r="B183" s="1" t="str">
        <f>IF(Feiertage!$B$4+ROW(B181)-1&lt;=Feiertage!$C$4, Feiertage!$B$4+ROW(B181)-1, "")</f>
        <v/>
      </c>
      <c r="C183" s="1"/>
      <c r="D183" s="1"/>
      <c r="E183" s="1" t="str">
        <f>IF(Ferien!$B$7+ROW(B181)-1&lt;=Ferien!$C$7, Ferien!$B$7+ROW(B181)-1, "")</f>
        <v/>
      </c>
      <c r="F183" s="1" t="str">
        <f>IF(Feiertage!$B$8+ROW(B181)-1&lt;=Feiertage!$C$8, Feiertage!$B$8+ROW(B181)-1, "")</f>
        <v/>
      </c>
      <c r="G183" s="1" t="str">
        <f>IF(Feiertage!$B$9+ROW(B181)-1&lt;=Feiertage!$C$9, Feiertage!$B$9+ROW(B181)-1, "")</f>
        <v/>
      </c>
      <c r="H183" s="1" t="str">
        <f>IF(Feiertage!$B$10+ROW(B181)-1&lt;=Feiertage!$C$10, Feiertage!$B$10+ROW(B181)-1, "")</f>
        <v/>
      </c>
      <c r="I183" s="1" t="str">
        <f>IF(Feiertage!$B$11+ROW(B181)-1&lt;=Feiertage!$C$11, Feiertage!$B$11+ROW(B181)-1, "")</f>
        <v/>
      </c>
      <c r="J183" s="1" t="str">
        <f>IF(Feiertage!$B$12+ROW(B181)-1&lt;=Feiertage!$C$12, Feiertage!$B$12+ROW(B181)-1, "")</f>
        <v/>
      </c>
      <c r="K183" s="1" t="str">
        <f>IF(Ferien!$B$13+ROW(B181)-1&lt;=Ferien!$C$13, Ferien!$B$13+ROW(B181)-1, "")</f>
        <v/>
      </c>
      <c r="L183" s="1" t="str">
        <f>IF(Ferien!$B$14+ROW(B181)-1&lt;=Ferien!$C$14, Ferien!$B$14+ROW(B181)-1, "")</f>
        <v/>
      </c>
      <c r="M183" s="1" t="str">
        <f>IF(Ferien!$B$15+ROW(B181)-1&lt;=Ferien!$C$15, Ferien!$B$15+ROW(B181)-1, "")</f>
        <v/>
      </c>
      <c r="N183" s="1" t="str">
        <f>IF(Ferien!$B$16+ROW(B181)-1&lt;=Ferien!$C$16, Ferien!$B$16+ROW(B181)-1, "")</f>
        <v/>
      </c>
      <c r="O183" s="1" t="str">
        <f>IF(Ferien!$B$17+ROW(B181)-1&lt;=Ferien!$C$17, Ferien!$B$17+ROW(B181)-1, "")</f>
        <v/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x14ac:dyDescent="0.3">
      <c r="A184" s="1" t="str">
        <f>IF(Feiertage!$B$3+ROW(A182)-1&lt;=Feiertage!$C$3, Feiertage!$B$3+ROW(A182)-1, "")</f>
        <v/>
      </c>
      <c r="B184" s="1" t="str">
        <f>IF(Feiertage!$B$4+ROW(B182)-1&lt;=Feiertage!$C$4, Feiertage!$B$4+ROW(B182)-1, "")</f>
        <v/>
      </c>
      <c r="C184" s="1"/>
      <c r="D184" s="1"/>
      <c r="E184" s="1" t="str">
        <f>IF(Ferien!$B$7+ROW(B182)-1&lt;=Ferien!$C$7, Ferien!$B$7+ROW(B182)-1, "")</f>
        <v/>
      </c>
      <c r="F184" s="1" t="str">
        <f>IF(Feiertage!$B$8+ROW(B182)-1&lt;=Feiertage!$C$8, Feiertage!$B$8+ROW(B182)-1, "")</f>
        <v/>
      </c>
      <c r="G184" s="1" t="str">
        <f>IF(Feiertage!$B$9+ROW(B182)-1&lt;=Feiertage!$C$9, Feiertage!$B$9+ROW(B182)-1, "")</f>
        <v/>
      </c>
      <c r="H184" s="1" t="str">
        <f>IF(Feiertage!$B$10+ROW(B182)-1&lt;=Feiertage!$C$10, Feiertage!$B$10+ROW(B182)-1, "")</f>
        <v/>
      </c>
      <c r="I184" s="1" t="str">
        <f>IF(Feiertage!$B$11+ROW(B182)-1&lt;=Feiertage!$C$11, Feiertage!$B$11+ROW(B182)-1, "")</f>
        <v/>
      </c>
      <c r="J184" s="1" t="str">
        <f>IF(Feiertage!$B$12+ROW(B182)-1&lt;=Feiertage!$C$12, Feiertage!$B$12+ROW(B182)-1, "")</f>
        <v/>
      </c>
      <c r="K184" s="1" t="str">
        <f>IF(Ferien!$B$13+ROW(B182)-1&lt;=Ferien!$C$13, Ferien!$B$13+ROW(B182)-1, "")</f>
        <v/>
      </c>
      <c r="L184" s="1" t="str">
        <f>IF(Ferien!$B$14+ROW(B182)-1&lt;=Ferien!$C$14, Ferien!$B$14+ROW(B182)-1, "")</f>
        <v/>
      </c>
      <c r="M184" s="1" t="str">
        <f>IF(Ferien!$B$15+ROW(B182)-1&lt;=Ferien!$C$15, Ferien!$B$15+ROW(B182)-1, "")</f>
        <v/>
      </c>
      <c r="N184" s="1" t="str">
        <f>IF(Ferien!$B$16+ROW(B182)-1&lt;=Ferien!$C$16, Ferien!$B$16+ROW(B182)-1, "")</f>
        <v/>
      </c>
      <c r="O184" s="1" t="str">
        <f>IF(Ferien!$B$17+ROW(B182)-1&lt;=Ferien!$C$17, Ferien!$B$17+ROW(B182)-1, "")</f>
        <v/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x14ac:dyDescent="0.3">
      <c r="A185" s="1" t="str">
        <f>IF(Feiertage!$B$3+ROW(A183)-1&lt;=Feiertage!$C$3, Feiertage!$B$3+ROW(A183)-1, "")</f>
        <v/>
      </c>
      <c r="B185" s="1" t="str">
        <f>IF(Feiertage!$B$4+ROW(B183)-1&lt;=Feiertage!$C$4, Feiertage!$B$4+ROW(B183)-1, "")</f>
        <v/>
      </c>
      <c r="C185" s="1"/>
      <c r="D185" s="1"/>
      <c r="E185" s="1" t="str">
        <f>IF(Ferien!$B$7+ROW(B183)-1&lt;=Ferien!$C$7, Ferien!$B$7+ROW(B183)-1, "")</f>
        <v/>
      </c>
      <c r="F185" s="1" t="str">
        <f>IF(Feiertage!$B$8+ROW(B183)-1&lt;=Feiertage!$C$8, Feiertage!$B$8+ROW(B183)-1, "")</f>
        <v/>
      </c>
      <c r="G185" s="1" t="str">
        <f>IF(Feiertage!$B$9+ROW(B183)-1&lt;=Feiertage!$C$9, Feiertage!$B$9+ROW(B183)-1, "")</f>
        <v/>
      </c>
      <c r="H185" s="1" t="str">
        <f>IF(Feiertage!$B$10+ROW(B183)-1&lt;=Feiertage!$C$10, Feiertage!$B$10+ROW(B183)-1, "")</f>
        <v/>
      </c>
      <c r="I185" s="1" t="str">
        <f>IF(Feiertage!$B$11+ROW(B183)-1&lt;=Feiertage!$C$11, Feiertage!$B$11+ROW(B183)-1, "")</f>
        <v/>
      </c>
      <c r="J185" s="1" t="str">
        <f>IF(Feiertage!$B$12+ROW(B183)-1&lt;=Feiertage!$C$12, Feiertage!$B$12+ROW(B183)-1, "")</f>
        <v/>
      </c>
      <c r="K185" s="1" t="str">
        <f>IF(Ferien!$B$13+ROW(B183)-1&lt;=Ferien!$C$13, Ferien!$B$13+ROW(B183)-1, "")</f>
        <v/>
      </c>
      <c r="L185" s="1" t="str">
        <f>IF(Ferien!$B$14+ROW(B183)-1&lt;=Ferien!$C$14, Ferien!$B$14+ROW(B183)-1, "")</f>
        <v/>
      </c>
      <c r="M185" s="1" t="str">
        <f>IF(Ferien!$B$15+ROW(B183)-1&lt;=Ferien!$C$15, Ferien!$B$15+ROW(B183)-1, "")</f>
        <v/>
      </c>
      <c r="N185" s="1" t="str">
        <f>IF(Ferien!$B$16+ROW(B183)-1&lt;=Ferien!$C$16, Ferien!$B$16+ROW(B183)-1, "")</f>
        <v/>
      </c>
      <c r="O185" s="1" t="str">
        <f>IF(Ferien!$B$17+ROW(B183)-1&lt;=Ferien!$C$17, Ferien!$B$17+ROW(B183)-1, "")</f>
        <v/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x14ac:dyDescent="0.3">
      <c r="A186" s="1" t="str">
        <f>IF(Feiertage!$B$3+ROW(A184)-1&lt;=Feiertage!$C$3, Feiertage!$B$3+ROW(A184)-1, "")</f>
        <v/>
      </c>
      <c r="B186" s="1" t="str">
        <f>IF(Feiertage!$B$4+ROW(B184)-1&lt;=Feiertage!$C$4, Feiertage!$B$4+ROW(B184)-1, "")</f>
        <v/>
      </c>
      <c r="C186" s="1"/>
      <c r="D186" s="1"/>
      <c r="E186" s="1" t="str">
        <f>IF(Ferien!$B$7+ROW(B184)-1&lt;=Ferien!$C$7, Ferien!$B$7+ROW(B184)-1, "")</f>
        <v/>
      </c>
      <c r="F186" s="1" t="str">
        <f>IF(Feiertage!$B$8+ROW(B184)-1&lt;=Feiertage!$C$8, Feiertage!$B$8+ROW(B184)-1, "")</f>
        <v/>
      </c>
      <c r="G186" s="1" t="str">
        <f>IF(Feiertage!$B$9+ROW(B184)-1&lt;=Feiertage!$C$9, Feiertage!$B$9+ROW(B184)-1, "")</f>
        <v/>
      </c>
      <c r="H186" s="1"/>
      <c r="I186" s="1" t="str">
        <f>IF(Feiertage!$B$11+ROW(B184)-1&lt;=Feiertage!$C$11, Feiertage!$B$11+ROW(B184)-1, "")</f>
        <v/>
      </c>
      <c r="J186" s="1" t="str">
        <f>IF(Feiertage!$B$12+ROW(B184)-1&lt;=Feiertage!$C$12, Feiertage!$B$12+ROW(B184)-1, "")</f>
        <v/>
      </c>
      <c r="K186" s="1" t="str">
        <f>IF(Ferien!$B$13+ROW(B184)-1&lt;=Ferien!$C$13, Ferien!$B$13+ROW(B184)-1, "")</f>
        <v/>
      </c>
      <c r="L186" s="1" t="str">
        <f>IF(Ferien!$B$14+ROW(B184)-1&lt;=Ferien!$C$14, Ferien!$B$14+ROW(B184)-1, "")</f>
        <v/>
      </c>
      <c r="M186" s="1" t="str">
        <f>IF(Ferien!$B$15+ROW(B184)-1&lt;=Ferien!$C$15, Ferien!$B$15+ROW(B184)-1, "")</f>
        <v/>
      </c>
      <c r="N186" s="1" t="str">
        <f>IF(Ferien!$B$16+ROW(B184)-1&lt;=Ferien!$C$16, Ferien!$B$16+ROW(B184)-1, "")</f>
        <v/>
      </c>
      <c r="O186" s="1" t="str">
        <f>IF(Ferien!$B$17+ROW(B184)-1&lt;=Ferien!$C$17, Ferien!$B$17+ROW(B184)-1, "")</f>
        <v/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3">
      <c r="A187" s="1" t="str">
        <f>IF(Feiertage!$B$3+ROW(A185)-1&lt;=Feiertage!$C$3, Feiertage!$B$3+ROW(A185)-1, "")</f>
        <v/>
      </c>
      <c r="B187" s="1" t="str">
        <f>IF(Feiertage!$B$4+ROW(B185)-1&lt;=Feiertage!$C$4, Feiertage!$B$4+ROW(B185)-1, "")</f>
        <v/>
      </c>
      <c r="C187" s="1"/>
      <c r="D187" s="1"/>
      <c r="E187" s="1" t="str">
        <f>IF(Ferien!$B$7+ROW(B185)-1&lt;=Ferien!$C$7, Ferien!$B$7+ROW(B185)-1, "")</f>
        <v/>
      </c>
      <c r="F187" s="1" t="str">
        <f>IF(Feiertage!$B$8+ROW(B185)-1&lt;=Feiertage!$C$8, Feiertage!$B$8+ROW(B185)-1, "")</f>
        <v/>
      </c>
      <c r="G187" s="1" t="str">
        <f>IF(Feiertage!$B$9+ROW(B185)-1&lt;=Feiertage!$C$9, Feiertage!$B$9+ROW(B185)-1, "")</f>
        <v/>
      </c>
      <c r="H187" s="1"/>
      <c r="I187" s="1" t="str">
        <f>IF(Feiertage!$B$11+ROW(B185)-1&lt;=Feiertage!$C$11, Feiertage!$B$11+ROW(B185)-1, "")</f>
        <v/>
      </c>
      <c r="J187" s="1" t="str">
        <f>IF(Feiertage!$B$12+ROW(B185)-1&lt;=Feiertage!$C$12, Feiertage!$B$12+ROW(B185)-1, "")</f>
        <v/>
      </c>
      <c r="K187" s="1" t="str">
        <f>IF(Ferien!$B$13+ROW(B185)-1&lt;=Ferien!$C$13, Ferien!$B$13+ROW(B185)-1, "")</f>
        <v/>
      </c>
      <c r="L187" s="1" t="str">
        <f>IF(Ferien!$B$14+ROW(B185)-1&lt;=Ferien!$C$14, Ferien!$B$14+ROW(B185)-1, "")</f>
        <v/>
      </c>
      <c r="M187" s="1" t="str">
        <f>IF(Ferien!$B$15+ROW(B185)-1&lt;=Ferien!$C$15, Ferien!$B$15+ROW(B185)-1, "")</f>
        <v/>
      </c>
      <c r="N187" s="1" t="str">
        <f>IF(Ferien!$B$16+ROW(B185)-1&lt;=Ferien!$C$16, Ferien!$B$16+ROW(B185)-1, "")</f>
        <v/>
      </c>
      <c r="O187" s="1" t="str">
        <f>IF(Ferien!$B$17+ROW(B185)-1&lt;=Ferien!$C$17, Ferien!$B$17+ROW(B185)-1, "")</f>
        <v/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x14ac:dyDescent="0.3">
      <c r="A188" s="1" t="str">
        <f>IF(Feiertage!$B$3+ROW(A186)-1&lt;=Feiertage!$C$3, Feiertage!$B$3+ROW(A186)-1, "")</f>
        <v/>
      </c>
      <c r="B188" s="1" t="str">
        <f>IF(Feiertage!$B$4+ROW(B186)-1&lt;=Feiertage!$C$4, Feiertage!$B$4+ROW(B186)-1, "")</f>
        <v/>
      </c>
      <c r="C188" s="1"/>
      <c r="D188" s="1"/>
      <c r="E188" s="1" t="str">
        <f>IF(Ferien!$B$7+ROW(B186)-1&lt;=Ferien!$C$7, Ferien!$B$7+ROW(B186)-1, "")</f>
        <v/>
      </c>
      <c r="F188" s="1" t="str">
        <f>IF(Feiertage!$B$8+ROW(B186)-1&lt;=Feiertage!$C$8, Feiertage!$B$8+ROW(B186)-1, "")</f>
        <v/>
      </c>
      <c r="G188" s="1" t="str">
        <f>IF(Feiertage!$B$9+ROW(B186)-1&lt;=Feiertage!$C$9, Feiertage!$B$9+ROW(B186)-1, "")</f>
        <v/>
      </c>
      <c r="H188" s="1"/>
      <c r="I188" s="1" t="str">
        <f>IF(Feiertage!$B$11+ROW(B186)-1&lt;=Feiertage!$C$11, Feiertage!$B$11+ROW(B186)-1, "")</f>
        <v/>
      </c>
      <c r="J188" s="1" t="str">
        <f>IF(Feiertage!$B$12+ROW(B186)-1&lt;=Feiertage!$C$12, Feiertage!$B$12+ROW(B186)-1, "")</f>
        <v/>
      </c>
      <c r="K188" s="1" t="str">
        <f>IF(Ferien!$B$13+ROW(B186)-1&lt;=Ferien!$C$13, Ferien!$B$13+ROW(B186)-1, "")</f>
        <v/>
      </c>
      <c r="L188" s="1" t="str">
        <f>IF(Ferien!$B$14+ROW(B186)-1&lt;=Ferien!$C$14, Ferien!$B$14+ROW(B186)-1, "")</f>
        <v/>
      </c>
      <c r="M188" s="1" t="str">
        <f>IF(Ferien!$B$15+ROW(B186)-1&lt;=Ferien!$C$15, Ferien!$B$15+ROW(B186)-1, "")</f>
        <v/>
      </c>
      <c r="N188" s="1" t="str">
        <f>IF(Ferien!$B$16+ROW(B186)-1&lt;=Ferien!$C$16, Ferien!$B$16+ROW(B186)-1, "")</f>
        <v/>
      </c>
      <c r="O188" s="1" t="str">
        <f>IF(Ferien!$B$17+ROW(B186)-1&lt;=Ferien!$C$17, Ferien!$B$17+ROW(B186)-1, "")</f>
        <v/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x14ac:dyDescent="0.3">
      <c r="A189" s="1" t="str">
        <f>IF(Feiertage!$B$3+ROW(A187)-1&lt;=Feiertage!$C$3, Feiertage!$B$3+ROW(A187)-1, "")</f>
        <v/>
      </c>
      <c r="B189" s="1" t="str">
        <f>IF(Feiertage!$B$4+ROW(B187)-1&lt;=Feiertage!$C$4, Feiertage!$B$4+ROW(B187)-1, "")</f>
        <v/>
      </c>
      <c r="C189" s="1"/>
      <c r="D189" s="1"/>
      <c r="E189" s="1" t="str">
        <f>IF(Ferien!$B$7+ROW(B187)-1&lt;=Ferien!$C$7, Ferien!$B$7+ROW(B187)-1, "")</f>
        <v/>
      </c>
      <c r="F189" s="1" t="str">
        <f>IF(Feiertage!$B$8+ROW(B187)-1&lt;=Feiertage!$C$8, Feiertage!$B$8+ROW(B187)-1, "")</f>
        <v/>
      </c>
      <c r="G189" s="1" t="str">
        <f>IF(Feiertage!$B$9+ROW(B187)-1&lt;=Feiertage!$C$9, Feiertage!$B$9+ROW(B187)-1, "")</f>
        <v/>
      </c>
      <c r="H189" s="1"/>
      <c r="I189" s="1" t="str">
        <f>IF(Feiertage!$B$11+ROW(B187)-1&lt;=Feiertage!$C$11, Feiertage!$B$11+ROW(B187)-1, "")</f>
        <v/>
      </c>
      <c r="J189" s="1" t="str">
        <f>IF(Feiertage!$B$12+ROW(B187)-1&lt;=Feiertage!$C$12, Feiertage!$B$12+ROW(B187)-1, "")</f>
        <v/>
      </c>
      <c r="K189" s="1" t="str">
        <f>IF(Ferien!$B$13+ROW(B187)-1&lt;=Ferien!$C$13, Ferien!$B$13+ROW(B187)-1, "")</f>
        <v/>
      </c>
      <c r="L189" s="1" t="str">
        <f>IF(Ferien!$B$14+ROW(B187)-1&lt;=Ferien!$C$14, Ferien!$B$14+ROW(B187)-1, "")</f>
        <v/>
      </c>
      <c r="M189" s="1" t="str">
        <f>IF(Ferien!$B$15+ROW(B187)-1&lt;=Ferien!$C$15, Ferien!$B$15+ROW(B187)-1, "")</f>
        <v/>
      </c>
      <c r="N189" s="1" t="str">
        <f>IF(Ferien!$B$16+ROW(B187)-1&lt;=Ferien!$C$16, Ferien!$B$16+ROW(B187)-1, "")</f>
        <v/>
      </c>
      <c r="O189" s="1" t="str">
        <f>IF(Ferien!$B$17+ROW(B187)-1&lt;=Ferien!$C$17, Ferien!$B$17+ROW(B187)-1, "")</f>
        <v/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x14ac:dyDescent="0.3">
      <c r="A190" s="1" t="str">
        <f>IF(Feiertage!$B$3+ROW(A188)-1&lt;=Feiertage!$C$3, Feiertage!$B$3+ROW(A188)-1, "")</f>
        <v/>
      </c>
      <c r="B190" s="1" t="str">
        <f>IF(Feiertage!$B$4+ROW(B188)-1&lt;=Feiertage!$C$4, Feiertage!$B$4+ROW(B188)-1, "")</f>
        <v/>
      </c>
      <c r="C190" s="1"/>
      <c r="D190" s="1"/>
      <c r="E190" s="1" t="str">
        <f>IF(Ferien!$B$7+ROW(B188)-1&lt;=Ferien!$C$7, Ferien!$B$7+ROW(B188)-1, "")</f>
        <v/>
      </c>
      <c r="F190" s="1" t="str">
        <f>IF(Feiertage!$B$8+ROW(B188)-1&lt;=Feiertage!$C$8, Feiertage!$B$8+ROW(B188)-1, "")</f>
        <v/>
      </c>
      <c r="G190" s="1" t="str">
        <f>IF(Feiertage!$B$9+ROW(B188)-1&lt;=Feiertage!$C$9, Feiertage!$B$9+ROW(B188)-1, "")</f>
        <v/>
      </c>
      <c r="H190" s="1"/>
      <c r="I190" s="1" t="str">
        <f>IF(Feiertage!$B$11+ROW(B188)-1&lt;=Feiertage!$C$11, Feiertage!$B$11+ROW(B188)-1, "")</f>
        <v/>
      </c>
      <c r="J190" s="1" t="str">
        <f>IF(Feiertage!$B$12+ROW(B188)-1&lt;=Feiertage!$C$12, Feiertage!$B$12+ROW(B188)-1, "")</f>
        <v/>
      </c>
      <c r="K190" s="1" t="str">
        <f>IF(Ferien!$B$13+ROW(B188)-1&lt;=Ferien!$C$13, Ferien!$B$13+ROW(B188)-1, "")</f>
        <v/>
      </c>
      <c r="L190" s="1" t="str">
        <f>IF(Ferien!$B$14+ROW(B188)-1&lt;=Ferien!$C$14, Ferien!$B$14+ROW(B188)-1, "")</f>
        <v/>
      </c>
      <c r="M190" s="1" t="str">
        <f>IF(Ferien!$B$15+ROW(B188)-1&lt;=Ferien!$C$15, Ferien!$B$15+ROW(B188)-1, "")</f>
        <v/>
      </c>
      <c r="N190" s="1" t="str">
        <f>IF(Ferien!$B$16+ROW(B188)-1&lt;=Ferien!$C$16, Ferien!$B$16+ROW(B188)-1, "")</f>
        <v/>
      </c>
      <c r="O190" s="1" t="str">
        <f>IF(Ferien!$B$17+ROW(B188)-1&lt;=Ferien!$C$17, Ferien!$B$17+ROW(B188)-1, "")</f>
        <v/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x14ac:dyDescent="0.3">
      <c r="A191" s="1" t="str">
        <f>IF(Feiertage!$B$3+ROW(A189)-1&lt;=Feiertage!$C$3, Feiertage!$B$3+ROW(A189)-1, "")</f>
        <v/>
      </c>
      <c r="B191" s="1" t="str">
        <f>IF(Feiertage!$B$4+ROW(B189)-1&lt;=Feiertage!$C$4, Feiertage!$B$4+ROW(B189)-1, "")</f>
        <v/>
      </c>
      <c r="C191" s="1"/>
      <c r="D191" s="1"/>
      <c r="E191" s="1" t="str">
        <f>IF(Ferien!$B$7+ROW(B189)-1&lt;=Ferien!$C$7, Ferien!$B$7+ROW(B189)-1, "")</f>
        <v/>
      </c>
      <c r="F191" s="1" t="str">
        <f>IF(Feiertage!$B$8+ROW(B189)-1&lt;=Feiertage!$C$8, Feiertage!$B$8+ROW(B189)-1, "")</f>
        <v/>
      </c>
      <c r="G191" s="1" t="str">
        <f>IF(Feiertage!$B$9+ROW(B189)-1&lt;=Feiertage!$C$9, Feiertage!$B$9+ROW(B189)-1, "")</f>
        <v/>
      </c>
      <c r="H191" s="1"/>
      <c r="I191" s="1" t="str">
        <f>IF(Feiertage!$B$11+ROW(B189)-1&lt;=Feiertage!$C$11, Feiertage!$B$11+ROW(B189)-1, "")</f>
        <v/>
      </c>
      <c r="J191" s="1" t="str">
        <f>IF(Feiertage!$B$12+ROW(B189)-1&lt;=Feiertage!$C$12, Feiertage!$B$12+ROW(B189)-1, "")</f>
        <v/>
      </c>
      <c r="K191" s="1" t="str">
        <f>IF(Ferien!$B$13+ROW(B189)-1&lt;=Ferien!$C$13, Ferien!$B$13+ROW(B189)-1, "")</f>
        <v/>
      </c>
      <c r="L191" s="1" t="str">
        <f>IF(Ferien!$B$14+ROW(B189)-1&lt;=Ferien!$C$14, Ferien!$B$14+ROW(B189)-1, "")</f>
        <v/>
      </c>
      <c r="M191" s="1"/>
      <c r="N191" s="1" t="str">
        <f>IF(Ferien!$B$16+ROW(B189)-1&lt;=Ferien!$C$16, Ferien!$B$16+ROW(B189)-1, "")</f>
        <v/>
      </c>
      <c r="O191" s="1" t="str">
        <f>IF(Ferien!$B$17+ROW(B189)-1&lt;=Ferien!$C$17, Ferien!$B$17+ROW(B189)-1, "")</f>
        <v/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x14ac:dyDescent="0.3">
      <c r="A192" s="1" t="str">
        <f>IF(Feiertage!$B$3+ROW(A190)-1&lt;=Feiertage!$C$3, Feiertage!$B$3+ROW(A190)-1, "")</f>
        <v/>
      </c>
      <c r="B192" s="1" t="str">
        <f>IF(Feiertage!$B$4+ROW(B190)-1&lt;=Feiertage!$C$4, Feiertage!$B$4+ROW(B190)-1, "")</f>
        <v/>
      </c>
      <c r="C192" s="1"/>
      <c r="D192" s="1"/>
      <c r="E192" s="1" t="str">
        <f>IF(Ferien!$B$7+ROW(B190)-1&lt;=Ferien!$C$7, Ferien!$B$7+ROW(B190)-1, "")</f>
        <v/>
      </c>
      <c r="F192" s="1" t="str">
        <f>IF(Feiertage!$B$8+ROW(B190)-1&lt;=Feiertage!$C$8, Feiertage!$B$8+ROW(B190)-1, "")</f>
        <v/>
      </c>
      <c r="G192" s="1" t="str">
        <f>IF(Feiertage!$B$9+ROW(B190)-1&lt;=Feiertage!$C$9, Feiertage!$B$9+ROW(B190)-1, "")</f>
        <v/>
      </c>
      <c r="H192" s="1"/>
      <c r="I192" s="1" t="str">
        <f>IF(Feiertage!$B$11+ROW(B190)-1&lt;=Feiertage!$C$11, Feiertage!$B$11+ROW(B190)-1, "")</f>
        <v/>
      </c>
      <c r="J192" s="1" t="str">
        <f>IF(Feiertage!$B$12+ROW(B190)-1&lt;=Feiertage!$C$12, Feiertage!$B$12+ROW(B190)-1, "")</f>
        <v/>
      </c>
      <c r="K192" s="1" t="str">
        <f>IF(Ferien!$B$13+ROW(B190)-1&lt;=Ferien!$C$13, Ferien!$B$13+ROW(B190)-1, "")</f>
        <v/>
      </c>
      <c r="L192" s="1" t="str">
        <f>IF(Ferien!$B$14+ROW(B190)-1&lt;=Ferien!$C$14, Ferien!$B$14+ROW(B190)-1, "")</f>
        <v/>
      </c>
      <c r="M192" s="1"/>
      <c r="N192" s="1" t="str">
        <f>IF(Ferien!$B$16+ROW(B190)-1&lt;=Ferien!$C$16, Ferien!$B$16+ROW(B190)-1, "")</f>
        <v/>
      </c>
      <c r="O192" s="1" t="str">
        <f>IF(Ferien!$B$17+ROW(B190)-1&lt;=Ferien!$C$17, Ferien!$B$17+ROW(B190)-1, "")</f>
        <v/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x14ac:dyDescent="0.3">
      <c r="A193" s="1" t="str">
        <f>IF(Feiertage!$B$3+ROW(A191)-1&lt;=Feiertage!$C$3, Feiertage!$B$3+ROW(A191)-1, "")</f>
        <v/>
      </c>
      <c r="B193" s="1" t="str">
        <f>IF(Feiertage!$B$4+ROW(B191)-1&lt;=Feiertage!$C$4, Feiertage!$B$4+ROW(B191)-1, "")</f>
        <v/>
      </c>
      <c r="C193" s="1"/>
      <c r="D193" s="1"/>
      <c r="E193" s="1" t="str">
        <f>IF(Ferien!$B$7+ROW(B191)-1&lt;=Ferien!$C$7, Ferien!$B$7+ROW(B191)-1, "")</f>
        <v/>
      </c>
      <c r="F193" s="1"/>
      <c r="G193" s="1" t="str">
        <f>IF(Feiertage!$B$9+ROW(B191)-1&lt;=Feiertage!$C$9, Feiertage!$B$9+ROW(B191)-1, "")</f>
        <v/>
      </c>
      <c r="H193" s="1"/>
      <c r="I193" s="1" t="str">
        <f>IF(Feiertage!$B$11+ROW(B191)-1&lt;=Feiertage!$C$11, Feiertage!$B$11+ROW(B191)-1, "")</f>
        <v/>
      </c>
      <c r="J193" s="1" t="str">
        <f>IF(Feiertage!$B$12+ROW(B191)-1&lt;=Feiertage!$C$12, Feiertage!$B$12+ROW(B191)-1, "")</f>
        <v/>
      </c>
      <c r="K193" s="1" t="str">
        <f>IF(Ferien!$B$13+ROW(B191)-1&lt;=Ferien!$C$13, Ferien!$B$13+ROW(B191)-1, "")</f>
        <v/>
      </c>
      <c r="L193" s="1" t="str">
        <f>IF(Ferien!$B$14+ROW(B191)-1&lt;=Ferien!$C$14, Ferien!$B$14+ROW(B191)-1, "")</f>
        <v/>
      </c>
      <c r="M193" s="1"/>
      <c r="N193" s="1" t="str">
        <f>IF(Ferien!$B$16+ROW(B191)-1&lt;=Ferien!$C$16, Ferien!$B$16+ROW(B191)-1, "")</f>
        <v/>
      </c>
      <c r="O193" s="1" t="str">
        <f>IF(Ferien!$B$17+ROW(B191)-1&lt;=Ferien!$C$17, Ferien!$B$17+ROW(B191)-1, "")</f>
        <v/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x14ac:dyDescent="0.3">
      <c r="A194" s="1" t="str">
        <f>IF(Feiertage!$B$3+ROW(A192)-1&lt;=Feiertage!$C$3, Feiertage!$B$3+ROW(A192)-1, "")</f>
        <v/>
      </c>
      <c r="B194" s="1" t="str">
        <f>IF(Feiertage!$B$4+ROW(B192)-1&lt;=Feiertage!$C$4, Feiertage!$B$4+ROW(B192)-1, "")</f>
        <v/>
      </c>
      <c r="C194" s="1"/>
      <c r="D194" s="1"/>
      <c r="E194" s="1" t="str">
        <f>IF(Ferien!$B$7+ROW(B192)-1&lt;=Ferien!$C$7, Ferien!$B$7+ROW(B192)-1, "")</f>
        <v/>
      </c>
      <c r="F194" s="1"/>
      <c r="G194" s="1" t="str">
        <f>IF(Feiertage!$B$9+ROW(B192)-1&lt;=Feiertage!$C$9, Feiertage!$B$9+ROW(B192)-1, "")</f>
        <v/>
      </c>
      <c r="H194" s="1"/>
      <c r="I194" s="1" t="str">
        <f>IF(Feiertage!$B$11+ROW(B192)-1&lt;=Feiertage!$C$11, Feiertage!$B$11+ROW(B192)-1, "")</f>
        <v/>
      </c>
      <c r="J194" s="1" t="str">
        <f>IF(Feiertage!$B$12+ROW(B192)-1&lt;=Feiertage!$C$12, Feiertage!$B$12+ROW(B192)-1, "")</f>
        <v/>
      </c>
      <c r="K194" s="1" t="str">
        <f>IF(Ferien!$B$13+ROW(B192)-1&lt;=Ferien!$C$13, Ferien!$B$13+ROW(B192)-1, "")</f>
        <v/>
      </c>
      <c r="L194" s="1" t="str">
        <f>IF(Ferien!$B$14+ROW(B192)-1&lt;=Ferien!$C$14, Ferien!$B$14+ROW(B192)-1, "")</f>
        <v/>
      </c>
      <c r="M194" s="1"/>
      <c r="N194" s="1" t="str">
        <f>IF(Ferien!$B$16+ROW(B192)-1&lt;=Ferien!$C$16, Ferien!$B$16+ROW(B192)-1, "")</f>
        <v/>
      </c>
      <c r="O194" s="1" t="str">
        <f>IF(Ferien!$B$17+ROW(B192)-1&lt;=Ferien!$C$17, Ferien!$B$17+ROW(B192)-1, "")</f>
        <v/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x14ac:dyDescent="0.3">
      <c r="A195" s="1" t="str">
        <f>IF(Feiertage!$B$3+ROW(A193)-1&lt;=Feiertage!$C$3, Feiertage!$B$3+ROW(A193)-1, "")</f>
        <v/>
      </c>
      <c r="B195" s="1" t="str">
        <f>IF(Feiertage!$B$4+ROW(B193)-1&lt;=Feiertage!$C$4, Feiertage!$B$4+ROW(B193)-1, "")</f>
        <v/>
      </c>
      <c r="C195" s="1"/>
      <c r="D195" s="1"/>
      <c r="E195" s="1" t="str">
        <f>IF(Ferien!$B$7+ROW(B193)-1&lt;=Ferien!$C$7, Ferien!$B$7+ROW(B193)-1, "")</f>
        <v/>
      </c>
      <c r="F195" s="1"/>
      <c r="G195" s="1" t="str">
        <f>IF(Feiertage!$B$9+ROW(B193)-1&lt;=Feiertage!$C$9, Feiertage!$B$9+ROW(B193)-1, "")</f>
        <v/>
      </c>
      <c r="H195" s="1"/>
      <c r="I195" s="1" t="str">
        <f>IF(Feiertage!$B$11+ROW(B193)-1&lt;=Feiertage!$C$11, Feiertage!$B$11+ROW(B193)-1, "")</f>
        <v/>
      </c>
      <c r="J195" s="1" t="str">
        <f>IF(Feiertage!$B$12+ROW(B193)-1&lt;=Feiertage!$C$12, Feiertage!$B$12+ROW(B193)-1, "")</f>
        <v/>
      </c>
      <c r="K195" s="1" t="str">
        <f>IF(Ferien!$B$13+ROW(B193)-1&lt;=Ferien!$C$13, Ferien!$B$13+ROW(B193)-1, "")</f>
        <v/>
      </c>
      <c r="L195" s="1" t="str">
        <f>IF(Ferien!$B$14+ROW(B193)-1&lt;=Ferien!$C$14, Ferien!$B$14+ROW(B193)-1, "")</f>
        <v/>
      </c>
      <c r="M195" s="1"/>
      <c r="N195" s="1" t="str">
        <f>IF(Ferien!$B$16+ROW(B193)-1&lt;=Ferien!$C$16, Ferien!$B$16+ROW(B193)-1, "")</f>
        <v/>
      </c>
      <c r="O195" s="1" t="str">
        <f>IF(Ferien!$B$17+ROW(B193)-1&lt;=Ferien!$C$17, Ferien!$B$17+ROW(B193)-1, "")</f>
        <v/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x14ac:dyDescent="0.3">
      <c r="A196" s="1" t="str">
        <f>IF(Feiertage!$B$3+ROW(A194)-1&lt;=Feiertage!$C$3, Feiertage!$B$3+ROW(A194)-1, "")</f>
        <v/>
      </c>
      <c r="B196" s="1" t="str">
        <f>IF(Feiertage!$B$4+ROW(B194)-1&lt;=Feiertage!$C$4, Feiertage!$B$4+ROW(B194)-1, "")</f>
        <v/>
      </c>
      <c r="C196" s="1"/>
      <c r="D196" s="1"/>
      <c r="E196" s="1" t="str">
        <f>IF(Ferien!$B$7+ROW(B194)-1&lt;=Ferien!$C$7, Ferien!$B$7+ROW(B194)-1, "")</f>
        <v/>
      </c>
      <c r="F196" s="1"/>
      <c r="G196" s="1" t="str">
        <f>IF(Feiertage!$B$9+ROW(B194)-1&lt;=Feiertage!$C$9, Feiertage!$B$9+ROW(B194)-1, "")</f>
        <v/>
      </c>
      <c r="H196" s="1"/>
      <c r="I196" s="1" t="str">
        <f>IF(Feiertage!$B$11+ROW(B194)-1&lt;=Feiertage!$C$11, Feiertage!$B$11+ROW(B194)-1, "")</f>
        <v/>
      </c>
      <c r="J196" s="1" t="str">
        <f>IF(Feiertage!$B$12+ROW(B194)-1&lt;=Feiertage!$C$12, Feiertage!$B$12+ROW(B194)-1, "")</f>
        <v/>
      </c>
      <c r="K196" s="1" t="str">
        <f>IF(Ferien!$B$13+ROW(B194)-1&lt;=Ferien!$C$13, Ferien!$B$13+ROW(B194)-1, "")</f>
        <v/>
      </c>
      <c r="L196" s="1" t="str">
        <f>IF(Ferien!$B$14+ROW(B194)-1&lt;=Ferien!$C$14, Ferien!$B$14+ROW(B194)-1, "")</f>
        <v/>
      </c>
      <c r="M196" s="1"/>
      <c r="N196" s="1" t="str">
        <f>IF(Ferien!$B$16+ROW(B194)-1&lt;=Ferien!$C$16, Ferien!$B$16+ROW(B194)-1, "")</f>
        <v/>
      </c>
      <c r="O196" s="1" t="str">
        <f>IF(Ferien!$B$17+ROW(B194)-1&lt;=Ferien!$C$17, Ferien!$B$17+ROW(B194)-1, "")</f>
        <v/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x14ac:dyDescent="0.3">
      <c r="A197" s="1" t="str">
        <f>IF(Feiertage!$B$3+ROW(A195)-1&lt;=Feiertage!$C$3, Feiertage!$B$3+ROW(A195)-1, "")</f>
        <v/>
      </c>
      <c r="B197" s="1" t="str">
        <f>IF(Feiertage!$B$4+ROW(B195)-1&lt;=Feiertage!$C$4, Feiertage!$B$4+ROW(B195)-1, "")</f>
        <v/>
      </c>
      <c r="C197" s="1"/>
      <c r="D197" s="1"/>
      <c r="E197" s="1" t="str">
        <f>IF(Ferien!$B$7+ROW(B195)-1&lt;=Ferien!$C$7, Ferien!$B$7+ROW(B195)-1, "")</f>
        <v/>
      </c>
      <c r="F197" s="1"/>
      <c r="G197" s="1" t="str">
        <f>IF(Feiertage!$B$9+ROW(B195)-1&lt;=Feiertage!$C$9, Feiertage!$B$9+ROW(B195)-1, "")</f>
        <v/>
      </c>
      <c r="H197" s="1"/>
      <c r="I197" s="1"/>
      <c r="J197" s="1" t="str">
        <f>IF(Feiertage!$B$12+ROW(B195)-1&lt;=Feiertage!$C$12, Feiertage!$B$12+ROW(B195)-1, "")</f>
        <v/>
      </c>
      <c r="K197" s="1" t="str">
        <f>IF(Ferien!$B$13+ROW(B195)-1&lt;=Ferien!$C$13, Ferien!$B$13+ROW(B195)-1, "")</f>
        <v/>
      </c>
      <c r="L197" s="1" t="str">
        <f>IF(Ferien!$B$14+ROW(B195)-1&lt;=Ferien!$C$14, Ferien!$B$14+ROW(B195)-1, "")</f>
        <v/>
      </c>
      <c r="M197" s="1"/>
      <c r="N197" s="1" t="str">
        <f>IF(Ferien!$B$16+ROW(B195)-1&lt;=Ferien!$C$16, Ferien!$B$16+ROW(B195)-1, "")</f>
        <v/>
      </c>
      <c r="O197" s="1" t="str">
        <f>IF(Ferien!$B$17+ROW(B195)-1&lt;=Ferien!$C$17, Ferien!$B$17+ROW(B195)-1, "")</f>
        <v/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x14ac:dyDescent="0.3">
      <c r="A198" s="1" t="str">
        <f>IF(Feiertage!$B$3+ROW(A196)-1&lt;=Feiertage!$C$3, Feiertage!$B$3+ROW(A196)-1, "")</f>
        <v/>
      </c>
      <c r="B198" s="1" t="str">
        <f>IF(Feiertage!$B$4+ROW(B196)-1&lt;=Feiertage!$C$4, Feiertage!$B$4+ROW(B196)-1, "")</f>
        <v/>
      </c>
      <c r="C198" s="1"/>
      <c r="D198" s="1"/>
      <c r="E198" s="1" t="str">
        <f>IF(Ferien!$B$7+ROW(B196)-1&lt;=Ferien!$C$7, Ferien!$B$7+ROW(B196)-1, "")</f>
        <v/>
      </c>
      <c r="F198" s="1"/>
      <c r="G198" s="1" t="str">
        <f>IF(Feiertage!$B$9+ROW(B196)-1&lt;=Feiertage!$C$9, Feiertage!$B$9+ROW(B196)-1, "")</f>
        <v/>
      </c>
      <c r="H198" s="1"/>
      <c r="I198" s="1"/>
      <c r="J198" s="1" t="str">
        <f>IF(Feiertage!$B$12+ROW(B196)-1&lt;=Feiertage!$C$12, Feiertage!$B$12+ROW(B196)-1, "")</f>
        <v/>
      </c>
      <c r="K198" s="1" t="str">
        <f>IF(Ferien!$B$13+ROW(B196)-1&lt;=Ferien!$C$13, Ferien!$B$13+ROW(B196)-1, "")</f>
        <v/>
      </c>
      <c r="L198" s="1" t="str">
        <f>IF(Ferien!$B$14+ROW(B196)-1&lt;=Ferien!$C$14, Ferien!$B$14+ROW(B196)-1, "")</f>
        <v/>
      </c>
      <c r="M198" s="1"/>
      <c r="N198" s="1" t="str">
        <f>IF(Ferien!$B$16+ROW(B196)-1&lt;=Ferien!$C$16, Ferien!$B$16+ROW(B196)-1, "")</f>
        <v/>
      </c>
      <c r="O198" s="1" t="str">
        <f>IF(Ferien!$B$17+ROW(B196)-1&lt;=Ferien!$C$17, Ferien!$B$17+ROW(B196)-1, "")</f>
        <v/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x14ac:dyDescent="0.3">
      <c r="A199" s="1" t="str">
        <f>IF(Feiertage!$B$3+ROW(A197)-1&lt;=Feiertage!$C$3, Feiertage!$B$3+ROW(A197)-1, "")</f>
        <v/>
      </c>
      <c r="B199" s="1" t="str">
        <f>IF(Feiertage!$B$4+ROW(B197)-1&lt;=Feiertage!$C$4, Feiertage!$B$4+ROW(B197)-1, "")</f>
        <v/>
      </c>
      <c r="C199" s="1"/>
      <c r="D199" s="1"/>
      <c r="E199" s="1" t="str">
        <f>IF(Ferien!$B$7+ROW(B197)-1&lt;=Ferien!$C$7, Ferien!$B$7+ROW(B197)-1, "")</f>
        <v/>
      </c>
      <c r="F199" s="1"/>
      <c r="G199" s="1" t="str">
        <f>IF(Feiertage!$B$9+ROW(B197)-1&lt;=Feiertage!$C$9, Feiertage!$B$9+ROW(B197)-1, "")</f>
        <v/>
      </c>
      <c r="H199" s="1"/>
      <c r="I199" s="1"/>
      <c r="J199" s="1" t="str">
        <f>IF(Feiertage!$B$12+ROW(B197)-1&lt;=Feiertage!$C$12, Feiertage!$B$12+ROW(B197)-1, "")</f>
        <v/>
      </c>
      <c r="K199" s="1" t="str">
        <f>IF(Ferien!$B$13+ROW(B197)-1&lt;=Ferien!$C$13, Ferien!$B$13+ROW(B197)-1, "")</f>
        <v/>
      </c>
      <c r="L199" s="1" t="str">
        <f>IF(Ferien!$B$14+ROW(B197)-1&lt;=Ferien!$C$14, Ferien!$B$14+ROW(B197)-1, "")</f>
        <v/>
      </c>
      <c r="M199" s="1"/>
      <c r="N199" s="1" t="str">
        <f>IF(Ferien!$B$16+ROW(B197)-1&lt;=Ferien!$C$16, Ferien!$B$16+ROW(B197)-1, "")</f>
        <v/>
      </c>
      <c r="O199" s="1" t="str">
        <f>IF(Ferien!$B$17+ROW(B197)-1&lt;=Ferien!$C$17, Ferien!$B$17+ROW(B197)-1, "")</f>
        <v/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x14ac:dyDescent="0.3">
      <c r="A200" s="1" t="str">
        <f>IF(Feiertage!$B$3+ROW(A198)-1&lt;=Feiertage!$C$3, Feiertage!$B$3+ROW(A198)-1, "")</f>
        <v/>
      </c>
      <c r="B200" s="1" t="str">
        <f>IF(Feiertage!$B$4+ROW(B198)-1&lt;=Feiertage!$C$4, Feiertage!$B$4+ROW(B198)-1, "")</f>
        <v/>
      </c>
      <c r="C200" s="1"/>
      <c r="D200" s="1"/>
      <c r="E200" s="1" t="str">
        <f>IF(Ferien!$B$7+ROW(B198)-1&lt;=Ferien!$C$7, Ferien!$B$7+ROW(B198)-1, "")</f>
        <v/>
      </c>
      <c r="F200" s="1"/>
      <c r="G200" s="1"/>
      <c r="H200" s="1"/>
      <c r="I200" s="1"/>
      <c r="J200" s="1" t="str">
        <f>IF(Feiertage!$B$12+ROW(B198)-1&lt;=Feiertage!$C$12, Feiertage!$B$12+ROW(B198)-1, "")</f>
        <v/>
      </c>
      <c r="K200" s="1" t="str">
        <f>IF(Ferien!$B$13+ROW(B198)-1&lt;=Ferien!$C$13, Ferien!$B$13+ROW(B198)-1, "")</f>
        <v/>
      </c>
      <c r="L200" s="1"/>
      <c r="M200" s="1"/>
      <c r="N200" s="1" t="str">
        <f>IF(Ferien!$B$16+ROW(B198)-1&lt;=Ferien!$C$16, Ferien!$B$16+ROW(B198)-1, "")</f>
        <v/>
      </c>
      <c r="O200" s="1" t="str">
        <f>IF(Ferien!$B$17+ROW(B198)-1&lt;=Ferien!$C$17, Ferien!$B$17+ROW(B198)-1, "")</f>
        <v/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x14ac:dyDescent="0.3">
      <c r="A201" s="1" t="str">
        <f>IF(Feiertage!$B$3+ROW(A199)-1&lt;=Feiertage!$C$3, Feiertage!$B$3+ROW(A199)-1, "")</f>
        <v/>
      </c>
      <c r="B201" s="1" t="str">
        <f>IF(Feiertage!$B$4+ROW(B199)-1&lt;=Feiertage!$C$4, Feiertage!$B$4+ROW(B199)-1, "")</f>
        <v/>
      </c>
      <c r="C201" s="1"/>
      <c r="D201" s="1"/>
      <c r="E201" s="1" t="str">
        <f>IF(Ferien!$B$7+ROW(B199)-1&lt;=Ferien!$C$7, Ferien!$B$7+ROW(B199)-1, "")</f>
        <v/>
      </c>
      <c r="F201" s="1"/>
      <c r="G201" s="1"/>
      <c r="H201" s="1"/>
      <c r="I201" s="1"/>
      <c r="J201" s="1" t="str">
        <f>IF(Feiertage!$B$12+ROW(B199)-1&lt;=Feiertage!$C$12, Feiertage!$B$12+ROW(B199)-1, "")</f>
        <v/>
      </c>
      <c r="K201" s="1" t="str">
        <f>IF(Ferien!$B$13+ROW(B199)-1&lt;=Ferien!$C$13, Ferien!$B$13+ROW(B199)-1, "")</f>
        <v/>
      </c>
      <c r="L201" s="1"/>
      <c r="M201" s="1"/>
      <c r="N201" s="1" t="str">
        <f>IF(Ferien!$B$16+ROW(B199)-1&lt;=Ferien!$C$16, Ferien!$B$16+ROW(B199)-1, "")</f>
        <v/>
      </c>
      <c r="O201" s="1" t="str">
        <f>IF(Ferien!$B$17+ROW(B199)-1&lt;=Ferien!$C$17, Ferien!$B$17+ROW(B199)-1, "")</f>
        <v/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x14ac:dyDescent="0.3">
      <c r="A202" s="1" t="str">
        <f>IF(Feiertage!$B$3+ROW(A200)-1&lt;=Feiertage!$C$3, Feiertage!$B$3+ROW(A200)-1, "")</f>
        <v/>
      </c>
      <c r="B202" s="1" t="str">
        <f>IF(Feiertage!$B$4+ROW(B200)-1&lt;=Feiertage!$C$4, Feiertage!$B$4+ROW(B200)-1, "")</f>
        <v/>
      </c>
      <c r="C202" s="1"/>
      <c r="D202" s="1"/>
      <c r="E202" s="1" t="str">
        <f>IF(Ferien!$B$7+ROW(B200)-1&lt;=Ferien!$C$7, Ferien!$B$7+ROW(B200)-1, "")</f>
        <v/>
      </c>
      <c r="F202" s="1"/>
      <c r="G202" s="1"/>
      <c r="H202" s="1"/>
      <c r="I202" s="1"/>
      <c r="J202" s="1" t="str">
        <f>IF(Feiertage!$B$12+ROW(B200)-1&lt;=Feiertage!$C$12, Feiertage!$B$12+ROW(B200)-1, "")</f>
        <v/>
      </c>
      <c r="K202" s="1"/>
      <c r="L202" s="1"/>
      <c r="M202" s="1"/>
      <c r="N202" s="1" t="str">
        <f>IF(Ferien!$B$16+ROW(B200)-1&lt;=Ferien!$C$16, Ferien!$B$16+ROW(B200)-1, "")</f>
        <v/>
      </c>
      <c r="O202" s="1" t="str">
        <f>IF(Ferien!$B$17+ROW(B200)-1&lt;=Ferien!$C$17, Ferien!$B$17+ROW(B200)-1, "")</f>
        <v/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x14ac:dyDescent="0.3">
      <c r="A203" s="1" t="str">
        <f>IF(Feiertage!$B$3+ROW(A201)-1&lt;=Feiertage!$C$3, Feiertage!$B$3+ROW(A201)-1, "")</f>
        <v/>
      </c>
      <c r="B203" s="1" t="str">
        <f>IF(Feiertage!$B$4+ROW(B201)-1&lt;=Feiertage!$C$4, Feiertage!$B$4+ROW(B201)-1, "")</f>
        <v/>
      </c>
      <c r="C203" s="1"/>
      <c r="D203" s="1"/>
      <c r="E203" s="1" t="str">
        <f>IF(Ferien!$B$7+ROW(B201)-1&lt;=Ferien!$C$7, Ferien!$B$7+ROW(B201)-1, "")</f>
        <v/>
      </c>
      <c r="F203" s="1"/>
      <c r="G203" s="1"/>
      <c r="H203" s="1"/>
      <c r="I203" s="1"/>
      <c r="J203" s="1" t="str">
        <f>IF(Feiertage!$B$12+ROW(B201)-1&lt;=Feiertage!$C$12, Feiertage!$B$12+ROW(B201)-1, "")</f>
        <v/>
      </c>
      <c r="K203" s="1"/>
      <c r="L203" s="1"/>
      <c r="M203" s="1"/>
      <c r="N203" s="1" t="str">
        <f>IF(Ferien!$B$16+ROW(B201)-1&lt;=Ferien!$C$16, Ferien!$B$16+ROW(B201)-1, "")</f>
        <v/>
      </c>
      <c r="O203" s="1" t="str">
        <f>IF(Ferien!$B$17+ROW(B201)-1&lt;=Ferien!$C$17, Ferien!$B$17+ROW(B201)-1, "")</f>
        <v/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x14ac:dyDescent="0.3">
      <c r="A204" s="1" t="str">
        <f>IF(Feiertage!$B$3+ROW(A202)-1&lt;=Feiertage!$C$3, Feiertage!$B$3+ROW(A202)-1, "")</f>
        <v/>
      </c>
      <c r="B204" s="1" t="str">
        <f>IF(Feiertage!$B$4+ROW(B202)-1&lt;=Feiertage!$C$4, Feiertage!$B$4+ROW(B202)-1, "")</f>
        <v/>
      </c>
      <c r="C204" s="1"/>
      <c r="D204" s="1"/>
      <c r="E204" s="1" t="str">
        <f>IF(Ferien!$B$7+ROW(B202)-1&lt;=Ferien!$C$7, Ferien!$B$7+ROW(B202)-1, "")</f>
        <v/>
      </c>
      <c r="F204" s="1"/>
      <c r="G204" s="1"/>
      <c r="H204" s="1"/>
      <c r="I204" s="1"/>
      <c r="J204" s="1" t="str">
        <f>IF(Feiertage!$B$12+ROW(B202)-1&lt;=Feiertage!$C$12, Feiertage!$B$12+ROW(B202)-1, "")</f>
        <v/>
      </c>
      <c r="K204" s="1"/>
      <c r="L204" s="1"/>
      <c r="M204" s="1"/>
      <c r="N204" s="1" t="str">
        <f>IF(Ferien!$B$16+ROW(B202)-1&lt;=Ferien!$C$16, Ferien!$B$16+ROW(B202)-1, "")</f>
        <v/>
      </c>
      <c r="O204" s="1" t="str">
        <f>IF(Ferien!$B$17+ROW(B202)-1&lt;=Ferien!$C$17, Ferien!$B$17+ROW(B202)-1, "")</f>
        <v/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x14ac:dyDescent="0.3">
      <c r="A205" s="1" t="str">
        <f>IF(Feiertage!$B$3+ROW(A203)-1&lt;=Feiertage!$C$3, Feiertage!$B$3+ROW(A203)-1, "")</f>
        <v/>
      </c>
      <c r="B205" s="1" t="str">
        <f>IF(Feiertage!$B$4+ROW(B203)-1&lt;=Feiertage!$C$4, Feiertage!$B$4+ROW(B203)-1, "")</f>
        <v/>
      </c>
      <c r="C205" s="1"/>
      <c r="D205" s="1"/>
      <c r="E205" s="1" t="str">
        <f>IF(Ferien!$B$7+ROW(B203)-1&lt;=Ferien!$C$7, Ferien!$B$7+ROW(B203)-1, "")</f>
        <v/>
      </c>
      <c r="F205" s="1"/>
      <c r="G205" s="1"/>
      <c r="H205" s="1"/>
      <c r="I205" s="1"/>
      <c r="J205" s="1" t="str">
        <f>IF(Feiertage!$B$12+ROW(B203)-1&lt;=Feiertage!$C$12, Feiertage!$B$12+ROW(B203)-1, "")</f>
        <v/>
      </c>
      <c r="K205" s="1"/>
      <c r="L205" s="1"/>
      <c r="M205" s="1"/>
      <c r="N205" s="1" t="str">
        <f>IF(Ferien!$B$16+ROW(B203)-1&lt;=Ferien!$C$16, Ferien!$B$16+ROW(B203)-1, "")</f>
        <v/>
      </c>
      <c r="O205" s="1" t="str">
        <f>IF(Ferien!$B$17+ROW(B203)-1&lt;=Ferien!$C$17, Ferien!$B$17+ROW(B203)-1, "")</f>
        <v/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x14ac:dyDescent="0.3">
      <c r="A206" s="1" t="str">
        <f>IF(Feiertage!$B$3+ROW(A204)-1&lt;=Feiertage!$C$3, Feiertage!$B$3+ROW(A204)-1, "")</f>
        <v/>
      </c>
      <c r="B206" s="1" t="str">
        <f>IF(Feiertage!$B$4+ROW(B204)-1&lt;=Feiertage!$C$4, Feiertage!$B$4+ROW(B204)-1, "")</f>
        <v/>
      </c>
      <c r="C206" s="1"/>
      <c r="D206" s="1"/>
      <c r="E206" s="1" t="str">
        <f>IF(Ferien!$B$7+ROW(B204)-1&lt;=Ferien!$C$7, Ferien!$B$7+ROW(B204)-1, "")</f>
        <v/>
      </c>
      <c r="F206" s="1"/>
      <c r="G206" s="1"/>
      <c r="H206" s="1"/>
      <c r="I206" s="1"/>
      <c r="J206" s="1" t="str">
        <f>IF(Feiertage!$B$12+ROW(B204)-1&lt;=Feiertage!$C$12, Feiertage!$B$12+ROW(B204)-1, "")</f>
        <v/>
      </c>
      <c r="K206" s="1"/>
      <c r="L206" s="1"/>
      <c r="M206" s="1"/>
      <c r="N206" s="1" t="str">
        <f>IF(Ferien!$B$16+ROW(B204)-1&lt;=Ferien!$C$16, Ferien!$B$16+ROW(B204)-1, "")</f>
        <v/>
      </c>
      <c r="O206" s="1" t="str">
        <f>IF(Ferien!$B$17+ROW(B204)-1&lt;=Ferien!$C$17, Ferien!$B$17+ROW(B204)-1, "")</f>
        <v/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x14ac:dyDescent="0.3">
      <c r="A207" s="1" t="str">
        <f>IF(Feiertage!$B$3+ROW(A205)-1&lt;=Feiertage!$C$3, Feiertage!$B$3+ROW(A205)-1, "")</f>
        <v/>
      </c>
      <c r="B207" s="1" t="str">
        <f>IF(Feiertage!$B$4+ROW(B205)-1&lt;=Feiertage!$C$4, Feiertage!$B$4+ROW(B205)-1, "")</f>
        <v/>
      </c>
      <c r="C207" s="1"/>
      <c r="D207" s="1"/>
      <c r="E207" s="1" t="str">
        <f>IF(Ferien!$B$7+ROW(B205)-1&lt;=Ferien!$C$7, Ferien!$B$7+ROW(B205)-1, "")</f>
        <v/>
      </c>
      <c r="F207" s="1"/>
      <c r="G207" s="1"/>
      <c r="H207" s="1"/>
      <c r="I207" s="1"/>
      <c r="J207" s="1" t="str">
        <f>IF(Feiertage!$B$12+ROW(B205)-1&lt;=Feiertage!$C$12, Feiertage!$B$12+ROW(B205)-1, "")</f>
        <v/>
      </c>
      <c r="K207" s="1"/>
      <c r="L207" s="1"/>
      <c r="M207" s="1"/>
      <c r="N207" s="1" t="str">
        <f>IF(Ferien!$B$16+ROW(B205)-1&lt;=Ferien!$C$16, Ferien!$B$16+ROW(B205)-1, "")</f>
        <v/>
      </c>
      <c r="O207" s="1" t="str">
        <f>IF(Ferien!$B$17+ROW(B205)-1&lt;=Ferien!$C$17, Ferien!$B$17+ROW(B205)-1, "")</f>
        <v/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x14ac:dyDescent="0.3">
      <c r="A208" s="1" t="str">
        <f>IF(Feiertage!$B$3+ROW(A206)-1&lt;=Feiertage!$C$3, Feiertage!$B$3+ROW(A206)-1, "")</f>
        <v/>
      </c>
      <c r="B208" s="1" t="str">
        <f>IF(Feiertage!$B$4+ROW(B206)-1&lt;=Feiertage!$C$4, Feiertage!$B$4+ROW(B206)-1, "")</f>
        <v/>
      </c>
      <c r="C208" s="1"/>
      <c r="D208" s="1"/>
      <c r="E208" s="1" t="str">
        <f>IF(Ferien!$B$7+ROW(B206)-1&lt;=Ferien!$C$7, Ferien!$B$7+ROW(B206)-1, "")</f>
        <v/>
      </c>
      <c r="F208" s="1"/>
      <c r="G208" s="1"/>
      <c r="H208" s="1"/>
      <c r="I208" s="1"/>
      <c r="J208" s="1" t="str">
        <f>IF(Feiertage!$B$12+ROW(B206)-1&lt;=Feiertage!$C$12, Feiertage!$B$12+ROW(B206)-1, "")</f>
        <v/>
      </c>
      <c r="K208" s="1"/>
      <c r="L208" s="1"/>
      <c r="M208" s="1"/>
      <c r="N208" s="1" t="str">
        <f>IF(Ferien!$B$16+ROW(B206)-1&lt;=Ferien!$C$16, Ferien!$B$16+ROW(B206)-1, "")</f>
        <v/>
      </c>
      <c r="O208" s="1" t="str">
        <f>IF(Ferien!$B$17+ROW(B206)-1&lt;=Ferien!$C$17, Ferien!$B$17+ROW(B206)-1, "")</f>
        <v/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x14ac:dyDescent="0.3">
      <c r="A209" s="1" t="str">
        <f>IF(Feiertage!$B$3+ROW(A207)-1&lt;=Feiertage!$C$3, Feiertage!$B$3+ROW(A207)-1, "")</f>
        <v/>
      </c>
      <c r="B209" s="1" t="str">
        <f>IF(Feiertage!$B$4+ROW(B207)-1&lt;=Feiertage!$C$4, Feiertage!$B$4+ROW(B207)-1, "")</f>
        <v/>
      </c>
      <c r="C209" s="1"/>
      <c r="D209" s="1"/>
      <c r="E209" s="1" t="str">
        <f>IF(Ferien!$B$7+ROW(B207)-1&lt;=Ferien!$C$7, Ferien!$B$7+ROW(B207)-1, "")</f>
        <v/>
      </c>
      <c r="F209" s="1"/>
      <c r="G209" s="1"/>
      <c r="H209" s="1"/>
      <c r="I209" s="1"/>
      <c r="J209" s="1" t="str">
        <f>IF(Feiertage!$B$12+ROW(B207)-1&lt;=Feiertage!$C$12, Feiertage!$B$12+ROW(B207)-1, "")</f>
        <v/>
      </c>
      <c r="K209" s="1"/>
      <c r="L209" s="1"/>
      <c r="M209" s="1"/>
      <c r="N209" s="1" t="str">
        <f>IF(Ferien!$B$16+ROW(B207)-1&lt;=Ferien!$C$16, Ferien!$B$16+ROW(B207)-1, "")</f>
        <v/>
      </c>
      <c r="O209" s="1" t="str">
        <f>IF(Ferien!$B$17+ROW(B207)-1&lt;=Ferien!$C$17, Ferien!$B$17+ROW(B207)-1, "")</f>
        <v/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x14ac:dyDescent="0.3">
      <c r="A210" s="1" t="str">
        <f>IF(Feiertage!$B$3+ROW(A208)-1&lt;=Feiertage!$C$3, Feiertage!$B$3+ROW(A208)-1, "")</f>
        <v/>
      </c>
      <c r="B210" s="1" t="str">
        <f>IF(Feiertage!$B$4+ROW(B208)-1&lt;=Feiertage!$C$4, Feiertage!$B$4+ROW(B208)-1, "")</f>
        <v/>
      </c>
      <c r="C210" s="1"/>
      <c r="D210" s="1"/>
      <c r="E210" s="1" t="str">
        <f>IF(Ferien!$B$7+ROW(B208)-1&lt;=Ferien!$C$7, Ferien!$B$7+ROW(B208)-1, "")</f>
        <v/>
      </c>
      <c r="F210" s="1"/>
      <c r="G210" s="1"/>
      <c r="H210" s="1"/>
      <c r="I210" s="1"/>
      <c r="J210" s="1" t="str">
        <f>IF(Feiertage!$B$12+ROW(B208)-1&lt;=Feiertage!$C$12, Feiertage!$B$12+ROW(B208)-1, "")</f>
        <v/>
      </c>
      <c r="K210" s="1"/>
      <c r="L210" s="1"/>
      <c r="M210" s="1"/>
      <c r="N210" s="1" t="str">
        <f>IF(Ferien!$B$16+ROW(B208)-1&lt;=Ferien!$C$16, Ferien!$B$16+ROW(B208)-1, "")</f>
        <v/>
      </c>
      <c r="O210" s="1" t="str">
        <f>IF(Ferien!$B$17+ROW(B208)-1&lt;=Ferien!$C$17, Ferien!$B$17+ROW(B208)-1, "")</f>
        <v/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x14ac:dyDescent="0.3">
      <c r="A211" s="1" t="str">
        <f>IF(Feiertage!$B$3+ROW(A209)-1&lt;=Feiertage!$C$3, Feiertage!$B$3+ROW(A209)-1, "")</f>
        <v/>
      </c>
      <c r="B211" s="1" t="str">
        <f>IF(Feiertage!$B$4+ROW(B209)-1&lt;=Feiertage!$C$4, Feiertage!$B$4+ROW(B209)-1, "")</f>
        <v/>
      </c>
      <c r="C211" s="1"/>
      <c r="D211" s="1"/>
      <c r="E211" s="1" t="str">
        <f>IF(Ferien!$B$7+ROW(B209)-1&lt;=Ferien!$C$7, Ferien!$B$7+ROW(B209)-1, "")</f>
        <v/>
      </c>
      <c r="F211" s="1"/>
      <c r="G211" s="1"/>
      <c r="H211" s="1"/>
      <c r="I211" s="1"/>
      <c r="J211" s="1" t="str">
        <f>IF(Feiertage!$B$12+ROW(B209)-1&lt;=Feiertage!$C$12, Feiertage!$B$12+ROW(B209)-1, "")</f>
        <v/>
      </c>
      <c r="K211" s="1"/>
      <c r="L211" s="1"/>
      <c r="M211" s="1"/>
      <c r="N211" s="1" t="str">
        <f>IF(Ferien!$B$16+ROW(B209)-1&lt;=Ferien!$C$16, Ferien!$B$16+ROW(B209)-1, "")</f>
        <v/>
      </c>
      <c r="O211" s="1" t="str">
        <f>IF(Ferien!$B$17+ROW(B209)-1&lt;=Ferien!$C$17, Ferien!$B$17+ROW(B209)-1, "")</f>
        <v/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x14ac:dyDescent="0.3">
      <c r="A212" s="1" t="str">
        <f>IF(Feiertage!$B$3+ROW(A210)-1&lt;=Feiertage!$C$3, Feiertage!$B$3+ROW(A210)-1, "")</f>
        <v/>
      </c>
      <c r="B212" s="1" t="str">
        <f>IF(Feiertage!$B$4+ROW(B210)-1&lt;=Feiertage!$C$4, Feiertage!$B$4+ROW(B210)-1, "")</f>
        <v/>
      </c>
      <c r="C212" s="1"/>
      <c r="D212" s="1"/>
      <c r="E212" s="1" t="str">
        <f>IF(Ferien!$B$7+ROW(B210)-1&lt;=Ferien!$C$7, Ferien!$B$7+ROW(B210)-1, "")</f>
        <v/>
      </c>
      <c r="F212" s="1"/>
      <c r="G212" s="1"/>
      <c r="H212" s="1"/>
      <c r="I212" s="1"/>
      <c r="J212" s="1" t="str">
        <f>IF(Feiertage!$B$12+ROW(B210)-1&lt;=Feiertage!$C$12, Feiertage!$B$12+ROW(B210)-1, "")</f>
        <v/>
      </c>
      <c r="K212" s="1"/>
      <c r="L212" s="1"/>
      <c r="M212" s="1"/>
      <c r="N212" s="1" t="str">
        <f>IF(Ferien!$B$16+ROW(B210)-1&lt;=Ferien!$C$16, Ferien!$B$16+ROW(B210)-1, "")</f>
        <v/>
      </c>
      <c r="O212" s="1" t="str">
        <f>IF(Ferien!$B$17+ROW(B210)-1&lt;=Ferien!$C$17, Ferien!$B$17+ROW(B210)-1, "")</f>
        <v/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x14ac:dyDescent="0.3">
      <c r="A213" s="1" t="str">
        <f>IF(Feiertage!$B$3+ROW(A211)-1&lt;=Feiertage!$C$3, Feiertage!$B$3+ROW(A211)-1, "")</f>
        <v/>
      </c>
      <c r="B213" s="1" t="str">
        <f>IF(Feiertage!$B$4+ROW(B211)-1&lt;=Feiertage!$C$4, Feiertage!$B$4+ROW(B211)-1, "")</f>
        <v/>
      </c>
      <c r="C213" s="1"/>
      <c r="D213" s="1"/>
      <c r="E213" s="1"/>
      <c r="F213" s="1"/>
      <c r="G213" s="1"/>
      <c r="H213" s="1"/>
      <c r="I213" s="1"/>
      <c r="J213" s="1" t="str">
        <f>IF(Feiertage!$B$12+ROW(B211)-1&lt;=Feiertage!$C$12, Feiertage!$B$12+ROW(B211)-1, "")</f>
        <v/>
      </c>
      <c r="K213" s="1"/>
      <c r="L213" s="1"/>
      <c r="M213" s="1"/>
      <c r="N213" s="1" t="str">
        <f>IF(Ferien!$B$16+ROW(B211)-1&lt;=Ferien!$C$16, Ferien!$B$16+ROW(B211)-1, "")</f>
        <v/>
      </c>
      <c r="O213" s="1" t="str">
        <f>IF(Ferien!$B$17+ROW(B211)-1&lt;=Ferien!$C$17, Ferien!$B$17+ROW(B211)-1, "")</f>
        <v/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x14ac:dyDescent="0.3">
      <c r="A214" s="1" t="str">
        <f>IF(Feiertage!$B$3+ROW(A212)-1&lt;=Feiertage!$C$3, Feiertage!$B$3+ROW(A212)-1, "")</f>
        <v/>
      </c>
      <c r="B214" s="1" t="str">
        <f>IF(Feiertage!$B$4+ROW(B212)-1&lt;=Feiertage!$C$4, Feiertage!$B$4+ROW(B212)-1, "")</f>
        <v/>
      </c>
      <c r="C214" s="1"/>
      <c r="D214" s="1"/>
      <c r="E214" s="1"/>
      <c r="F214" s="1"/>
      <c r="G214" s="1"/>
      <c r="H214" s="1"/>
      <c r="I214" s="1"/>
      <c r="J214" s="1" t="str">
        <f>IF(Feiertage!$B$12+ROW(B212)-1&lt;=Feiertage!$C$12, Feiertage!$B$12+ROW(B212)-1, "")</f>
        <v/>
      </c>
      <c r="K214" s="1"/>
      <c r="L214" s="1"/>
      <c r="M214" s="1"/>
      <c r="N214" s="1" t="str">
        <f>IF(Ferien!$B$16+ROW(B212)-1&lt;=Ferien!$C$16, Ferien!$B$16+ROW(B212)-1, "")</f>
        <v/>
      </c>
      <c r="O214" s="1" t="str">
        <f>IF(Ferien!$B$17+ROW(B212)-1&lt;=Ferien!$C$17, Ferien!$B$17+ROW(B212)-1, "")</f>
        <v/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x14ac:dyDescent="0.3">
      <c r="A215" s="1" t="str">
        <f>IF(Feiertage!$B$3+ROW(A213)-1&lt;=Feiertage!$C$3, Feiertage!$B$3+ROW(A213)-1, "")</f>
        <v/>
      </c>
      <c r="B215" s="1" t="str">
        <f>IF(Feiertage!$B$4+ROW(B213)-1&lt;=Feiertage!$C$4, Feiertage!$B$4+ROW(B213)-1, "")</f>
        <v/>
      </c>
      <c r="C215" s="1"/>
      <c r="D215" s="1"/>
      <c r="E215" s="1"/>
      <c r="F215" s="1"/>
      <c r="G215" s="1"/>
      <c r="H215" s="1"/>
      <c r="I215" s="1"/>
      <c r="J215" s="1" t="str">
        <f>IF(Feiertage!$B$12+ROW(B213)-1&lt;=Feiertage!$C$12, Feiertage!$B$12+ROW(B213)-1, "")</f>
        <v/>
      </c>
      <c r="K215" s="1"/>
      <c r="L215" s="1"/>
      <c r="M215" s="1"/>
      <c r="N215" s="1" t="str">
        <f>IF(Ferien!$B$16+ROW(B213)-1&lt;=Ferien!$C$16, Ferien!$B$16+ROW(B213)-1, "")</f>
        <v/>
      </c>
      <c r="O215" s="1" t="str">
        <f>IF(Ferien!$B$17+ROW(B213)-1&lt;=Ferien!$C$17, Ferien!$B$17+ROW(B213)-1, "")</f>
        <v/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x14ac:dyDescent="0.3">
      <c r="A216" s="1" t="str">
        <f>IF(Feiertage!$B$3+ROW(A214)-1&lt;=Feiertage!$C$3, Feiertage!$B$3+ROW(A214)-1, "")</f>
        <v/>
      </c>
      <c r="B216" s="1" t="str">
        <f>IF(Feiertage!$B$4+ROW(B214)-1&lt;=Feiertage!$C$4, Feiertage!$B$4+ROW(B214)-1, "")</f>
        <v/>
      </c>
      <c r="C216" s="1"/>
      <c r="D216" s="1"/>
      <c r="E216" s="1"/>
      <c r="F216" s="1"/>
      <c r="G216" s="1"/>
      <c r="H216" s="1"/>
      <c r="I216" s="1"/>
      <c r="J216" s="1" t="str">
        <f>IF(Feiertage!$B$12+ROW(B214)-1&lt;=Feiertage!$C$12, Feiertage!$B$12+ROW(B214)-1, "")</f>
        <v/>
      </c>
      <c r="K216" s="1"/>
      <c r="L216" s="1"/>
      <c r="M216" s="1"/>
      <c r="N216" s="1" t="str">
        <f>IF(Ferien!$B$16+ROW(B214)-1&lt;=Ferien!$C$16, Ferien!$B$16+ROW(B214)-1, "")</f>
        <v/>
      </c>
      <c r="O216" s="1" t="str">
        <f>IF(Ferien!$B$17+ROW(B214)-1&lt;=Ferien!$C$17, Ferien!$B$17+ROW(B214)-1, "")</f>
        <v/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x14ac:dyDescent="0.3">
      <c r="A217" s="1" t="str">
        <f>IF(Feiertage!$B$3+ROW(A215)-1&lt;=Feiertage!$C$3, Feiertage!$B$3+ROW(A215)-1, "")</f>
        <v/>
      </c>
      <c r="B217" s="1" t="str">
        <f>IF(Feiertage!$B$4+ROW(B215)-1&lt;=Feiertage!$C$4, Feiertage!$B$4+ROW(B215)-1, "")</f>
        <v/>
      </c>
      <c r="C217" s="1"/>
      <c r="D217" s="1"/>
      <c r="E217" s="1"/>
      <c r="F217" s="1"/>
      <c r="G217" s="1"/>
      <c r="H217" s="1"/>
      <c r="I217" s="1"/>
      <c r="J217" s="1" t="str">
        <f>IF(Feiertage!$B$12+ROW(B215)-1&lt;=Feiertage!$C$12, Feiertage!$B$12+ROW(B215)-1, "")</f>
        <v/>
      </c>
      <c r="K217" s="1"/>
      <c r="L217" s="1"/>
      <c r="M217" s="1"/>
      <c r="N217" s="1"/>
      <c r="O217" s="1" t="str">
        <f>IF(Ferien!$B$17+ROW(B215)-1&lt;=Ferien!$C$17, Ferien!$B$17+ROW(B215)-1, "")</f>
        <v/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x14ac:dyDescent="0.3">
      <c r="A218" s="1" t="str">
        <f>IF(Feiertage!$B$3+ROW(A216)-1&lt;=Feiertage!$C$3, Feiertage!$B$3+ROW(A216)-1, "")</f>
        <v/>
      </c>
      <c r="B218" s="1" t="str">
        <f>IF(Feiertage!$B$4+ROW(B216)-1&lt;=Feiertage!$C$4, Feiertage!$B$4+ROW(B216)-1, "")</f>
        <v/>
      </c>
      <c r="C218" s="1"/>
      <c r="D218" s="1"/>
      <c r="E218" s="1"/>
      <c r="F218" s="1"/>
      <c r="G218" s="1"/>
      <c r="H218" s="1"/>
      <c r="I218" s="1"/>
      <c r="J218" s="1" t="str">
        <f>IF(Feiertage!$B$12+ROW(B216)-1&lt;=Feiertage!$C$12, Feiertage!$B$12+ROW(B216)-1, "")</f>
        <v/>
      </c>
      <c r="K218" s="1"/>
      <c r="L218" s="1"/>
      <c r="M218" s="1"/>
      <c r="N218" s="1"/>
      <c r="O218" s="1" t="str">
        <f>IF(Ferien!$B$17+ROW(B216)-1&lt;=Ferien!$C$17, Ferien!$B$17+ROW(B216)-1, "")</f>
        <v/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x14ac:dyDescent="0.3">
      <c r="A219" s="1" t="str">
        <f>IF(Feiertage!$B$3+ROW(A217)-1&lt;=Feiertage!$C$3, Feiertage!$B$3+ROW(A217)-1, "")</f>
        <v/>
      </c>
      <c r="B219" s="1" t="str">
        <f>IF(Feiertage!$B$4+ROW(B217)-1&lt;=Feiertage!$C$4, Feiertage!$B$4+ROW(B217)-1, "")</f>
        <v/>
      </c>
      <c r="C219" s="1"/>
      <c r="D219" s="1"/>
      <c r="E219" s="1"/>
      <c r="F219" s="1"/>
      <c r="G219" s="1"/>
      <c r="H219" s="1"/>
      <c r="I219" s="1"/>
      <c r="J219" s="1" t="str">
        <f>IF(Feiertage!$B$12+ROW(B217)-1&lt;=Feiertage!$C$12, Feiertage!$B$12+ROW(B217)-1, "")</f>
        <v/>
      </c>
      <c r="K219" s="1"/>
      <c r="L219" s="1"/>
      <c r="M219" s="1"/>
      <c r="N219" s="1"/>
      <c r="O219" s="1" t="str">
        <f>IF(Ferien!$B$17+ROW(B217)-1&lt;=Ferien!$C$17, Ferien!$B$17+ROW(B217)-1, "")</f>
        <v/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x14ac:dyDescent="0.3">
      <c r="A220" s="1" t="str">
        <f>IF(Feiertage!$B$3+ROW(A218)-1&lt;=Feiertage!$C$3, Feiertage!$B$3+ROW(A218)-1, "")</f>
        <v/>
      </c>
      <c r="B220" s="1" t="str">
        <f>IF(Feiertage!$B$4+ROW(B218)-1&lt;=Feiertage!$C$4, Feiertage!$B$4+ROW(B218)-1, "")</f>
        <v/>
      </c>
      <c r="C220" s="1"/>
      <c r="D220" s="1"/>
      <c r="E220" s="1"/>
      <c r="F220" s="1"/>
      <c r="G220" s="1"/>
      <c r="H220" s="1"/>
      <c r="I220" s="1"/>
      <c r="J220" s="1" t="str">
        <f>IF(Feiertage!$B$12+ROW(B218)-1&lt;=Feiertage!$C$12, Feiertage!$B$12+ROW(B218)-1, "")</f>
        <v/>
      </c>
      <c r="K220" s="1"/>
      <c r="L220" s="1"/>
      <c r="M220" s="1"/>
      <c r="N220" s="1"/>
      <c r="O220" s="1" t="str">
        <f>IF(Ferien!$B$17+ROW(B218)-1&lt;=Ferien!$C$17, Ferien!$B$17+ROW(B218)-1, "")</f>
        <v/>
      </c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x14ac:dyDescent="0.3">
      <c r="A221" s="1" t="str">
        <f>IF(Feiertage!$B$3+ROW(A219)-1&lt;=Feiertage!$C$3, Feiertage!$B$3+ROW(A219)-1, "")</f>
        <v/>
      </c>
      <c r="B221" s="1" t="str">
        <f>IF(Feiertage!$B$4+ROW(B219)-1&lt;=Feiertage!$C$4, Feiertage!$B$4+ROW(B219)-1, "")</f>
        <v/>
      </c>
      <c r="C221" s="1"/>
      <c r="D221" s="1"/>
      <c r="E221" s="1"/>
      <c r="F221" s="1"/>
      <c r="G221" s="1"/>
      <c r="H221" s="1"/>
      <c r="I221" s="1"/>
      <c r="J221" s="1" t="str">
        <f>IF(Feiertage!$B$12+ROW(B219)-1&lt;=Feiertage!$C$12, Feiertage!$B$12+ROW(B219)-1, "")</f>
        <v/>
      </c>
      <c r="K221" s="1"/>
      <c r="L221" s="1"/>
      <c r="M221" s="1"/>
      <c r="N221" s="1"/>
      <c r="O221" s="1" t="str">
        <f>IF(Ferien!$B$17+ROW(B219)-1&lt;=Ferien!$C$17, Ferien!$B$17+ROW(B219)-1, "")</f>
        <v/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x14ac:dyDescent="0.3">
      <c r="A222" s="1" t="str">
        <f>IF(Feiertage!$B$3+ROW(A220)-1&lt;=Feiertage!$C$3, Feiertage!$B$3+ROW(A220)-1, "")</f>
        <v/>
      </c>
      <c r="B222" s="1" t="str">
        <f>IF(Feiertage!$B$4+ROW(B220)-1&lt;=Feiertage!$C$4, Feiertage!$B$4+ROW(B220)-1, "")</f>
        <v/>
      </c>
      <c r="C222" s="1"/>
      <c r="D222" s="1"/>
      <c r="E222" s="1"/>
      <c r="F222" s="1"/>
      <c r="G222" s="1"/>
      <c r="H222" s="1"/>
      <c r="I222" s="1"/>
      <c r="J222" s="1" t="str">
        <f>IF(Feiertage!$B$12+ROW(B220)-1&lt;=Feiertage!$C$12, Feiertage!$B$12+ROW(B220)-1, "")</f>
        <v/>
      </c>
      <c r="K222" s="1"/>
      <c r="L222" s="1"/>
      <c r="M222" s="1"/>
      <c r="N222" s="1"/>
      <c r="O222" s="1" t="str">
        <f>IF(Ferien!$B$17+ROW(B220)-1&lt;=Ferien!$C$17, Ferien!$B$17+ROW(B220)-1, "")</f>
        <v/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x14ac:dyDescent="0.3">
      <c r="A223" s="1" t="str">
        <f>IF(Feiertage!$B$3+ROW(A221)-1&lt;=Feiertage!$C$3, Feiertage!$B$3+ROW(A221)-1, "")</f>
        <v/>
      </c>
      <c r="B223" s="1" t="str">
        <f>IF(Feiertage!$B$4+ROW(B221)-1&lt;=Feiertage!$C$4, Feiertage!$B$4+ROW(B221)-1, "")</f>
        <v/>
      </c>
      <c r="C223" s="1"/>
      <c r="D223" s="1"/>
      <c r="E223" s="1"/>
      <c r="F223" s="1"/>
      <c r="G223" s="1"/>
      <c r="H223" s="1"/>
      <c r="I223" s="1"/>
      <c r="J223" s="1" t="str">
        <f>IF(Feiertage!$B$12+ROW(B221)-1&lt;=Feiertage!$C$12, Feiertage!$B$12+ROW(B221)-1, "")</f>
        <v/>
      </c>
      <c r="K223" s="1"/>
      <c r="L223" s="1"/>
      <c r="M223" s="1"/>
      <c r="N223" s="1"/>
      <c r="O223" s="1" t="str">
        <f>IF(Ferien!$B$17+ROW(B221)-1&lt;=Ferien!$C$17, Ferien!$B$17+ROW(B221)-1, "")</f>
        <v/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x14ac:dyDescent="0.3">
      <c r="A224" s="1" t="str">
        <f>IF(Feiertage!$B$3+ROW(A222)-1&lt;=Feiertage!$C$3, Feiertage!$B$3+ROW(A222)-1, "")</f>
        <v/>
      </c>
      <c r="B224" s="1" t="str">
        <f>IF(Feiertage!$B$4+ROW(B222)-1&lt;=Feiertage!$C$4, Feiertage!$B$4+ROW(B222)-1, "")</f>
        <v/>
      </c>
      <c r="C224" s="1"/>
      <c r="D224" s="1"/>
      <c r="E224" s="1"/>
      <c r="F224" s="1"/>
      <c r="G224" s="1"/>
      <c r="H224" s="1"/>
      <c r="I224" s="1"/>
      <c r="J224" s="1" t="str">
        <f>IF(Feiertage!$B$12+ROW(B222)-1&lt;=Feiertage!$C$12, Feiertage!$B$12+ROW(B222)-1, "")</f>
        <v/>
      </c>
      <c r="K224" s="1"/>
      <c r="L224" s="1"/>
      <c r="M224" s="1"/>
      <c r="N224" s="1"/>
      <c r="O224" s="1" t="str">
        <f>IF(Ferien!$B$17+ROW(B222)-1&lt;=Ferien!$C$17, Ferien!$B$17+ROW(B222)-1, "")</f>
        <v/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x14ac:dyDescent="0.3">
      <c r="A225" s="1" t="str">
        <f>IF(Feiertage!$B$3+ROW(A223)-1&lt;=Feiertage!$C$3, Feiertage!$B$3+ROW(A223)-1, "")</f>
        <v/>
      </c>
      <c r="B225" s="1" t="str">
        <f>IF(Feiertage!$B$4+ROW(B223)-1&lt;=Feiertage!$C$4, Feiertage!$B$4+ROW(B223)-1, "")</f>
        <v/>
      </c>
      <c r="C225" s="1"/>
      <c r="D225" s="1"/>
      <c r="E225" s="1"/>
      <c r="F225" s="1"/>
      <c r="G225" s="1"/>
      <c r="H225" s="1"/>
      <c r="I225" s="1"/>
      <c r="J225" s="1" t="str">
        <f>IF(Feiertage!$B$12+ROW(B223)-1&lt;=Feiertage!$C$12, Feiertage!$B$12+ROW(B223)-1, "")</f>
        <v/>
      </c>
      <c r="K225" s="1"/>
      <c r="L225" s="1"/>
      <c r="M225" s="1"/>
      <c r="N225" s="1"/>
      <c r="O225" s="1" t="str">
        <f>IF(Ferien!$B$17+ROW(B223)-1&lt;=Ferien!$C$17, Ferien!$B$17+ROW(B223)-1, "")</f>
        <v/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x14ac:dyDescent="0.3">
      <c r="A226" s="1" t="str">
        <f>IF(Feiertage!$B$3+ROW(A224)-1&lt;=Feiertage!$C$3, Feiertage!$B$3+ROW(A224)-1, "")</f>
        <v/>
      </c>
      <c r="B226" s="1" t="str">
        <f>IF(Feiertage!$B$4+ROW(B224)-1&lt;=Feiertage!$C$4, Feiertage!$B$4+ROW(B224)-1, "")</f>
        <v/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 t="str">
        <f>IF(Ferien!$B$17+ROW(B224)-1&lt;=Ferien!$C$17, Ferien!$B$17+ROW(B224)-1, "")</f>
        <v/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x14ac:dyDescent="0.3">
      <c r="A227" s="1" t="str">
        <f>IF(Feiertage!$B$3+ROW(A225)-1&lt;=Feiertage!$C$3, Feiertage!$B$3+ROW(A225)-1, "")</f>
        <v/>
      </c>
      <c r="B227" s="1" t="str">
        <f>IF(Feiertage!$B$4+ROW(B225)-1&lt;=Feiertage!$C$4, Feiertage!$B$4+ROW(B225)-1, "")</f>
        <v/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 t="str">
        <f>IF(Ferien!$B$17+ROW(B225)-1&lt;=Ferien!$C$17, Ferien!$B$17+ROW(B225)-1, "")</f>
        <v/>
      </c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x14ac:dyDescent="0.3">
      <c r="A228" s="1" t="str">
        <f>IF(Feiertage!$B$3+ROW(A226)-1&lt;=Feiertage!$C$3, Feiertage!$B$3+ROW(A226)-1, "")</f>
        <v/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 t="str">
        <f>IF(Ferien!$B$17+ROW(B226)-1&lt;=Ferien!$C$17, Ferien!$B$17+ROW(B226)-1, "")</f>
        <v/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x14ac:dyDescent="0.3">
      <c r="A229" s="1" t="str">
        <f>IF(Feiertage!$B$3+ROW(A227)-1&lt;=Feiertage!$C$3, Feiertage!$B$3+ROW(A227)-1, "")</f>
        <v/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 t="str">
        <f>IF(Ferien!$B$17+ROW(B227)-1&lt;=Ferien!$C$17, Ferien!$B$17+ROW(B227)-1, "")</f>
        <v/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x14ac:dyDescent="0.3">
      <c r="A230" s="1" t="str">
        <f>IF(Feiertage!$B$3+ROW(A228)-1&lt;=Feiertage!$C$3, Feiertage!$B$3+ROW(A228)-1, "")</f>
        <v/>
      </c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 t="str">
        <f>IF(Ferien!$B$17+ROW(B228)-1&lt;=Ferien!$C$17, Ferien!$B$17+ROW(B228)-1, "")</f>
        <v/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x14ac:dyDescent="0.3">
      <c r="A231" s="1" t="str">
        <f>IF(Feiertage!$B$3+ROW(A229)-1&lt;=Feiertage!$C$3, Feiertage!$B$3+ROW(A229)-1, "")</f>
        <v/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x14ac:dyDescent="0.3">
      <c r="A232" s="1" t="str">
        <f>IF(Feiertage!$B$3+ROW(A230)-1&lt;=Feiertage!$C$3, Feiertage!$B$3+ROW(A230)-1, "")</f>
        <v/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x14ac:dyDescent="0.3">
      <c r="A233" s="1" t="str">
        <f>IF(Ferien!$B$3+ROW(A231)-1&lt;=Ferien!$C$3, Ferien!$B$3+ROW(A231)-1, "")</f>
        <v/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x14ac:dyDescent="0.3">
      <c r="A234" s="1" t="str">
        <f>IF(Ferien!$B$3+ROW(A232)-1&lt;=Ferien!$C$3, Ferien!$B$3+ROW(A232)-1, "")</f>
        <v/>
      </c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x14ac:dyDescent="0.3">
      <c r="A235" s="1" t="str">
        <f>IF(Ferien!$B$3+ROW(A233)-1&lt;=Ferien!$C$3, Ferien!$B$3+ROW(A233)-1, "")</f>
        <v/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x14ac:dyDescent="0.3">
      <c r="A236" s="1" t="str">
        <f>IF(Ferien!$B$3+ROW(A234)-1&lt;=Ferien!$C$3, Ferien!$B$3+ROW(A234)-1, "")</f>
        <v/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x14ac:dyDescent="0.3">
      <c r="A237" s="1" t="str">
        <f>IF(Ferien!$B$3+ROW(A235)-1&lt;=Ferien!$C$3, Ferien!$B$3+ROW(A235)-1, "")</f>
        <v/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x14ac:dyDescent="0.3">
      <c r="A238" s="1" t="str">
        <f>IF(Ferien!$B$3+ROW(A236)-1&lt;=Ferien!$C$3, Ferien!$B$3+ROW(A236)-1, "")</f>
        <v/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Start</vt:lpstr>
      <vt:lpstr>Kalender!Drucktitel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Vigliotti HauptPC</cp:lastModifiedBy>
  <cp:lastPrinted>2026-02-24T19:37:39Z</cp:lastPrinted>
  <dcterms:created xsi:type="dcterms:W3CDTF">2026-02-21T14:19:14Z</dcterms:created>
  <dcterms:modified xsi:type="dcterms:W3CDTF">2026-03-06T21:23:51Z</dcterms:modified>
</cp:coreProperties>
</file>