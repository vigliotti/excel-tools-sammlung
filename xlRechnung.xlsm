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Vigliotti HauptPC\Desktop\Verkauf XL Rechnung\"/>
    </mc:Choice>
  </mc:AlternateContent>
  <xr:revisionPtr revIDLastSave="0" documentId="13_ncr:1_{0D4B7338-5A09-4D01-876E-0C206BB5AA18}" xr6:coauthVersionLast="36" xr6:coauthVersionMax="47" xr10:uidLastSave="{00000000-0000-0000-0000-000000000000}"/>
  <bookViews>
    <workbookView xWindow="-108" yWindow="-108" windowWidth="19416" windowHeight="10296" firstSheet="3" activeTab="3" xr2:uid="{00000000-000D-0000-FFFF-FFFF00000000}"/>
  </bookViews>
  <sheets>
    <sheet name="Rechnung" sheetId="1" state="veryHidden" r:id="rId1"/>
    <sheet name="Artikel" sheetId="5" state="veryHidden" r:id="rId2"/>
    <sheet name="Käufer" sheetId="4" state="veryHidden" r:id="rId3"/>
    <sheet name="Start" sheetId="12" r:id="rId4"/>
    <sheet name="Hide" sheetId="13" state="veryHidden" r:id="rId5"/>
    <sheet name="Stammdaten" sheetId="3" state="veryHidden" r:id="rId6"/>
    <sheet name="Post" sheetId="6" state="veryHidden" r:id="rId7"/>
    <sheet name="Dhl" sheetId="10" state="veryHidden" r:id="rId8"/>
    <sheet name="Info" sheetId="11" state="veryHidden" r:id="rId9"/>
    <sheet name="EÜR" sheetId="14" state="veryHidden" r:id="rId10"/>
  </sheets>
  <definedNames>
    <definedName name="_xlnm.Print_Area" localSheetId="9">EÜR!$A$1:$K$196</definedName>
    <definedName name="_xlnm.Print_Area" localSheetId="0">Rechnung!$A$1:$N$46</definedName>
  </definedNames>
  <calcPr calcId="191029"/>
</workbook>
</file>

<file path=xl/calcChain.xml><?xml version="1.0" encoding="utf-8"?>
<calcChain xmlns="http://schemas.openxmlformats.org/spreadsheetml/2006/main">
  <c r="H160" i="14" l="1"/>
  <c r="H159" i="14"/>
  <c r="H158" i="14"/>
  <c r="H157" i="14"/>
  <c r="H156" i="14"/>
  <c r="H155" i="14"/>
  <c r="K155" i="14" s="1"/>
  <c r="H154" i="14"/>
  <c r="H153" i="14"/>
  <c r="H152" i="14"/>
  <c r="K152" i="14" s="1"/>
  <c r="H151" i="14"/>
  <c r="I151" i="14" s="1"/>
  <c r="H150" i="14"/>
  <c r="K150" i="14" s="1"/>
  <c r="H149" i="14"/>
  <c r="K149" i="14" s="1"/>
  <c r="H148" i="14"/>
  <c r="H147" i="14"/>
  <c r="K147" i="14" s="1"/>
  <c r="H146" i="14"/>
  <c r="H145" i="14"/>
  <c r="H144" i="14"/>
  <c r="H143" i="14"/>
  <c r="H142" i="14"/>
  <c r="H141" i="14"/>
  <c r="H140" i="14"/>
  <c r="I140" i="14" s="1"/>
  <c r="H139" i="14"/>
  <c r="H138" i="14"/>
  <c r="H137" i="14"/>
  <c r="H136" i="14"/>
  <c r="I136" i="14" s="1"/>
  <c r="H135" i="14"/>
  <c r="I135" i="14" s="1"/>
  <c r="H134" i="14"/>
  <c r="H133" i="14"/>
  <c r="H132" i="14"/>
  <c r="K132" i="14" s="1"/>
  <c r="H131" i="14"/>
  <c r="H130" i="14"/>
  <c r="H129" i="14"/>
  <c r="H128" i="14"/>
  <c r="H127" i="14"/>
  <c r="H126" i="14"/>
  <c r="H125" i="14"/>
  <c r="H124" i="14"/>
  <c r="K124" i="14" s="1"/>
  <c r="H123" i="14"/>
  <c r="H122" i="14"/>
  <c r="H121" i="14"/>
  <c r="I121" i="14" s="1"/>
  <c r="H120" i="14"/>
  <c r="H119" i="14"/>
  <c r="K119" i="14" s="1"/>
  <c r="H118" i="14"/>
  <c r="H117" i="14"/>
  <c r="H116" i="14"/>
  <c r="H115" i="14"/>
  <c r="H114" i="14"/>
  <c r="I114" i="14" s="1"/>
  <c r="H113" i="14"/>
  <c r="H112" i="14"/>
  <c r="K112" i="14" s="1"/>
  <c r="H111" i="14"/>
  <c r="H110" i="14"/>
  <c r="H109" i="14"/>
  <c r="I109" i="14" s="1"/>
  <c r="H108" i="14"/>
  <c r="H107" i="14"/>
  <c r="I107" i="14" s="1"/>
  <c r="H106" i="14"/>
  <c r="K106" i="14" s="1"/>
  <c r="H105" i="14"/>
  <c r="H104" i="14"/>
  <c r="I104" i="14" s="1"/>
  <c r="H103" i="14"/>
  <c r="H102" i="14"/>
  <c r="H101" i="14"/>
  <c r="H100" i="14"/>
  <c r="H99" i="14"/>
  <c r="H98" i="14"/>
  <c r="H97" i="14"/>
  <c r="H96" i="14"/>
  <c r="K96" i="14" s="1"/>
  <c r="H95" i="14"/>
  <c r="I95" i="14" s="1"/>
  <c r="H94" i="14"/>
  <c r="H93" i="14"/>
  <c r="H92" i="14"/>
  <c r="I92" i="14" s="1"/>
  <c r="H91" i="14"/>
  <c r="H90" i="14"/>
  <c r="H89" i="14"/>
  <c r="H88" i="14"/>
  <c r="I88" i="14" s="1"/>
  <c r="H87" i="14"/>
  <c r="H86" i="14"/>
  <c r="H85" i="14"/>
  <c r="H84" i="14"/>
  <c r="H83" i="14"/>
  <c r="I83" i="14" s="1"/>
  <c r="H82" i="14"/>
  <c r="I82" i="14" s="1"/>
  <c r="H81" i="14"/>
  <c r="I81" i="14" s="1"/>
  <c r="H80" i="14"/>
  <c r="H79" i="14"/>
  <c r="H78" i="14"/>
  <c r="H77" i="14"/>
  <c r="H76" i="14"/>
  <c r="H75" i="14"/>
  <c r="I75" i="14" s="1"/>
  <c r="H74" i="14"/>
  <c r="I74" i="14" s="1"/>
  <c r="H73" i="14"/>
  <c r="H72" i="14"/>
  <c r="K72" i="14" s="1"/>
  <c r="H71" i="14"/>
  <c r="H70" i="14"/>
  <c r="H69" i="14"/>
  <c r="I69" i="14" s="1"/>
  <c r="H68" i="14"/>
  <c r="H67" i="14"/>
  <c r="H66" i="14"/>
  <c r="H65" i="14"/>
  <c r="H64" i="14"/>
  <c r="H63" i="14"/>
  <c r="K63" i="14" s="1"/>
  <c r="H62" i="14"/>
  <c r="H61" i="14"/>
  <c r="I61" i="14" s="1"/>
  <c r="H60" i="14"/>
  <c r="H59" i="14"/>
  <c r="H58" i="14"/>
  <c r="H57" i="14"/>
  <c r="H56" i="14"/>
  <c r="K56" i="14" s="1"/>
  <c r="H55" i="14"/>
  <c r="K55" i="14" s="1"/>
  <c r="H54" i="14"/>
  <c r="H53" i="14"/>
  <c r="H52" i="14"/>
  <c r="H51" i="14"/>
  <c r="H50" i="14"/>
  <c r="I50" i="14" s="1"/>
  <c r="H49" i="14"/>
  <c r="I49" i="14" s="1"/>
  <c r="H48" i="14"/>
  <c r="H47" i="14"/>
  <c r="H46" i="14"/>
  <c r="H45" i="14"/>
  <c r="H44" i="14"/>
  <c r="K44" i="14" s="1"/>
  <c r="H43" i="14"/>
  <c r="I43" i="14" s="1"/>
  <c r="H42" i="14"/>
  <c r="I42" i="14" s="1"/>
  <c r="H41" i="14"/>
  <c r="I41" i="14" s="1"/>
  <c r="H40" i="14"/>
  <c r="H39" i="14"/>
  <c r="H38" i="14"/>
  <c r="I38" i="14" s="1"/>
  <c r="H37" i="14"/>
  <c r="H36" i="14"/>
  <c r="H35" i="14"/>
  <c r="I35" i="14" s="1"/>
  <c r="H34" i="14"/>
  <c r="H33" i="14"/>
  <c r="H32" i="14"/>
  <c r="I32" i="14" s="1"/>
  <c r="H31" i="14"/>
  <c r="H30" i="14"/>
  <c r="H29" i="14"/>
  <c r="H28" i="14"/>
  <c r="I28" i="14" s="1"/>
  <c r="H27" i="14"/>
  <c r="I27" i="14" s="1"/>
  <c r="H26" i="14"/>
  <c r="H25" i="14"/>
  <c r="H24" i="14"/>
  <c r="K24" i="14" s="1"/>
  <c r="H23" i="14"/>
  <c r="H22" i="14"/>
  <c r="H21" i="14"/>
  <c r="H20" i="14"/>
  <c r="I20" i="14" s="1"/>
  <c r="H19" i="14"/>
  <c r="H18" i="14"/>
  <c r="H17" i="14"/>
  <c r="H16" i="14"/>
  <c r="I16" i="14" s="1"/>
  <c r="H15" i="14"/>
  <c r="H14" i="14"/>
  <c r="I14" i="14" s="1"/>
  <c r="H13" i="14"/>
  <c r="H12" i="14"/>
  <c r="I12" i="14" s="1"/>
  <c r="E160" i="14"/>
  <c r="E159" i="14"/>
  <c r="E158" i="14"/>
  <c r="K158" i="14" s="1"/>
  <c r="E157" i="14"/>
  <c r="K157" i="14" s="1"/>
  <c r="E156" i="14"/>
  <c r="E155" i="14"/>
  <c r="E154" i="14"/>
  <c r="F154" i="14" s="1"/>
  <c r="E153" i="14"/>
  <c r="E152" i="14"/>
  <c r="F152" i="14" s="1"/>
  <c r="E151" i="14"/>
  <c r="E150" i="14"/>
  <c r="E149" i="14"/>
  <c r="E148" i="14"/>
  <c r="F148" i="14" s="1"/>
  <c r="E147" i="14"/>
  <c r="E146" i="14"/>
  <c r="F146" i="14" s="1"/>
  <c r="E145" i="14"/>
  <c r="E144" i="14"/>
  <c r="E143" i="14"/>
  <c r="E142" i="14"/>
  <c r="K142" i="14" s="1"/>
  <c r="E141" i="14"/>
  <c r="E140" i="14"/>
  <c r="E139" i="14"/>
  <c r="K139" i="14" s="1"/>
  <c r="E138" i="14"/>
  <c r="E137" i="14"/>
  <c r="F137" i="14" s="1"/>
  <c r="E136" i="14"/>
  <c r="E135" i="14"/>
  <c r="K135" i="14" s="1"/>
  <c r="E134" i="14"/>
  <c r="E133" i="14"/>
  <c r="F133" i="14" s="1"/>
  <c r="E132" i="14"/>
  <c r="E131" i="14"/>
  <c r="K131" i="14" s="1"/>
  <c r="E130" i="14"/>
  <c r="E129" i="14"/>
  <c r="E128" i="14"/>
  <c r="E127" i="14"/>
  <c r="E126" i="14"/>
  <c r="E125" i="14"/>
  <c r="E124" i="14"/>
  <c r="F124" i="14" s="1"/>
  <c r="E123" i="14"/>
  <c r="E122" i="14"/>
  <c r="F122" i="14" s="1"/>
  <c r="E121" i="14"/>
  <c r="E120" i="14"/>
  <c r="E119" i="14"/>
  <c r="E118" i="14"/>
  <c r="E117" i="14"/>
  <c r="F117" i="14" s="1"/>
  <c r="E116" i="14"/>
  <c r="E115" i="14"/>
  <c r="K115" i="14" s="1"/>
  <c r="E114" i="14"/>
  <c r="E113" i="14"/>
  <c r="K113" i="14" s="1"/>
  <c r="E112" i="14"/>
  <c r="E111" i="14"/>
  <c r="F111" i="14" s="1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K98" i="14" s="1"/>
  <c r="E97" i="14"/>
  <c r="K97" i="14" s="1"/>
  <c r="E96" i="14"/>
  <c r="E95" i="14"/>
  <c r="E94" i="14"/>
  <c r="E93" i="14"/>
  <c r="E92" i="14"/>
  <c r="F92" i="14" s="1"/>
  <c r="E91" i="14"/>
  <c r="E90" i="14"/>
  <c r="E89" i="14"/>
  <c r="E88" i="14"/>
  <c r="E87" i="14"/>
  <c r="E86" i="14"/>
  <c r="E85" i="14"/>
  <c r="F85" i="14" s="1"/>
  <c r="E84" i="14"/>
  <c r="E83" i="14"/>
  <c r="E82" i="14"/>
  <c r="F82" i="14" s="1"/>
  <c r="E81" i="14"/>
  <c r="E80" i="14"/>
  <c r="E79" i="14"/>
  <c r="E78" i="14"/>
  <c r="E77" i="14"/>
  <c r="K77" i="14" s="1"/>
  <c r="E76" i="14"/>
  <c r="K76" i="14" s="1"/>
  <c r="E75" i="14"/>
  <c r="E74" i="14"/>
  <c r="E73" i="14"/>
  <c r="E72" i="14"/>
  <c r="E71" i="14"/>
  <c r="F71" i="14" s="1"/>
  <c r="E70" i="14"/>
  <c r="E69" i="14"/>
  <c r="E68" i="14"/>
  <c r="F68" i="14" s="1"/>
  <c r="E67" i="14"/>
  <c r="E66" i="14"/>
  <c r="E65" i="14"/>
  <c r="E64" i="14"/>
  <c r="K64" i="14" s="1"/>
  <c r="E63" i="14"/>
  <c r="E62" i="14"/>
  <c r="F62" i="14" s="1"/>
  <c r="E61" i="14"/>
  <c r="E60" i="14"/>
  <c r="E59" i="14"/>
  <c r="E58" i="14"/>
  <c r="E57" i="14"/>
  <c r="F57" i="14" s="1"/>
  <c r="E56" i="14"/>
  <c r="E55" i="14"/>
  <c r="E54" i="14"/>
  <c r="K54" i="14" s="1"/>
  <c r="E53" i="14"/>
  <c r="E52" i="14"/>
  <c r="E51" i="14"/>
  <c r="E50" i="14"/>
  <c r="F50" i="14" s="1"/>
  <c r="E49" i="14"/>
  <c r="E48" i="14"/>
  <c r="E47" i="14"/>
  <c r="E46" i="14"/>
  <c r="E45" i="14"/>
  <c r="K45" i="14" s="1"/>
  <c r="E44" i="14"/>
  <c r="E43" i="14"/>
  <c r="E42" i="14"/>
  <c r="E41" i="14"/>
  <c r="E40" i="14"/>
  <c r="K40" i="14" s="1"/>
  <c r="E39" i="14"/>
  <c r="E38" i="14"/>
  <c r="E37" i="14"/>
  <c r="E36" i="14"/>
  <c r="F36" i="14" s="1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K23" i="14" s="1"/>
  <c r="E22" i="14"/>
  <c r="K22" i="14" s="1"/>
  <c r="E21" i="14"/>
  <c r="K21" i="14" s="1"/>
  <c r="E20" i="14"/>
  <c r="E19" i="14"/>
  <c r="K19" i="14" s="1"/>
  <c r="E18" i="14"/>
  <c r="F18" i="14" s="1"/>
  <c r="E17" i="14"/>
  <c r="E16" i="14"/>
  <c r="E15" i="14"/>
  <c r="E14" i="14"/>
  <c r="F14" i="14" s="1"/>
  <c r="E13" i="14"/>
  <c r="E12" i="14"/>
  <c r="F12" i="14" s="1"/>
  <c r="F16" i="14"/>
  <c r="K27" i="14"/>
  <c r="K28" i="14"/>
  <c r="K35" i="14"/>
  <c r="K36" i="14"/>
  <c r="K48" i="14"/>
  <c r="K51" i="14"/>
  <c r="K52" i="14"/>
  <c r="K59" i="14"/>
  <c r="K60" i="14"/>
  <c r="K67" i="14"/>
  <c r="K68" i="14"/>
  <c r="K80" i="14"/>
  <c r="K84" i="14"/>
  <c r="K88" i="14"/>
  <c r="K91" i="14"/>
  <c r="K99" i="14"/>
  <c r="K100" i="14"/>
  <c r="K116" i="14"/>
  <c r="K120" i="14"/>
  <c r="K123" i="14"/>
  <c r="K128" i="14"/>
  <c r="K136" i="14"/>
  <c r="K144" i="14"/>
  <c r="K156" i="14"/>
  <c r="K160" i="14"/>
  <c r="F13" i="14"/>
  <c r="E11" i="14"/>
  <c r="K18" i="14"/>
  <c r="K26" i="14"/>
  <c r="K29" i="14"/>
  <c r="K30" i="14"/>
  <c r="K31" i="14"/>
  <c r="K33" i="14"/>
  <c r="K34" i="14"/>
  <c r="K39" i="14"/>
  <c r="K46" i="14"/>
  <c r="K47" i="14"/>
  <c r="K53" i="14"/>
  <c r="K58" i="14"/>
  <c r="K61" i="14"/>
  <c r="K65" i="14"/>
  <c r="K66" i="14"/>
  <c r="K70" i="14"/>
  <c r="K73" i="14"/>
  <c r="K78" i="14"/>
  <c r="K79" i="14"/>
  <c r="K86" i="14"/>
  <c r="K87" i="14"/>
  <c r="K89" i="14"/>
  <c r="K90" i="14"/>
  <c r="K93" i="14"/>
  <c r="K94" i="14"/>
  <c r="K95" i="14"/>
  <c r="K101" i="14"/>
  <c r="K102" i="14"/>
  <c r="K103" i="14"/>
  <c r="K105" i="14"/>
  <c r="K110" i="14"/>
  <c r="K111" i="14"/>
  <c r="K118" i="14"/>
  <c r="K122" i="14"/>
  <c r="K125" i="14"/>
  <c r="K126" i="14"/>
  <c r="K127" i="14"/>
  <c r="K130" i="14"/>
  <c r="K133" i="14"/>
  <c r="K134" i="14"/>
  <c r="K141" i="14"/>
  <c r="K143" i="14"/>
  <c r="K145" i="14"/>
  <c r="K146" i="14"/>
  <c r="K153" i="14"/>
  <c r="K159" i="14"/>
  <c r="I13" i="14"/>
  <c r="I15" i="14"/>
  <c r="I17" i="14"/>
  <c r="I18" i="14"/>
  <c r="I19" i="14"/>
  <c r="I21" i="14"/>
  <c r="I22" i="14"/>
  <c r="I23" i="14"/>
  <c r="I24" i="14"/>
  <c r="I25" i="14"/>
  <c r="I26" i="14"/>
  <c r="I29" i="14"/>
  <c r="I30" i="14"/>
  <c r="I31" i="14"/>
  <c r="I33" i="14"/>
  <c r="I34" i="14"/>
  <c r="I36" i="14"/>
  <c r="I37" i="14"/>
  <c r="I39" i="14"/>
  <c r="I40" i="14"/>
  <c r="I45" i="14"/>
  <c r="I46" i="14"/>
  <c r="I47" i="14"/>
  <c r="I48" i="14"/>
  <c r="I51" i="14"/>
  <c r="I52" i="14"/>
  <c r="I53" i="14"/>
  <c r="I54" i="14"/>
  <c r="I57" i="14"/>
  <c r="I58" i="14"/>
  <c r="I59" i="14"/>
  <c r="I60" i="14"/>
  <c r="I62" i="14"/>
  <c r="I63" i="14"/>
  <c r="I64" i="14"/>
  <c r="I65" i="14"/>
  <c r="I66" i="14"/>
  <c r="I67" i="14"/>
  <c r="I68" i="14"/>
  <c r="I70" i="14"/>
  <c r="I71" i="14"/>
  <c r="I72" i="14"/>
  <c r="I73" i="14"/>
  <c r="I76" i="14"/>
  <c r="I77" i="14"/>
  <c r="I78" i="14"/>
  <c r="I79" i="14"/>
  <c r="I80" i="14"/>
  <c r="I84" i="14"/>
  <c r="I85" i="14"/>
  <c r="I86" i="14"/>
  <c r="I87" i="14"/>
  <c r="I89" i="14"/>
  <c r="I90" i="14"/>
  <c r="I91" i="14"/>
  <c r="I93" i="14"/>
  <c r="I94" i="14"/>
  <c r="I96" i="14"/>
  <c r="I97" i="14"/>
  <c r="I98" i="14"/>
  <c r="I99" i="14"/>
  <c r="I100" i="14"/>
  <c r="I101" i="14"/>
  <c r="I102" i="14"/>
  <c r="I103" i="14"/>
  <c r="I105" i="14"/>
  <c r="I108" i="14"/>
  <c r="I110" i="14"/>
  <c r="I111" i="14"/>
  <c r="I113" i="14"/>
  <c r="I115" i="14"/>
  <c r="I116" i="14"/>
  <c r="I117" i="14"/>
  <c r="I118" i="14"/>
  <c r="I119" i="14"/>
  <c r="I120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7" i="14"/>
  <c r="I138" i="14"/>
  <c r="I139" i="14"/>
  <c r="I141" i="14"/>
  <c r="I142" i="14"/>
  <c r="I143" i="14"/>
  <c r="I144" i="14"/>
  <c r="I145" i="14"/>
  <c r="I146" i="14"/>
  <c r="I147" i="14"/>
  <c r="I148" i="14"/>
  <c r="I153" i="14"/>
  <c r="I154" i="14"/>
  <c r="I156" i="14"/>
  <c r="I157" i="14"/>
  <c r="I158" i="14"/>
  <c r="I159" i="14"/>
  <c r="I160" i="14"/>
  <c r="F20" i="14"/>
  <c r="F21" i="14"/>
  <c r="F22" i="14"/>
  <c r="F23" i="14"/>
  <c r="F24" i="14"/>
  <c r="F25" i="14"/>
  <c r="F26" i="14"/>
  <c r="F28" i="14"/>
  <c r="F29" i="14"/>
  <c r="F30" i="14"/>
  <c r="F31" i="14"/>
  <c r="F32" i="14"/>
  <c r="F33" i="14"/>
  <c r="F34" i="14"/>
  <c r="F38" i="14"/>
  <c r="F39" i="14"/>
  <c r="F40" i="14"/>
  <c r="F41" i="14"/>
  <c r="F42" i="14"/>
  <c r="F44" i="14"/>
  <c r="F46" i="14"/>
  <c r="F47" i="14"/>
  <c r="F48" i="14"/>
  <c r="F49" i="14"/>
  <c r="F52" i="14"/>
  <c r="F53" i="14"/>
  <c r="F55" i="14"/>
  <c r="F56" i="14"/>
  <c r="F58" i="14"/>
  <c r="F60" i="14"/>
  <c r="F61" i="14"/>
  <c r="F63" i="14"/>
  <c r="F64" i="14"/>
  <c r="F65" i="14"/>
  <c r="F66" i="14"/>
  <c r="F69" i="14"/>
  <c r="F70" i="14"/>
  <c r="F72" i="14"/>
  <c r="F73" i="14"/>
  <c r="F74" i="14"/>
  <c r="F78" i="14"/>
  <c r="F79" i="14"/>
  <c r="F80" i="14"/>
  <c r="F81" i="14"/>
  <c r="F84" i="14"/>
  <c r="F86" i="14"/>
  <c r="F87" i="14"/>
  <c r="F88" i="14"/>
  <c r="F89" i="14"/>
  <c r="F90" i="14"/>
  <c r="F93" i="14"/>
  <c r="F94" i="14"/>
  <c r="F95" i="14"/>
  <c r="F96" i="14"/>
  <c r="F97" i="14"/>
  <c r="F98" i="14"/>
  <c r="F100" i="14"/>
  <c r="F101" i="14"/>
  <c r="F102" i="14"/>
  <c r="F103" i="14"/>
  <c r="F104" i="14"/>
  <c r="F105" i="14"/>
  <c r="F106" i="14"/>
  <c r="F109" i="14"/>
  <c r="F110" i="14"/>
  <c r="F112" i="14"/>
  <c r="F116" i="14"/>
  <c r="F118" i="14"/>
  <c r="F119" i="14"/>
  <c r="F120" i="14"/>
  <c r="F121" i="14"/>
  <c r="F125" i="14"/>
  <c r="F126" i="14"/>
  <c r="F127" i="14"/>
  <c r="F128" i="14"/>
  <c r="F129" i="14"/>
  <c r="F130" i="14"/>
  <c r="F132" i="14"/>
  <c r="F134" i="14"/>
  <c r="F136" i="14"/>
  <c r="F140" i="14"/>
  <c r="F141" i="14"/>
  <c r="F143" i="14"/>
  <c r="F144" i="14"/>
  <c r="F145" i="14"/>
  <c r="F149" i="14"/>
  <c r="F150" i="14"/>
  <c r="F151" i="14"/>
  <c r="F153" i="14"/>
  <c r="F156" i="14"/>
  <c r="F158" i="14"/>
  <c r="F159" i="14"/>
  <c r="F160" i="14"/>
  <c r="F15" i="14"/>
  <c r="F17" i="14"/>
  <c r="F11" i="14"/>
  <c r="L16" i="1"/>
  <c r="L17" i="1"/>
  <c r="L18" i="1"/>
  <c r="L19" i="1"/>
  <c r="L22" i="1"/>
  <c r="L23" i="1"/>
  <c r="L24" i="1"/>
  <c r="L25" i="1"/>
  <c r="L26" i="1"/>
  <c r="L27" i="1"/>
  <c r="L28" i="1"/>
  <c r="L29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I155" i="14" l="1"/>
  <c r="I152" i="14"/>
  <c r="K151" i="14"/>
  <c r="I150" i="14"/>
  <c r="I149" i="14"/>
  <c r="K140" i="14"/>
  <c r="K138" i="14"/>
  <c r="K129" i="14"/>
  <c r="K121" i="14"/>
  <c r="K114" i="14"/>
  <c r="I112" i="14"/>
  <c r="K109" i="14"/>
  <c r="K108" i="14"/>
  <c r="K107" i="14"/>
  <c r="I106" i="14"/>
  <c r="K104" i="14"/>
  <c r="K83" i="14"/>
  <c r="K81" i="14"/>
  <c r="K75" i="14"/>
  <c r="K74" i="14"/>
  <c r="K69" i="14"/>
  <c r="I56" i="14"/>
  <c r="I55" i="14"/>
  <c r="K49" i="14"/>
  <c r="I44" i="14"/>
  <c r="K43" i="14"/>
  <c r="K42" i="14"/>
  <c r="K41" i="14"/>
  <c r="K38" i="14"/>
  <c r="K37" i="14"/>
  <c r="K32" i="14"/>
  <c r="K25" i="14"/>
  <c r="K20" i="14"/>
  <c r="K12" i="14"/>
  <c r="F157" i="14"/>
  <c r="K154" i="14"/>
  <c r="K148" i="14"/>
  <c r="F142" i="14"/>
  <c r="F138" i="14"/>
  <c r="K137" i="14"/>
  <c r="F135" i="14"/>
  <c r="K117" i="14"/>
  <c r="F114" i="14"/>
  <c r="F113" i="14"/>
  <c r="F108" i="14"/>
  <c r="K92" i="14"/>
  <c r="K85" i="14"/>
  <c r="K82" i="14"/>
  <c r="F77" i="14"/>
  <c r="F76" i="14"/>
  <c r="K71" i="14"/>
  <c r="K62" i="14"/>
  <c r="K57" i="14"/>
  <c r="F54" i="14"/>
  <c r="K50" i="14"/>
  <c r="F45" i="14"/>
  <c r="F37" i="14"/>
  <c r="F155" i="14"/>
  <c r="F147" i="14"/>
  <c r="F139" i="14"/>
  <c r="F131" i="14"/>
  <c r="F123" i="14"/>
  <c r="F115" i="14"/>
  <c r="F107" i="14"/>
  <c r="F99" i="14"/>
  <c r="F91" i="14"/>
  <c r="F83" i="14"/>
  <c r="F75" i="14"/>
  <c r="F67" i="14"/>
  <c r="F59" i="14"/>
  <c r="F51" i="14"/>
  <c r="F43" i="14"/>
  <c r="F35" i="14"/>
  <c r="F27" i="14"/>
  <c r="F19" i="14"/>
  <c r="K17" i="14"/>
  <c r="K16" i="14"/>
  <c r="K15" i="14"/>
  <c r="K14" i="14"/>
  <c r="K13" i="14"/>
  <c r="L2" i="3"/>
  <c r="D161" i="14"/>
  <c r="G161" i="14"/>
  <c r="J161" i="14"/>
  <c r="H11" i="14" l="1"/>
  <c r="K11" i="14" s="1"/>
  <c r="E10" i="14"/>
  <c r="F10" i="14" s="1"/>
  <c r="F161" i="14" s="1"/>
  <c r="H10" i="14"/>
  <c r="I10" i="14" s="1"/>
  <c r="L30" i="1"/>
  <c r="O2" i="10"/>
  <c r="J32" i="1"/>
  <c r="B13" i="1"/>
  <c r="B33" i="1"/>
  <c r="B37" i="1"/>
  <c r="B41" i="1"/>
  <c r="Q2" i="10"/>
  <c r="M2" i="10"/>
  <c r="L2" i="10"/>
  <c r="K2" i="10"/>
  <c r="J2" i="10"/>
  <c r="H2" i="10"/>
  <c r="F2" i="10"/>
  <c r="E2" i="10"/>
  <c r="D2" i="10"/>
  <c r="C2" i="10"/>
  <c r="A2" i="10"/>
  <c r="F3" i="6"/>
  <c r="E3" i="6"/>
  <c r="D3" i="6"/>
  <c r="C3" i="6"/>
  <c r="A3" i="6"/>
  <c r="F2" i="6"/>
  <c r="E2" i="6"/>
  <c r="D2" i="6"/>
  <c r="C2" i="6"/>
  <c r="A2" i="6"/>
  <c r="L34" i="1"/>
  <c r="L9" i="1"/>
  <c r="F3" i="5"/>
  <c r="F4" i="5"/>
  <c r="F5" i="5"/>
  <c r="F6" i="5"/>
  <c r="F7" i="5"/>
  <c r="L20" i="1" s="1"/>
  <c r="F8" i="5"/>
  <c r="L21" i="1" s="1"/>
  <c r="F9" i="5"/>
  <c r="F10" i="5"/>
  <c r="F11" i="5"/>
  <c r="F12" i="5"/>
  <c r="F13" i="5"/>
  <c r="F14" i="5"/>
  <c r="F15" i="5"/>
  <c r="F16" i="5"/>
  <c r="K15" i="1"/>
  <c r="J15" i="1"/>
  <c r="I15" i="1"/>
  <c r="B15" i="1"/>
  <c r="H15" i="1"/>
  <c r="F2" i="5"/>
  <c r="L15" i="1" s="1"/>
  <c r="H161" i="14" l="1"/>
  <c r="I11" i="14"/>
  <c r="I161" i="14" s="1"/>
  <c r="E161" i="14"/>
  <c r="K10" i="14"/>
  <c r="K161" i="14" s="1"/>
  <c r="B6" i="1"/>
  <c r="B5" i="1"/>
  <c r="B4" i="1"/>
  <c r="L7" i="1"/>
  <c r="L5" i="1"/>
  <c r="L6" i="1"/>
  <c r="L4" i="1"/>
  <c r="G3" i="1"/>
  <c r="F3" i="1"/>
  <c r="E3" i="1"/>
  <c r="D3" i="1"/>
  <c r="C3" i="1"/>
  <c r="B3" i="1"/>
  <c r="L31" i="1" l="1"/>
  <c r="L32" i="1" s="1"/>
  <c r="L33" i="1" l="1"/>
</calcChain>
</file>

<file path=xl/sharedStrings.xml><?xml version="1.0" encoding="utf-8"?>
<sst xmlns="http://schemas.openxmlformats.org/spreadsheetml/2006/main" count="193" uniqueCount="121">
  <si>
    <t xml:space="preserve"> </t>
  </si>
  <si>
    <t>&lt;LOGO&gt;</t>
  </si>
  <si>
    <t>Rechnungsdatum:</t>
  </si>
  <si>
    <t xml:space="preserve">Rechnungsnummer: </t>
  </si>
  <si>
    <t>Pos.</t>
  </si>
  <si>
    <t>Beschreibung</t>
  </si>
  <si>
    <t>Menge</t>
  </si>
  <si>
    <t>E-Preis</t>
  </si>
  <si>
    <t>Summe</t>
  </si>
  <si>
    <t>Zwischensumme</t>
  </si>
  <si>
    <t>GESAMT</t>
  </si>
  <si>
    <t>Mit freundlichen Grüßen</t>
  </si>
  <si>
    <t>Seite 1/1</t>
  </si>
  <si>
    <t>Firmen Name</t>
  </si>
  <si>
    <t>Strasse</t>
  </si>
  <si>
    <t>Hausnummer.</t>
  </si>
  <si>
    <t>PLZ</t>
  </si>
  <si>
    <t>Ort</t>
  </si>
  <si>
    <t>email</t>
  </si>
  <si>
    <t>Name</t>
  </si>
  <si>
    <t>Vorname</t>
  </si>
  <si>
    <t>Hausnummer</t>
  </si>
  <si>
    <t>Nummer</t>
  </si>
  <si>
    <t>Artikel / Beschreibung</t>
  </si>
  <si>
    <t>Nachlass</t>
  </si>
  <si>
    <t>Gesamtbetrag</t>
  </si>
  <si>
    <t>Preis/Stück</t>
  </si>
  <si>
    <t>Bezahlt mit</t>
  </si>
  <si>
    <t>Bezahlt mit:</t>
  </si>
  <si>
    <t>HOUSE</t>
  </si>
  <si>
    <t>DEU</t>
  </si>
  <si>
    <t>REFERENZ</t>
  </si>
  <si>
    <t>ADRESS_TYP</t>
  </si>
  <si>
    <t>LAND</t>
  </si>
  <si>
    <t>STADT</t>
  </si>
  <si>
    <t>NUMMER</t>
  </si>
  <si>
    <t>STRASSE</t>
  </si>
  <si>
    <t>ZUSATZ</t>
  </si>
  <si>
    <t>NAME</t>
  </si>
  <si>
    <t>SEND_EMAIL</t>
  </si>
  <si>
    <t>COUPON</t>
  </si>
  <si>
    <t>PRODUCT</t>
  </si>
  <si>
    <t>RECV_COUNTRY</t>
  </si>
  <si>
    <t>RECV_CITY</t>
  </si>
  <si>
    <t>RECV_PLZ</t>
  </si>
  <si>
    <t>RECV_HOUSENUMBER</t>
  </si>
  <si>
    <t>RECV_STREET</t>
  </si>
  <si>
    <t>RECV_NAME2</t>
  </si>
  <si>
    <t>RECV_NAME1</t>
  </si>
  <si>
    <t>SEND_COUNTRY</t>
  </si>
  <si>
    <t>SEND_CITY</t>
  </si>
  <si>
    <t>SEND_PLZ</t>
  </si>
  <si>
    <t>SEND_HOUSENUMBER</t>
  </si>
  <si>
    <t>SEND_STREET</t>
  </si>
  <si>
    <t>SEND_NAME2</t>
  </si>
  <si>
    <t>SEND_NAME1</t>
  </si>
  <si>
    <t>Produkte Deutschland:</t>
  </si>
  <si>
    <t>Produkt: Päckchen S</t>
  </si>
  <si>
    <t>PAECKS</t>
  </si>
  <si>
    <t>Produkt: Päckchen M</t>
  </si>
  <si>
    <t>Produkt: Paket 2 kg</t>
  </si>
  <si>
    <t>Produkt: Paket 5 kg</t>
  </si>
  <si>
    <t>Produkt: Paket 10 kg</t>
  </si>
  <si>
    <t>Produkt: Paket 20 kg</t>
  </si>
  <si>
    <t>Produkt: Paket 31,5 kg</t>
  </si>
  <si>
    <t>PAECK</t>
  </si>
  <si>
    <t>PAK02</t>
  </si>
  <si>
    <t>PAK05</t>
  </si>
  <si>
    <t>PAK10</t>
  </si>
  <si>
    <t>PAK20</t>
  </si>
  <si>
    <t>PAK31</t>
  </si>
  <si>
    <t>Bankname</t>
  </si>
  <si>
    <t>Iban</t>
  </si>
  <si>
    <t>Geschäftsführerin</t>
  </si>
  <si>
    <t>USt-IdNr</t>
  </si>
  <si>
    <t>33:04432</t>
  </si>
  <si>
    <t>Kunde 1</t>
  </si>
  <si>
    <t>Kunde 2</t>
  </si>
  <si>
    <t>Kunde 3</t>
  </si>
  <si>
    <t>Kunde 4</t>
  </si>
  <si>
    <t>Kunde 5</t>
  </si>
  <si>
    <t>Kunde 6</t>
  </si>
  <si>
    <t>Kunde 7</t>
  </si>
  <si>
    <t>Ja</t>
  </si>
  <si>
    <t>Nein</t>
  </si>
  <si>
    <t>Kleinunternehmerreglung</t>
  </si>
  <si>
    <t>Paypal</t>
  </si>
  <si>
    <t>Versand Produkt</t>
  </si>
  <si>
    <t>Abholung</t>
  </si>
  <si>
    <t>Versand</t>
  </si>
  <si>
    <t xml:space="preserve">
Für individualisierte Produkte entfällt im Onlinehandel das Rückgaberecht.
Soweit nicht anders angegeben gilt der Zeitpunkt der Rechnungsausstellung als Zeitpunkt der Leistung.
</t>
  </si>
  <si>
    <t>Verkäuger Firma</t>
  </si>
  <si>
    <t>Verkauf str.</t>
  </si>
  <si>
    <t>Verkaufsdorn</t>
  </si>
  <si>
    <t>verkauf@muster.vom</t>
  </si>
  <si>
    <t>Verkaufbank</t>
  </si>
  <si>
    <t>Verkaufson</t>
  </si>
  <si>
    <t>Käufer</t>
  </si>
  <si>
    <t>Kauf</t>
  </si>
  <si>
    <t>Kauf str.</t>
  </si>
  <si>
    <t>Kaufson</t>
  </si>
  <si>
    <t>EÜR</t>
  </si>
  <si>
    <t>Gesamt</t>
  </si>
  <si>
    <t>Ust.-Schuld</t>
  </si>
  <si>
    <t>Bezahlte VSt.</t>
  </si>
  <si>
    <t>Ust</t>
  </si>
  <si>
    <t>Netto</t>
  </si>
  <si>
    <t>Transaktion</t>
  </si>
  <si>
    <t>Datum</t>
  </si>
  <si>
    <t>Beleg-Nr.</t>
  </si>
  <si>
    <t>Steuern</t>
  </si>
  <si>
    <t>Ausgaben (Waren, sonstige Kosten)</t>
  </si>
  <si>
    <t>Einnahmen (Verkäufe)</t>
  </si>
  <si>
    <t>USD</t>
  </si>
  <si>
    <t>erwf</t>
  </si>
  <si>
    <t>ferwfw</t>
  </si>
  <si>
    <t>ewrfewrf</t>
  </si>
  <si>
    <t>erwfew</t>
  </si>
  <si>
    <t>MAX 15</t>
  </si>
  <si>
    <t>Makros aktivieren, um Datei zu nutzen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</si>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</sst>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&quot;$&quot;#,##0.00"/>
    <numFmt numFmtId="166" formatCode="[$€]#,##0.00"/>
    <numFmt numFmtId="167" formatCode="dd/mm/yy;@"/>
    <numFmt numFmtId="168" formatCode="[$€-462]\ #,##0.00_-"/>
    <numFmt numFmtId="169" formatCode="#,##0.00\ &quot;€&quot;"/>
    <numFmt numFmtId="170" formatCode="d/m/yyyy;@"/>
  </numFmts>
  <fonts count="35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Roboto"/>
    </font>
    <font>
      <sz val="8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0"/>
      <name val="Roboto"/>
    </font>
    <font>
      <sz val="10"/>
      <color rgb="FF000000"/>
      <name val="Roboto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0"/>
      <name val="Aptos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2"/>
      <name val="Roboto"/>
    </font>
    <font>
      <sz val="14"/>
      <name val="Roboto"/>
    </font>
    <font>
      <b/>
      <sz val="14"/>
      <name val="Roboto"/>
    </font>
    <font>
      <b/>
      <sz val="14"/>
      <color theme="9"/>
      <name val="Roboto"/>
    </font>
    <font>
      <sz val="14"/>
      <name val="Arial"/>
      <family val="2"/>
    </font>
    <font>
      <b/>
      <sz val="14"/>
      <color rgb="FF999999"/>
      <name val="Roboto"/>
    </font>
    <font>
      <sz val="14"/>
      <color rgb="FF00000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36"/>
      <color theme="0" tint="-0.249977111117893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8"/>
      <color theme="0"/>
      <name val="Arial"/>
      <family val="2"/>
    </font>
    <font>
      <sz val="2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82B91E"/>
        <bgColor rgb="FF82B91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rgb="FF82B91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FC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82B91E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82B91E"/>
      </top>
      <bottom style="thin">
        <color rgb="FF82B91E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7FC5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6" fillId="0" borderId="0"/>
    <xf numFmtId="0" fontId="1" fillId="0" borderId="0"/>
    <xf numFmtId="0" fontId="26" fillId="0" borderId="0" applyNumberFormat="0" applyFill="0" applyBorder="0" applyAlignment="0" applyProtection="0"/>
  </cellStyleXfs>
  <cellXfs count="161">
    <xf numFmtId="0" fontId="0" fillId="0" borderId="0" xfId="0"/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4" fillId="3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0" borderId="0" xfId="4"/>
    <xf numFmtId="0" fontId="3" fillId="0" borderId="9" xfId="4" applyBorder="1"/>
    <xf numFmtId="0" fontId="3" fillId="7" borderId="9" xfId="4" applyFill="1" applyBorder="1"/>
    <xf numFmtId="0" fontId="3" fillId="8" borderId="9" xfId="4" applyFill="1" applyBorder="1"/>
    <xf numFmtId="49" fontId="14" fillId="0" borderId="9" xfId="5" applyNumberFormat="1" applyFont="1" applyBorder="1"/>
    <xf numFmtId="0" fontId="12" fillId="0" borderId="0" xfId="0" applyFont="1" applyAlignment="1">
      <alignment horizontal="center" vertical="center"/>
    </xf>
    <xf numFmtId="49" fontId="13" fillId="5" borderId="8" xfId="0" applyNumberFormat="1" applyFont="1" applyFill="1" applyBorder="1" applyAlignment="1">
      <alignment horizontal="center" vertical="center"/>
    </xf>
    <xf numFmtId="164" fontId="13" fillId="5" borderId="8" xfId="1" applyFont="1" applyFill="1" applyBorder="1" applyAlignment="1">
      <alignment horizontal="center" vertical="center"/>
    </xf>
    <xf numFmtId="9" fontId="13" fillId="5" borderId="8" xfId="2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2" fillId="0" borderId="9" xfId="4" applyFont="1" applyBorder="1"/>
    <xf numFmtId="0" fontId="17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" xfId="0" applyFont="1" applyBorder="1" applyAlignment="1">
      <alignment horizontal="left"/>
    </xf>
    <xf numFmtId="167" fontId="19" fillId="0" borderId="2" xfId="0" applyNumberFormat="1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19" fillId="0" borderId="0" xfId="0" applyFont="1" applyAlignment="1">
      <alignment horizontal="left" vertical="top"/>
    </xf>
    <xf numFmtId="0" fontId="19" fillId="0" borderId="0" xfId="0" applyFont="1" applyAlignment="1">
      <alignment horizontal="left"/>
    </xf>
    <xf numFmtId="0" fontId="20" fillId="0" borderId="3" xfId="0" applyFont="1" applyBorder="1" applyAlignment="1">
      <alignment horizontal="center"/>
    </xf>
    <xf numFmtId="0" fontId="20" fillId="0" borderId="3" xfId="0" applyFont="1" applyBorder="1"/>
    <xf numFmtId="165" fontId="20" fillId="0" borderId="3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6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left"/>
    </xf>
    <xf numFmtId="168" fontId="19" fillId="0" borderId="0" xfId="0" applyNumberFormat="1" applyFont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4" xfId="0" applyFont="1" applyBorder="1"/>
    <xf numFmtId="165" fontId="19" fillId="0" borderId="5" xfId="0" applyNumberFormat="1" applyFont="1" applyBorder="1" applyAlignment="1">
      <alignment horizontal="left"/>
    </xf>
    <xf numFmtId="165" fontId="19" fillId="0" borderId="3" xfId="0" applyNumberFormat="1" applyFont="1" applyBorder="1" applyAlignment="1">
      <alignment horizontal="left"/>
    </xf>
    <xf numFmtId="166" fontId="19" fillId="0" borderId="6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20" fillId="2" borderId="5" xfId="0" applyFont="1" applyFill="1" applyBorder="1" applyAlignment="1">
      <alignment horizontal="left"/>
    </xf>
    <xf numFmtId="0" fontId="20" fillId="2" borderId="3" xfId="0" applyFont="1" applyFill="1" applyBorder="1" applyAlignment="1">
      <alignment horizontal="left"/>
    </xf>
    <xf numFmtId="166" fontId="20" fillId="0" borderId="6" xfId="0" applyNumberFormat="1" applyFont="1" applyBorder="1" applyAlignment="1">
      <alignment horizontal="center"/>
    </xf>
    <xf numFmtId="0" fontId="20" fillId="6" borderId="0" xfId="0" applyFont="1" applyFill="1" applyAlignment="1">
      <alignment horizontal="left"/>
    </xf>
    <xf numFmtId="49" fontId="0" fillId="0" borderId="0" xfId="0" applyNumberFormat="1"/>
    <xf numFmtId="0" fontId="1" fillId="0" borderId="0" xfId="6"/>
    <xf numFmtId="0" fontId="1" fillId="0" borderId="0" xfId="6" applyAlignment="1">
      <alignment horizontal="right"/>
    </xf>
    <xf numFmtId="0" fontId="1" fillId="0" borderId="0" xfId="6" applyAlignment="1">
      <alignment horizontal="left"/>
    </xf>
    <xf numFmtId="0" fontId="25" fillId="0" borderId="0" xfId="6" applyFont="1" applyAlignment="1">
      <alignment horizontal="right"/>
    </xf>
    <xf numFmtId="0" fontId="25" fillId="0" borderId="0" xfId="6" applyFont="1"/>
    <xf numFmtId="0" fontId="25" fillId="0" borderId="0" xfId="6" applyFont="1" applyAlignment="1">
      <alignment horizontal="left"/>
    </xf>
    <xf numFmtId="0" fontId="25" fillId="0" borderId="10" xfId="6" applyFont="1" applyBorder="1" applyAlignment="1">
      <alignment horizontal="right"/>
    </xf>
    <xf numFmtId="0" fontId="25" fillId="0" borderId="10" xfId="6" applyFont="1" applyBorder="1"/>
    <xf numFmtId="0" fontId="27" fillId="0" borderId="0" xfId="7" applyFont="1"/>
    <xf numFmtId="0" fontId="28" fillId="0" borderId="0" xfId="6" applyFont="1"/>
    <xf numFmtId="0" fontId="29" fillId="0" borderId="0" xfId="6" applyFont="1" applyAlignment="1">
      <alignment vertical="center"/>
    </xf>
    <xf numFmtId="0" fontId="1" fillId="0" borderId="10" xfId="6" applyBorder="1" applyAlignment="1">
      <alignment horizontal="right"/>
    </xf>
    <xf numFmtId="0" fontId="28" fillId="0" borderId="10" xfId="6" applyFont="1" applyBorder="1" applyAlignment="1">
      <alignment horizontal="right"/>
    </xf>
    <xf numFmtId="0" fontId="28" fillId="0" borderId="0" xfId="6" applyFont="1" applyAlignment="1">
      <alignment horizontal="right"/>
    </xf>
    <xf numFmtId="169" fontId="31" fillId="11" borderId="0" xfId="6" applyNumberFormat="1" applyFont="1" applyFill="1" applyAlignment="1">
      <alignment horizontal="right" vertical="center"/>
    </xf>
    <xf numFmtId="169" fontId="31" fillId="11" borderId="11" xfId="6" applyNumberFormat="1" applyFont="1" applyFill="1" applyBorder="1" applyAlignment="1">
      <alignment horizontal="right" vertical="center"/>
    </xf>
    <xf numFmtId="169" fontId="31" fillId="11" borderId="12" xfId="6" applyNumberFormat="1" applyFont="1" applyFill="1" applyBorder="1" applyAlignment="1">
      <alignment horizontal="right" vertical="center"/>
    </xf>
    <xf numFmtId="169" fontId="25" fillId="0" borderId="18" xfId="6" applyNumberFormat="1" applyFont="1" applyBorder="1" applyAlignment="1">
      <alignment horizontal="right" vertical="center"/>
    </xf>
    <xf numFmtId="169" fontId="25" fillId="12" borderId="20" xfId="6" applyNumberFormat="1" applyFont="1" applyFill="1" applyBorder="1" applyAlignment="1">
      <alignment horizontal="right" vertical="center"/>
    </xf>
    <xf numFmtId="169" fontId="25" fillId="0" borderId="17" xfId="6" applyNumberFormat="1" applyFont="1" applyBorder="1" applyAlignment="1">
      <alignment horizontal="right" vertical="center"/>
    </xf>
    <xf numFmtId="169" fontId="25" fillId="0" borderId="22" xfId="6" applyNumberFormat="1" applyFont="1" applyBorder="1" applyAlignment="1">
      <alignment horizontal="right" vertical="center"/>
    </xf>
    <xf numFmtId="169" fontId="25" fillId="12" borderId="24" xfId="6" applyNumberFormat="1" applyFont="1" applyFill="1" applyBorder="1" applyAlignment="1">
      <alignment horizontal="right" vertical="center"/>
    </xf>
    <xf numFmtId="169" fontId="25" fillId="0" borderId="25" xfId="6" applyNumberFormat="1" applyFont="1" applyBorder="1" applyAlignment="1">
      <alignment horizontal="right" vertical="center"/>
    </xf>
    <xf numFmtId="0" fontId="31" fillId="11" borderId="27" xfId="6" applyFont="1" applyFill="1" applyBorder="1" applyAlignment="1">
      <alignment horizontal="right" vertical="center"/>
    </xf>
    <xf numFmtId="0" fontId="31" fillId="11" borderId="28" xfId="6" applyFont="1" applyFill="1" applyBorder="1" applyAlignment="1">
      <alignment horizontal="right" vertical="center"/>
    </xf>
    <xf numFmtId="0" fontId="32" fillId="7" borderId="29" xfId="6" applyFont="1" applyFill="1" applyBorder="1" applyAlignment="1">
      <alignment horizontal="right" vertical="center"/>
    </xf>
    <xf numFmtId="0" fontId="31" fillId="11" borderId="29" xfId="6" applyFont="1" applyFill="1" applyBorder="1" applyAlignment="1">
      <alignment horizontal="right" vertical="center"/>
    </xf>
    <xf numFmtId="0" fontId="31" fillId="11" borderId="29" xfId="6" applyFont="1" applyFill="1" applyBorder="1" applyAlignment="1">
      <alignment vertical="center"/>
    </xf>
    <xf numFmtId="0" fontId="31" fillId="11" borderId="29" xfId="6" applyFont="1" applyFill="1" applyBorder="1" applyAlignment="1">
      <alignment horizontal="left" vertical="center"/>
    </xf>
    <xf numFmtId="0" fontId="1" fillId="0" borderId="0" xfId="6" applyAlignment="1">
      <alignment vertical="center"/>
    </xf>
    <xf numFmtId="0" fontId="25" fillId="0" borderId="0" xfId="6" applyFont="1" applyAlignment="1">
      <alignment vertical="center"/>
    </xf>
    <xf numFmtId="0" fontId="25" fillId="0" borderId="0" xfId="6" applyFont="1" applyAlignment="1">
      <alignment horizontal="left" vertical="center"/>
    </xf>
    <xf numFmtId="0" fontId="25" fillId="0" borderId="0" xfId="6" applyFont="1" applyBorder="1"/>
    <xf numFmtId="0" fontId="25" fillId="0" borderId="0" xfId="6" applyFont="1" applyBorder="1" applyAlignment="1">
      <alignment horizontal="right"/>
    </xf>
    <xf numFmtId="0" fontId="30" fillId="0" borderId="0" xfId="6" applyFont="1" applyBorder="1" applyAlignment="1"/>
    <xf numFmtId="0" fontId="28" fillId="0" borderId="0" xfId="6" applyFont="1" applyBorder="1" applyAlignment="1">
      <alignment horizontal="right"/>
    </xf>
    <xf numFmtId="0" fontId="1" fillId="0" borderId="0" xfId="6" applyBorder="1" applyAlignment="1">
      <alignment horizontal="right"/>
    </xf>
    <xf numFmtId="0" fontId="28" fillId="0" borderId="0" xfId="6" applyFont="1" applyBorder="1"/>
    <xf numFmtId="14" fontId="25" fillId="0" borderId="0" xfId="6" applyNumberFormat="1" applyFont="1" applyAlignment="1">
      <alignment horizontal="left"/>
    </xf>
    <xf numFmtId="14" fontId="25" fillId="0" borderId="0" xfId="6" applyNumberFormat="1" applyFont="1" applyBorder="1" applyAlignment="1">
      <alignment horizontal="left"/>
    </xf>
    <xf numFmtId="14" fontId="30" fillId="0" borderId="0" xfId="6" applyNumberFormat="1" applyFont="1" applyBorder="1" applyAlignment="1"/>
    <xf numFmtId="14" fontId="28" fillId="0" borderId="0" xfId="6" applyNumberFormat="1" applyFont="1" applyBorder="1"/>
    <xf numFmtId="14" fontId="28" fillId="0" borderId="0" xfId="6" applyNumberFormat="1" applyFont="1"/>
    <xf numFmtId="14" fontId="25" fillId="0" borderId="10" xfId="6" applyNumberFormat="1" applyFont="1" applyBorder="1" applyAlignment="1">
      <alignment horizontal="left"/>
    </xf>
    <xf numFmtId="14" fontId="1" fillId="0" borderId="0" xfId="6" applyNumberFormat="1" applyAlignment="1">
      <alignment horizontal="left"/>
    </xf>
    <xf numFmtId="169" fontId="25" fillId="0" borderId="0" xfId="6" applyNumberFormat="1" applyFont="1" applyBorder="1" applyAlignment="1">
      <alignment horizontal="right" vertical="center"/>
    </xf>
    <xf numFmtId="169" fontId="25" fillId="12" borderId="9" xfId="6" applyNumberFormat="1" applyFont="1" applyFill="1" applyBorder="1" applyAlignment="1">
      <alignment horizontal="right" vertical="center"/>
    </xf>
    <xf numFmtId="0" fontId="32" fillId="7" borderId="12" xfId="6" applyFont="1" applyFill="1" applyBorder="1" applyAlignment="1">
      <alignment horizontal="right" vertical="center"/>
    </xf>
    <xf numFmtId="0" fontId="0" fillId="14" borderId="9" xfId="0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center" vertical="center"/>
      <protection locked="0"/>
    </xf>
    <xf numFmtId="10" fontId="0" fillId="14" borderId="9" xfId="0" applyNumberForma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vertical="center"/>
      <protection locked="0"/>
    </xf>
    <xf numFmtId="0" fontId="19" fillId="0" borderId="0" xfId="0" applyFont="1" applyProtection="1">
      <protection locked="0"/>
    </xf>
    <xf numFmtId="0" fontId="4" fillId="0" borderId="0" xfId="0" applyFont="1" applyAlignment="1" applyProtection="1">
      <alignment horizontal="right"/>
      <protection locked="0"/>
    </xf>
    <xf numFmtId="0" fontId="4" fillId="0" borderId="3" xfId="0" applyFont="1" applyBorder="1" applyProtection="1">
      <protection locked="0"/>
    </xf>
    <xf numFmtId="0" fontId="4" fillId="0" borderId="3" xfId="0" applyFont="1" applyBorder="1" applyAlignment="1" applyProtection="1">
      <alignment horizontal="right"/>
      <protection locked="0"/>
    </xf>
    <xf numFmtId="166" fontId="21" fillId="0" borderId="0" xfId="0" applyNumberFormat="1" applyFont="1" applyFill="1" applyAlignment="1" applyProtection="1">
      <alignment horizontal="center"/>
    </xf>
    <xf numFmtId="0" fontId="10" fillId="10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1" fillId="0" borderId="0" xfId="3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69" fontId="0" fillId="14" borderId="9" xfId="0" applyNumberFormat="1" applyFill="1" applyBorder="1" applyProtection="1">
      <protection locked="0"/>
    </xf>
    <xf numFmtId="0" fontId="0" fillId="14" borderId="9" xfId="0" applyFill="1" applyBorder="1" applyProtection="1">
      <protection locked="0"/>
    </xf>
    <xf numFmtId="0" fontId="25" fillId="0" borderId="25" xfId="6" applyFont="1" applyBorder="1" applyAlignment="1" applyProtection="1">
      <alignment horizontal="center" vertical="center"/>
      <protection locked="0"/>
    </xf>
    <xf numFmtId="170" fontId="25" fillId="0" borderId="25" xfId="6" applyNumberFormat="1" applyFont="1" applyBorder="1" applyAlignment="1" applyProtection="1">
      <alignment horizontal="left" vertical="center"/>
      <protection locked="0"/>
    </xf>
    <xf numFmtId="0" fontId="25" fillId="0" borderId="24" xfId="6" applyFont="1" applyBorder="1" applyAlignment="1" applyProtection="1">
      <alignment vertical="center"/>
      <protection locked="0"/>
    </xf>
    <xf numFmtId="169" fontId="25" fillId="0" borderId="30" xfId="6" applyNumberFormat="1" applyFont="1" applyBorder="1" applyAlignment="1" applyProtection="1">
      <alignment horizontal="right" vertical="center"/>
      <protection locked="0"/>
    </xf>
    <xf numFmtId="0" fontId="25" fillId="0" borderId="17" xfId="6" applyFont="1" applyBorder="1" applyAlignment="1" applyProtection="1">
      <alignment horizontal="center" vertical="center"/>
      <protection locked="0"/>
    </xf>
    <xf numFmtId="170" fontId="25" fillId="0" borderId="17" xfId="6" applyNumberFormat="1" applyFont="1" applyBorder="1" applyAlignment="1" applyProtection="1">
      <alignment horizontal="left" vertical="center"/>
      <protection locked="0"/>
    </xf>
    <xf numFmtId="0" fontId="25" fillId="0" borderId="20" xfId="6" applyFont="1" applyBorder="1" applyAlignment="1" applyProtection="1">
      <alignment vertical="center"/>
      <protection locked="0"/>
    </xf>
    <xf numFmtId="169" fontId="25" fillId="0" borderId="31" xfId="6" applyNumberFormat="1" applyFont="1" applyBorder="1" applyAlignment="1" applyProtection="1">
      <alignment horizontal="right" vertical="center"/>
      <protection locked="0"/>
    </xf>
    <xf numFmtId="169" fontId="25" fillId="0" borderId="19" xfId="6" applyNumberFormat="1" applyFont="1" applyBorder="1" applyAlignment="1" applyProtection="1">
      <alignment horizontal="right" vertical="center"/>
      <protection locked="0"/>
    </xf>
    <xf numFmtId="0" fontId="25" fillId="0" borderId="15" xfId="6" applyFont="1" applyBorder="1" applyAlignment="1" applyProtection="1">
      <alignment vertical="center"/>
      <protection locked="0"/>
    </xf>
    <xf numFmtId="169" fontId="25" fillId="0" borderId="14" xfId="6" applyNumberFormat="1" applyFont="1" applyBorder="1" applyAlignment="1" applyProtection="1">
      <alignment horizontal="right" vertical="center"/>
      <protection locked="0"/>
    </xf>
    <xf numFmtId="0" fontId="25" fillId="0" borderId="0" xfId="6" applyFont="1" applyAlignment="1" applyProtection="1">
      <alignment horizontal="center" vertical="center"/>
      <protection locked="0"/>
    </xf>
    <xf numFmtId="170" fontId="25" fillId="0" borderId="0" xfId="6" applyNumberFormat="1" applyFont="1" applyAlignment="1" applyProtection="1">
      <alignment horizontal="left" vertical="center"/>
      <protection locked="0"/>
    </xf>
    <xf numFmtId="0" fontId="31" fillId="11" borderId="0" xfId="6" applyFont="1" applyFill="1" applyAlignment="1" applyProtection="1">
      <alignment vertical="center"/>
      <protection locked="0"/>
    </xf>
    <xf numFmtId="169" fontId="31" fillId="11" borderId="13" xfId="6" applyNumberFormat="1" applyFont="1" applyFill="1" applyBorder="1" applyAlignment="1" applyProtection="1">
      <alignment horizontal="right" vertical="center"/>
      <protection locked="0"/>
    </xf>
    <xf numFmtId="169" fontId="25" fillId="0" borderId="26" xfId="6" applyNumberFormat="1" applyFont="1" applyBorder="1" applyAlignment="1" applyProtection="1">
      <alignment horizontal="right" vertical="center"/>
      <protection locked="0"/>
    </xf>
    <xf numFmtId="169" fontId="25" fillId="0" borderId="21" xfId="6" applyNumberFormat="1" applyFont="1" applyBorder="1" applyAlignment="1" applyProtection="1">
      <alignment horizontal="right" vertical="center"/>
      <protection locked="0"/>
    </xf>
    <xf numFmtId="169" fontId="25" fillId="0" borderId="16" xfId="6" applyNumberFormat="1" applyFont="1" applyBorder="1" applyAlignment="1" applyProtection="1">
      <alignment horizontal="right" vertical="center"/>
      <protection locked="0"/>
    </xf>
    <xf numFmtId="169" fontId="31" fillId="11" borderId="0" xfId="6" applyNumberFormat="1" applyFont="1" applyFill="1" applyAlignment="1" applyProtection="1">
      <alignment horizontal="right" vertical="center"/>
      <protection locked="0"/>
    </xf>
    <xf numFmtId="169" fontId="25" fillId="0" borderId="23" xfId="6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top" wrapText="1"/>
    </xf>
    <xf numFmtId="0" fontId="24" fillId="0" borderId="0" xfId="0" applyFont="1"/>
    <xf numFmtId="0" fontId="22" fillId="0" borderId="0" xfId="0" applyFont="1" applyAlignment="1">
      <alignment horizontal="left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0" fillId="0" borderId="0" xfId="6" applyFont="1" applyAlignment="1">
      <alignment horizontal="left"/>
    </xf>
    <xf numFmtId="0" fontId="30" fillId="0" borderId="10" xfId="6" applyFont="1" applyBorder="1" applyAlignment="1">
      <alignment horizontal="left"/>
    </xf>
    <xf numFmtId="0" fontId="33" fillId="13" borderId="13" xfId="6" applyFont="1" applyFill="1" applyBorder="1" applyAlignment="1">
      <alignment horizontal="center" vertical="center"/>
    </xf>
    <xf numFmtId="0" fontId="33" fillId="13" borderId="0" xfId="6" applyFont="1" applyFill="1" applyAlignment="1">
      <alignment horizontal="center" vertical="center"/>
    </xf>
    <xf numFmtId="0" fontId="33" fillId="13" borderId="12" xfId="6" applyFont="1" applyFill="1" applyBorder="1" applyAlignment="1">
      <alignment horizontal="center" vertical="center"/>
    </xf>
  </cellXfs>
  <cellStyles count="8">
    <cellStyle name="Link" xfId="3" builtinId="8"/>
    <cellStyle name="Link 2" xfId="7" xr:uid="{A6D58956-D2E8-4981-A7F1-CD4B3CEAD407}"/>
    <cellStyle name="Prozent" xfId="2" builtinId="5"/>
    <cellStyle name="Standard" xfId="0" builtinId="0"/>
    <cellStyle name="Standard 2" xfId="4" xr:uid="{93D4F9AF-1FAE-44F4-9925-9D476BE3D713}"/>
    <cellStyle name="Standard 3" xfId="5" xr:uid="{FD83A9A7-E4F6-478C-A063-DB447AF4E294}"/>
    <cellStyle name="Standard 4" xfId="6" xr:uid="{0A1D2608-49AD-4FB8-908D-408CE153430B}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973102</xdr:colOff>
      <xdr:row>0</xdr:row>
      <xdr:rowOff>76200</xdr:rowOff>
    </xdr:from>
    <xdr:to>
      <xdr:col>12</xdr:col>
      <xdr:colOff>19047</xdr:colOff>
      <xdr:row>2</xdr:row>
      <xdr:rowOff>203200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3835" y="76200"/>
          <a:ext cx="1399679" cy="1278467"/>
        </a:xfrm>
        <a:prstGeom prst="rect">
          <a:avLst/>
        </a:prstGeom>
      </xdr:spPr>
    </xdr:pic>
    <xdr:clientData/>
  </xdr:twoCellAnchor>
  <xdr:twoCellAnchor editAs="oneCell">
    <xdr:from>
      <xdr:col>7</xdr:col>
      <xdr:colOff>2137482</xdr:colOff>
      <xdr:row>34</xdr:row>
      <xdr:rowOff>209550</xdr:rowOff>
    </xdr:from>
    <xdr:to>
      <xdr:col>12</xdr:col>
      <xdr:colOff>9526</xdr:colOff>
      <xdr:row>39</xdr:row>
      <xdr:rowOff>19449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9032" y="10325100"/>
          <a:ext cx="5587294" cy="2867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7</xdr:row>
          <xdr:rowOff>7620</xdr:rowOff>
        </xdr:from>
        <xdr:to>
          <xdr:col>4</xdr:col>
          <xdr:colOff>304800</xdr:colOff>
          <xdr:row>10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60960</xdr:colOff>
      <xdr:row>0</xdr:row>
      <xdr:rowOff>30481</xdr:rowOff>
    </xdr:from>
    <xdr:to>
      <xdr:col>10</xdr:col>
      <xdr:colOff>708660</xdr:colOff>
      <xdr:row>6</xdr:row>
      <xdr:rowOff>230483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2880" y="30481"/>
          <a:ext cx="1562100" cy="14268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verkauf@muster.v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  <pageSetUpPr fitToPage="1"/>
  </sheetPr>
  <dimension ref="A1:N45"/>
  <sheetViews>
    <sheetView showGridLines="0" topLeftCell="A7" zoomScale="80" zoomScaleNormal="80" workbookViewId="0">
      <selection activeCell="H39" sqref="H39"/>
    </sheetView>
  </sheetViews>
  <sheetFormatPr baseColWidth="10" defaultColWidth="14.44140625" defaultRowHeight="15.75" customHeight="1"/>
  <cols>
    <col min="1" max="1" width="5" customWidth="1"/>
    <col min="2" max="2" width="22" customWidth="1"/>
    <col min="3" max="3" width="12.109375" customWidth="1"/>
    <col min="4" max="4" width="2.21875" bestFit="1" customWidth="1"/>
    <col min="5" max="5" width="7" bestFit="1" customWidth="1"/>
    <col min="6" max="6" width="14.21875" customWidth="1"/>
    <col min="7" max="7" width="7.33203125" customWidth="1"/>
    <col min="8" max="8" width="50.21875" customWidth="1"/>
    <col min="9" max="9" width="8.33203125" customWidth="1"/>
    <col min="10" max="10" width="19.44140625" customWidth="1"/>
    <col min="11" max="11" width="14.6640625" customWidth="1"/>
    <col min="12" max="12" width="19.6640625" customWidth="1"/>
    <col min="13" max="13" width="5.77734375" customWidth="1"/>
  </cols>
  <sheetData>
    <row r="1" spans="1:14" ht="9.7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10"/>
      <c r="K1" s="110"/>
      <c r="L1" s="110"/>
      <c r="M1" s="110"/>
      <c r="N1" s="111"/>
    </row>
    <row r="2" spans="1:14" ht="81" customHeight="1">
      <c r="A2" s="1"/>
      <c r="B2" s="2"/>
      <c r="C2" s="2"/>
      <c r="D2" s="2"/>
      <c r="E2" s="2"/>
      <c r="F2" s="2"/>
      <c r="G2" s="2"/>
      <c r="H2" s="1"/>
      <c r="I2" s="1"/>
      <c r="J2" s="112"/>
      <c r="K2" s="112"/>
      <c r="L2" s="113" t="s">
        <v>1</v>
      </c>
      <c r="M2" s="112"/>
      <c r="N2" s="111"/>
    </row>
    <row r="3" spans="1:14" ht="22.5" customHeight="1">
      <c r="A3" s="1"/>
      <c r="B3" s="30" t="str">
        <f>Stammdaten!A2</f>
        <v>Verkäuger Firma</v>
      </c>
      <c r="C3" s="30" t="str">
        <f>Stammdaten!B2</f>
        <v>Verkauf str.</v>
      </c>
      <c r="D3" s="30">
        <f>Stammdaten!C2</f>
        <v>2</v>
      </c>
      <c r="E3" s="30">
        <f>Stammdaten!D2</f>
        <v>22222</v>
      </c>
      <c r="F3" s="30" t="str">
        <f>Stammdaten!E2</f>
        <v>Verkaufsdorn</v>
      </c>
      <c r="G3" s="30" t="str">
        <f>Stammdaten!F2</f>
        <v>verkauf@muster.vom</v>
      </c>
      <c r="H3" s="31"/>
      <c r="I3" s="4"/>
      <c r="J3" s="114"/>
      <c r="K3" s="114"/>
      <c r="L3" s="115"/>
      <c r="M3" s="112"/>
      <c r="N3" s="111"/>
    </row>
    <row r="4" spans="1:14" ht="22.5" customHeight="1">
      <c r="A4" s="1"/>
      <c r="B4" s="32" t="str">
        <f>Käufer!A3&amp;" "&amp;Käufer!B3</f>
        <v>Käufer Kauf</v>
      </c>
      <c r="C4" s="32"/>
      <c r="D4" s="6"/>
      <c r="E4" s="6"/>
      <c r="F4" s="6"/>
      <c r="G4" s="6"/>
      <c r="H4" s="1"/>
      <c r="I4" s="4"/>
      <c r="J4" s="5"/>
      <c r="K4" s="5"/>
      <c r="L4" s="32" t="str">
        <f>Stammdaten!A2</f>
        <v>Verkäuger Firma</v>
      </c>
      <c r="M4" s="3"/>
    </row>
    <row r="5" spans="1:14" ht="22.5" customHeight="1">
      <c r="A5" s="1"/>
      <c r="B5" s="32" t="str">
        <f>Käufer!C3&amp;" "&amp;Käufer!D3</f>
        <v>Kauf str. 1</v>
      </c>
      <c r="C5" s="32"/>
      <c r="D5" s="6"/>
      <c r="E5" s="6"/>
      <c r="F5" s="6"/>
      <c r="G5" s="6"/>
      <c r="H5" s="1"/>
      <c r="I5" s="1"/>
      <c r="J5" s="5"/>
      <c r="K5" s="5"/>
      <c r="L5" s="32" t="str">
        <f>Stammdaten!B2&amp;" " &amp;Stammdaten!C2</f>
        <v>Verkauf str. 2</v>
      </c>
      <c r="M5" s="7"/>
    </row>
    <row r="6" spans="1:14" ht="22.5" customHeight="1">
      <c r="A6" s="1"/>
      <c r="B6" s="32" t="str">
        <f>Käufer!E3&amp;" "&amp;Käufer!F3</f>
        <v>11111 Kaufson</v>
      </c>
      <c r="C6" s="32"/>
      <c r="D6" s="6"/>
      <c r="E6" s="6"/>
      <c r="F6" s="6"/>
      <c r="G6" s="6"/>
      <c r="H6" s="1"/>
      <c r="I6" s="8"/>
      <c r="J6" s="5"/>
      <c r="K6" s="5"/>
      <c r="L6" s="32" t="str">
        <f>Stammdaten!D2&amp;" "&amp;Stammdaten!E2</f>
        <v>22222 Verkaufsdorn</v>
      </c>
      <c r="M6" s="5"/>
    </row>
    <row r="7" spans="1:14" ht="22.5" customHeight="1">
      <c r="A7" s="1"/>
      <c r="B7" s="8"/>
      <c r="C7" s="8"/>
      <c r="D7" s="8"/>
      <c r="E7" s="8"/>
      <c r="F7" s="8"/>
      <c r="G7" s="8"/>
      <c r="H7" s="1"/>
      <c r="I7" s="1"/>
      <c r="J7" s="3"/>
      <c r="K7" s="3"/>
      <c r="L7" s="32" t="str">
        <f>Stammdaten!F2</f>
        <v>verkauf@muster.vom</v>
      </c>
      <c r="M7" s="7"/>
    </row>
    <row r="8" spans="1:14" ht="22.5" customHeight="1">
      <c r="A8" s="1"/>
      <c r="B8" s="6"/>
      <c r="C8" s="6"/>
      <c r="D8" s="6"/>
      <c r="E8" s="6"/>
      <c r="F8" s="6"/>
      <c r="G8" s="6"/>
      <c r="H8" s="1"/>
      <c r="I8" s="1"/>
      <c r="J8" s="5"/>
      <c r="K8" s="5"/>
      <c r="L8" s="5"/>
      <c r="M8" s="7"/>
    </row>
    <row r="9" spans="1:14" ht="22.5" customHeight="1">
      <c r="A9" s="1"/>
      <c r="B9" s="6"/>
      <c r="C9" s="6"/>
      <c r="D9" s="6"/>
      <c r="E9" s="6"/>
      <c r="F9" s="6"/>
      <c r="G9" s="6"/>
      <c r="H9" s="1"/>
      <c r="I9" s="1"/>
      <c r="J9" s="33" t="s">
        <v>2</v>
      </c>
      <c r="K9" s="33"/>
      <c r="L9" s="34">
        <f ca="1">TODAY()</f>
        <v>46085</v>
      </c>
      <c r="M9" s="7"/>
    </row>
    <row r="10" spans="1:14" ht="22.5" customHeight="1">
      <c r="A10" s="1"/>
      <c r="B10" s="6"/>
      <c r="C10" s="6"/>
      <c r="D10" s="6"/>
      <c r="E10" s="6"/>
      <c r="F10" s="6"/>
      <c r="G10" s="6"/>
      <c r="H10" s="1"/>
      <c r="I10" s="1"/>
      <c r="J10" s="35" t="s">
        <v>3</v>
      </c>
      <c r="K10" s="35"/>
      <c r="L10" s="35">
        <v>133</v>
      </c>
      <c r="M10" s="7"/>
    </row>
    <row r="11" spans="1:14" ht="22.5" customHeight="1">
      <c r="A11" s="1"/>
      <c r="B11" s="9"/>
      <c r="C11" s="9"/>
      <c r="D11" s="9"/>
      <c r="E11" s="9"/>
      <c r="F11" s="9"/>
      <c r="G11" s="9"/>
      <c r="H11" s="5"/>
      <c r="I11" s="5"/>
      <c r="J11" s="16"/>
      <c r="K11" s="16"/>
      <c r="L11" s="17"/>
      <c r="M11" s="1"/>
    </row>
    <row r="12" spans="1:14" ht="22.5" customHeight="1">
      <c r="A12" s="1"/>
      <c r="B12" s="6"/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</row>
    <row r="13" spans="1:14" ht="48" customHeight="1">
      <c r="A13" s="1"/>
      <c r="B13" s="36" t="str">
        <f>"Hallo" &amp;" " &amp; Käufer!A3 &amp; " " &amp; Käufer!B3 &amp; " " &amp; ", 
vielen Dank für Ihr Vertrauen. Wir stellen Ihnen folgende Leistungen in Rechnung:"</f>
        <v>Hallo Käufer Kauf , 
vielen Dank für Ihr Vertrauen. Wir stellen Ihnen folgende Leistungen in Rechnung:</v>
      </c>
      <c r="C13" s="36"/>
      <c r="D13" s="36"/>
      <c r="E13" s="36"/>
      <c r="F13" s="36"/>
      <c r="G13" s="36"/>
      <c r="H13" s="37"/>
      <c r="I13" s="5"/>
      <c r="J13" s="5"/>
      <c r="K13" s="5"/>
      <c r="L13" s="5"/>
      <c r="M13" s="1"/>
    </row>
    <row r="14" spans="1:14" ht="68.25" customHeight="1">
      <c r="A14" s="1"/>
      <c r="B14" s="38" t="s">
        <v>4</v>
      </c>
      <c r="C14" s="38"/>
      <c r="D14" s="38"/>
      <c r="E14" s="38"/>
      <c r="F14" s="38"/>
      <c r="G14" s="38"/>
      <c r="H14" s="39" t="s">
        <v>5</v>
      </c>
      <c r="I14" s="38" t="s">
        <v>6</v>
      </c>
      <c r="J14" s="40" t="s">
        <v>7</v>
      </c>
      <c r="K14" s="40" t="s">
        <v>24</v>
      </c>
      <c r="L14" s="40" t="s">
        <v>8</v>
      </c>
      <c r="M14" s="10"/>
    </row>
    <row r="15" spans="1:14" ht="17.399999999999999">
      <c r="A15" s="1"/>
      <c r="B15" s="41">
        <f>IF(Artikel!A2&gt;0,Artikel!A2,"")</f>
        <v>1</v>
      </c>
      <c r="C15" s="41"/>
      <c r="D15" s="41"/>
      <c r="E15" s="41"/>
      <c r="F15" s="41"/>
      <c r="G15" s="41"/>
      <c r="H15" s="42" t="str">
        <f>IF(Artikel!B2&gt;0,Artikel!B2,"")</f>
        <v>erwf</v>
      </c>
      <c r="I15" s="41">
        <f>IF(Artikel!C2&gt;0,Artikel!C2,"")</f>
        <v>1</v>
      </c>
      <c r="J15" s="43">
        <f>IF(Artikel!D2&gt;0,Artikel!D2,"")</f>
        <v>100</v>
      </c>
      <c r="K15" s="44">
        <f>IF(Artikel!E2&gt;0,Artikel!E2,"")</f>
        <v>0.1</v>
      </c>
      <c r="L15" s="43">
        <f>IF(Artikel!F2&gt;0,Artikel!F2,"")</f>
        <v>90</v>
      </c>
      <c r="M15" s="12"/>
    </row>
    <row r="16" spans="1:14" ht="17.399999999999999">
      <c r="A16" s="1"/>
      <c r="B16" s="41">
        <f>IF(Artikel!A3&gt;0,Artikel!A3,"")</f>
        <v>2</v>
      </c>
      <c r="C16" s="41"/>
      <c r="D16" s="41"/>
      <c r="E16" s="41"/>
      <c r="F16" s="41"/>
      <c r="G16" s="41"/>
      <c r="H16" s="42" t="str">
        <f>IF(Artikel!B3&gt;0,Artikel!B3,"")</f>
        <v>ferwfw</v>
      </c>
      <c r="I16" s="41">
        <f>IF(Artikel!C3&gt;0,Artikel!C3,"")</f>
        <v>2</v>
      </c>
      <c r="J16" s="43">
        <f>IF(Artikel!D3&gt;0,Artikel!D3,"")</f>
        <v>555</v>
      </c>
      <c r="K16" s="44">
        <f>IF(Artikel!E3&gt;0,Artikel!E3,"")</f>
        <v>0.4</v>
      </c>
      <c r="L16" s="43">
        <f>IF(Artikel!F3&gt;0,Artikel!F3,"")</f>
        <v>666</v>
      </c>
      <c r="M16" s="12"/>
    </row>
    <row r="17" spans="1:13" ht="17.399999999999999">
      <c r="A17" s="1"/>
      <c r="B17" s="41">
        <f>IF(Artikel!A4&gt;0,Artikel!A4,"")</f>
        <v>3</v>
      </c>
      <c r="C17" s="41"/>
      <c r="D17" s="41"/>
      <c r="E17" s="41"/>
      <c r="F17" s="41"/>
      <c r="G17" s="41"/>
      <c r="H17" s="42" t="str">
        <f>IF(Artikel!B4&gt;0,Artikel!B4,"")</f>
        <v>ewrfewrf</v>
      </c>
      <c r="I17" s="41">
        <f>IF(Artikel!C4&gt;0,Artikel!C4,"")</f>
        <v>1</v>
      </c>
      <c r="J17" s="43">
        <f>IF(Artikel!D4&gt;0,Artikel!D4,"")</f>
        <v>55</v>
      </c>
      <c r="K17" s="44" t="str">
        <f>IF(Artikel!E4&gt;0,Artikel!E4,"")</f>
        <v/>
      </c>
      <c r="L17" s="43">
        <f>IF(Artikel!F4&gt;0,Artikel!F4,"")</f>
        <v>55</v>
      </c>
      <c r="M17" s="12"/>
    </row>
    <row r="18" spans="1:13" ht="17.399999999999999">
      <c r="A18" s="1"/>
      <c r="B18" s="41">
        <f>IF(Artikel!A5&gt;0,Artikel!A5,"")</f>
        <v>4</v>
      </c>
      <c r="C18" s="41"/>
      <c r="D18" s="41"/>
      <c r="E18" s="41"/>
      <c r="F18" s="41"/>
      <c r="G18" s="41"/>
      <c r="H18" s="42" t="str">
        <f>IF(Artikel!B5&gt;0,Artikel!B5,"")</f>
        <v>erwfew</v>
      </c>
      <c r="I18" s="41">
        <f>IF(Artikel!C5&gt;0,Artikel!C5,"")</f>
        <v>1</v>
      </c>
      <c r="J18" s="43">
        <f>IF(Artikel!D5&gt;0,Artikel!D5,"")</f>
        <v>33</v>
      </c>
      <c r="K18" s="44" t="str">
        <f>IF(Artikel!E5&gt;0,Artikel!E5,"")</f>
        <v/>
      </c>
      <c r="L18" s="43">
        <f>IF(Artikel!F5&gt;0,Artikel!F5,"")</f>
        <v>33</v>
      </c>
      <c r="M18" s="12"/>
    </row>
    <row r="19" spans="1:13" ht="17.399999999999999">
      <c r="A19" s="1"/>
      <c r="B19" s="41">
        <f>IF(Artikel!A6&gt;0,Artikel!A6,"")</f>
        <v>5</v>
      </c>
      <c r="C19" s="41"/>
      <c r="D19" s="41"/>
      <c r="E19" s="41"/>
      <c r="F19" s="41"/>
      <c r="G19" s="41"/>
      <c r="H19" s="42" t="str">
        <f>IF(Artikel!B6&gt;0,Artikel!B6,"")</f>
        <v>erwf</v>
      </c>
      <c r="I19" s="41">
        <f>IF(Artikel!C6&gt;0,Artikel!C6,"")</f>
        <v>1</v>
      </c>
      <c r="J19" s="43">
        <f>IF(Artikel!D6&gt;0,Artikel!D6,"")</f>
        <v>53</v>
      </c>
      <c r="K19" s="44" t="str">
        <f>IF(Artikel!E6&gt;0,Artikel!E6,"")</f>
        <v/>
      </c>
      <c r="L19" s="43">
        <f>IF(Artikel!F6&gt;0,Artikel!F6,"")</f>
        <v>53</v>
      </c>
      <c r="M19" s="12"/>
    </row>
    <row r="20" spans="1:13" ht="17.399999999999999">
      <c r="A20" s="1"/>
      <c r="B20" s="41">
        <f>IF(Artikel!A7&gt;0,Artikel!A7,"")</f>
        <v>6</v>
      </c>
      <c r="C20" s="41"/>
      <c r="D20" s="41"/>
      <c r="E20" s="41"/>
      <c r="F20" s="41"/>
      <c r="G20" s="41"/>
      <c r="H20" s="42" t="str">
        <f>IF(Artikel!B7&gt;0,Artikel!B7,"")</f>
        <v>test6</v>
      </c>
      <c r="I20" s="41">
        <f>IF(Artikel!C7&gt;0,Artikel!C7,"")</f>
        <v>6</v>
      </c>
      <c r="J20" s="43">
        <f>IF(Artikel!D7&gt;0,Artikel!D7,"")</f>
        <v>100</v>
      </c>
      <c r="K20" s="44">
        <f>IF(Artikel!E7&gt;0,Artikel!E7,"")</f>
        <v>0.02</v>
      </c>
      <c r="L20" s="43">
        <f>IF(Artikel!F7&gt;0,Artikel!F7,"")</f>
        <v>588</v>
      </c>
      <c r="M20" s="12"/>
    </row>
    <row r="21" spans="1:13" ht="17.399999999999999">
      <c r="A21" s="1"/>
      <c r="B21" s="41" t="str">
        <f>IF(Artikel!A8&gt;0,Artikel!A8,"")</f>
        <v/>
      </c>
      <c r="C21" s="41"/>
      <c r="D21" s="41"/>
      <c r="E21" s="41"/>
      <c r="F21" s="41"/>
      <c r="G21" s="41"/>
      <c r="H21" s="42" t="str">
        <f>IF(Artikel!B8&gt;0,Artikel!B8,"")</f>
        <v/>
      </c>
      <c r="I21" s="41" t="str">
        <f>IF(Artikel!C8&gt;0,Artikel!C8,"")</f>
        <v/>
      </c>
      <c r="J21" s="43" t="str">
        <f>IF(Artikel!D8&gt;0,Artikel!D8,"")</f>
        <v/>
      </c>
      <c r="K21" s="44" t="str">
        <f>IF(Artikel!E8&gt;0,Artikel!E8,"")</f>
        <v/>
      </c>
      <c r="L21" s="43" t="str">
        <f>IF(Artikel!F8&gt;0,Artikel!F8,"")</f>
        <v/>
      </c>
      <c r="M21" s="12"/>
    </row>
    <row r="22" spans="1:13" ht="17.399999999999999">
      <c r="A22" s="1"/>
      <c r="B22" s="41" t="str">
        <f>IF(Artikel!A9&gt;0,Artikel!A9,"")</f>
        <v/>
      </c>
      <c r="C22" s="41"/>
      <c r="D22" s="41"/>
      <c r="E22" s="41"/>
      <c r="F22" s="41"/>
      <c r="G22" s="41"/>
      <c r="H22" s="42" t="str">
        <f>IF(Artikel!B9&gt;0,Artikel!B9,"")</f>
        <v/>
      </c>
      <c r="I22" s="41" t="str">
        <f>IF(Artikel!C9&gt;0,Artikel!C9,"")</f>
        <v/>
      </c>
      <c r="J22" s="43" t="str">
        <f>IF(Artikel!D9&gt;0,Artikel!D9,"")</f>
        <v/>
      </c>
      <c r="K22" s="44" t="str">
        <f>IF(Artikel!E9&gt;0,Artikel!E9,"")</f>
        <v/>
      </c>
      <c r="L22" s="43" t="str">
        <f>IF(Artikel!F9&gt;0,Artikel!F9,"")</f>
        <v/>
      </c>
      <c r="M22" s="12"/>
    </row>
    <row r="23" spans="1:13" ht="17.399999999999999">
      <c r="A23" s="1"/>
      <c r="B23" s="41" t="str">
        <f>IF(Artikel!A10&gt;0,Artikel!A10,"")</f>
        <v/>
      </c>
      <c r="C23" s="41"/>
      <c r="D23" s="41"/>
      <c r="E23" s="41"/>
      <c r="F23" s="41"/>
      <c r="G23" s="41"/>
      <c r="H23" s="42" t="str">
        <f>IF(Artikel!B10&gt;0,Artikel!B10,"")</f>
        <v/>
      </c>
      <c r="I23" s="41" t="str">
        <f>IF(Artikel!C10&gt;0,Artikel!C10,"")</f>
        <v/>
      </c>
      <c r="J23" s="43" t="str">
        <f>IF(Artikel!D10&gt;0,Artikel!D10,"")</f>
        <v/>
      </c>
      <c r="K23" s="44" t="str">
        <f>IF(Artikel!E10&gt;0,Artikel!E10,"")</f>
        <v/>
      </c>
      <c r="L23" s="43" t="str">
        <f>IF(Artikel!F10&gt;0,Artikel!F10,"")</f>
        <v/>
      </c>
      <c r="M23" s="12"/>
    </row>
    <row r="24" spans="1:13" ht="17.399999999999999">
      <c r="A24" s="1"/>
      <c r="B24" s="41" t="str">
        <f>IF(Artikel!A11&gt;0,Artikel!A11,"")</f>
        <v/>
      </c>
      <c r="C24" s="41"/>
      <c r="D24" s="41"/>
      <c r="E24" s="41"/>
      <c r="F24" s="41"/>
      <c r="G24" s="41"/>
      <c r="H24" s="42" t="str">
        <f>IF(Artikel!B11&gt;0,Artikel!B11,"")</f>
        <v/>
      </c>
      <c r="I24" s="41" t="str">
        <f>IF(Artikel!C11&gt;0,Artikel!C11,"")</f>
        <v/>
      </c>
      <c r="J24" s="43" t="str">
        <f>IF(Artikel!D11&gt;0,Artikel!D11,"")</f>
        <v/>
      </c>
      <c r="K24" s="44" t="str">
        <f>IF(Artikel!E11&gt;0,Artikel!E11,"")</f>
        <v/>
      </c>
      <c r="L24" s="43" t="str">
        <f>IF(Artikel!F11&gt;0,Artikel!F11,"")</f>
        <v/>
      </c>
      <c r="M24" s="12"/>
    </row>
    <row r="25" spans="1:13" ht="17.399999999999999">
      <c r="A25" s="1"/>
      <c r="B25" s="41" t="str">
        <f>IF(Artikel!A12&gt;0,Artikel!A12,"")</f>
        <v/>
      </c>
      <c r="C25" s="41"/>
      <c r="D25" s="41"/>
      <c r="E25" s="41"/>
      <c r="F25" s="41"/>
      <c r="G25" s="41"/>
      <c r="H25" s="42" t="str">
        <f>IF(Artikel!B12&gt;0,Artikel!B12,"")</f>
        <v/>
      </c>
      <c r="I25" s="41" t="str">
        <f>IF(Artikel!C12&gt;0,Artikel!C12,"")</f>
        <v/>
      </c>
      <c r="J25" s="43" t="str">
        <f>IF(Artikel!D12&gt;0,Artikel!D12,"")</f>
        <v/>
      </c>
      <c r="K25" s="44" t="str">
        <f>IF(Artikel!E12&gt;0,Artikel!E12,"")</f>
        <v/>
      </c>
      <c r="L25" s="43" t="str">
        <f>IF(Artikel!F12&gt;0,Artikel!F12,"")</f>
        <v/>
      </c>
      <c r="M25" s="12"/>
    </row>
    <row r="26" spans="1:13" ht="17.399999999999999">
      <c r="A26" s="1"/>
      <c r="B26" s="41" t="str">
        <f>IF(Artikel!A13&gt;0,Artikel!A13,"")</f>
        <v/>
      </c>
      <c r="C26" s="41"/>
      <c r="D26" s="41"/>
      <c r="E26" s="41"/>
      <c r="F26" s="41"/>
      <c r="G26" s="41"/>
      <c r="H26" s="42" t="str">
        <f>IF(Artikel!B13&gt;0,Artikel!B13,"")</f>
        <v/>
      </c>
      <c r="I26" s="41" t="str">
        <f>IF(Artikel!C13&gt;0,Artikel!C13,"")</f>
        <v/>
      </c>
      <c r="J26" s="43" t="str">
        <f>IF(Artikel!D13&gt;0,Artikel!D13,"")</f>
        <v/>
      </c>
      <c r="K26" s="44" t="str">
        <f>IF(Artikel!E13&gt;0,Artikel!E13,"")</f>
        <v/>
      </c>
      <c r="L26" s="43" t="str">
        <f>IF(Artikel!F13&gt;0,Artikel!F13,"")</f>
        <v/>
      </c>
      <c r="M26" s="12"/>
    </row>
    <row r="27" spans="1:13" ht="17.399999999999999">
      <c r="A27" s="1"/>
      <c r="B27" s="41" t="str">
        <f>IF(Artikel!A14&gt;0,Artikel!A14,"")</f>
        <v/>
      </c>
      <c r="C27" s="41"/>
      <c r="D27" s="41"/>
      <c r="E27" s="41"/>
      <c r="F27" s="41"/>
      <c r="G27" s="41"/>
      <c r="H27" s="42" t="str">
        <f>IF(Artikel!B14&gt;0,Artikel!B14,"")</f>
        <v/>
      </c>
      <c r="I27" s="41" t="str">
        <f>IF(Artikel!C14&gt;0,Artikel!C14,"")</f>
        <v/>
      </c>
      <c r="J27" s="43" t="str">
        <f>IF(Artikel!D14&gt;0,Artikel!D14,"")</f>
        <v/>
      </c>
      <c r="K27" s="44" t="str">
        <f>IF(Artikel!E14&gt;0,Artikel!E14,"")</f>
        <v/>
      </c>
      <c r="L27" s="43" t="str">
        <f>IF(Artikel!F14&gt;0,Artikel!F14,"")</f>
        <v/>
      </c>
      <c r="M27" s="12"/>
    </row>
    <row r="28" spans="1:13" ht="17.399999999999999">
      <c r="A28" s="1"/>
      <c r="B28" s="41" t="str">
        <f>IF(Artikel!A15&gt;0,Artikel!A15,"")</f>
        <v/>
      </c>
      <c r="C28" s="41"/>
      <c r="D28" s="41"/>
      <c r="E28" s="41"/>
      <c r="F28" s="41"/>
      <c r="G28" s="41"/>
      <c r="H28" s="42" t="str">
        <f>IF(Artikel!B15&gt;0,Artikel!B15,"")</f>
        <v/>
      </c>
      <c r="I28" s="41" t="str">
        <f>IF(Artikel!C15&gt;0,Artikel!C15,"")</f>
        <v/>
      </c>
      <c r="J28" s="43" t="str">
        <f>IF(Artikel!D15&gt;0,Artikel!D15,"")</f>
        <v/>
      </c>
      <c r="K28" s="44" t="str">
        <f>IF(Artikel!E15&gt;0,Artikel!E15,"")</f>
        <v/>
      </c>
      <c r="L28" s="43" t="str">
        <f>IF(Artikel!F15&gt;0,Artikel!F15,"")</f>
        <v/>
      </c>
      <c r="M28" s="12"/>
    </row>
    <row r="29" spans="1:13" ht="17.399999999999999">
      <c r="A29" s="1"/>
      <c r="B29" s="41" t="str">
        <f>IF(Artikel!A16&gt;0,Artikel!A16,"")</f>
        <v/>
      </c>
      <c r="C29" s="41"/>
      <c r="D29" s="41"/>
      <c r="E29" s="41"/>
      <c r="F29" s="41"/>
      <c r="G29" s="41"/>
      <c r="H29" s="42" t="str">
        <f>IF(Artikel!B16&gt;0,Artikel!B16,"")</f>
        <v/>
      </c>
      <c r="I29" s="41" t="str">
        <f>IF(Artikel!C16&gt;0,Artikel!C16,"")</f>
        <v/>
      </c>
      <c r="J29" s="43" t="str">
        <f>IF(Artikel!D16&gt;0,Artikel!D16,"")</f>
        <v/>
      </c>
      <c r="K29" s="44" t="str">
        <f>IF(Artikel!E16&gt;0,Artikel!E16,"")</f>
        <v/>
      </c>
      <c r="L29" s="43" t="str">
        <f>IF(Artikel!F16&gt;0,Artikel!F16,"")</f>
        <v/>
      </c>
      <c r="M29" s="12"/>
    </row>
    <row r="30" spans="1:13" ht="17.399999999999999">
      <c r="A30" s="1"/>
      <c r="B30" s="41"/>
      <c r="C30" s="41"/>
      <c r="D30" s="41"/>
      <c r="E30" s="41"/>
      <c r="F30" s="41"/>
      <c r="G30" s="41"/>
      <c r="H30" s="42"/>
      <c r="I30" s="41"/>
      <c r="J30" s="45" t="s">
        <v>89</v>
      </c>
      <c r="K30" s="44"/>
      <c r="L30" s="46">
        <f>IF(Käufer!H3="PAECKS",Info!C2,IF(Käufer!H3="PAECK",Info!C3,IF(Käufer!H3="PAK02",Info!C4,IF(Käufer!H3="PAK05",Info!C5,IF(Käufer!H3="PAK10",Info!C6,IF(Käufer!H3="PAK20",Info!C7,IF(Käufer!H3="PAK31",Info!C8,IF(Käufer!H3="Abholung",Info!C9))))))))</f>
        <v>7.69</v>
      </c>
      <c r="M30" s="12"/>
    </row>
    <row r="31" spans="1:13" ht="17.399999999999999">
      <c r="A31" s="1"/>
      <c r="B31" s="47"/>
      <c r="C31" s="47"/>
      <c r="D31" s="47"/>
      <c r="E31" s="47"/>
      <c r="F31" s="47"/>
      <c r="G31" s="47"/>
      <c r="H31" s="48"/>
      <c r="I31" s="47"/>
      <c r="J31" s="49" t="s">
        <v>9</v>
      </c>
      <c r="K31" s="50"/>
      <c r="L31" s="51">
        <f>SUM(L15:L30)</f>
        <v>1492.69</v>
      </c>
      <c r="M31" s="11"/>
    </row>
    <row r="32" spans="1:13" ht="17.399999999999999">
      <c r="A32" s="1"/>
      <c r="B32" s="41"/>
      <c r="C32" s="41"/>
      <c r="D32" s="41"/>
      <c r="E32" s="41"/>
      <c r="F32" s="41"/>
      <c r="G32" s="41"/>
      <c r="H32" s="42"/>
      <c r="I32" s="41"/>
      <c r="J32" s="52" t="str">
        <f>IF(Stammdaten!K2="Nein","Umsatzsteuer 19%","")</f>
        <v>Umsatzsteuer 19%</v>
      </c>
      <c r="K32" s="53"/>
      <c r="L32" s="51">
        <f>IF(Stammdaten!K2="Nein",L31*Stammdaten!L2,0)</f>
        <v>283.61110000000002</v>
      </c>
      <c r="M32" s="11"/>
    </row>
    <row r="33" spans="1:13" ht="17.399999999999999">
      <c r="A33" s="1"/>
      <c r="B33" s="37" t="str">
        <f>IF(Stammdaten!K2="ja", "Hinweis: Als Kleinunternehmer im Sinne von § 19 Abs. 1 UStG wird Umsatzsteuer nicht 
berechnet ","")</f>
        <v/>
      </c>
      <c r="C33" s="37"/>
      <c r="D33" s="37"/>
      <c r="E33" s="37"/>
      <c r="F33" s="37"/>
      <c r="G33" s="37"/>
      <c r="H33" s="42"/>
      <c r="I33" s="41"/>
      <c r="J33" s="54" t="s">
        <v>10</v>
      </c>
      <c r="K33" s="55"/>
      <c r="L33" s="56">
        <f>L31+L32</f>
        <v>1776.3011000000001</v>
      </c>
      <c r="M33" s="11"/>
    </row>
    <row r="34" spans="1:13" ht="37.5" customHeight="1">
      <c r="A34" s="1"/>
      <c r="B34" s="37"/>
      <c r="C34" s="37"/>
      <c r="D34" s="37"/>
      <c r="E34" s="37"/>
      <c r="F34" s="37"/>
      <c r="G34" s="37"/>
      <c r="H34" s="42"/>
      <c r="I34" s="41"/>
      <c r="J34" s="57"/>
      <c r="K34" s="57" t="s">
        <v>28</v>
      </c>
      <c r="L34" s="120" t="str">
        <f>IF(Käufer!G3&gt;0,Käufer!G3,"")</f>
        <v>Paypal</v>
      </c>
      <c r="M34" s="11"/>
    </row>
    <row r="35" spans="1:13" ht="57.45" customHeight="1">
      <c r="A35" s="1"/>
      <c r="B35" s="152" t="s">
        <v>90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"/>
    </row>
    <row r="36" spans="1:13" ht="17.399999999999999">
      <c r="A36" s="1"/>
      <c r="B36" s="37" t="s">
        <v>11</v>
      </c>
      <c r="C36" s="37"/>
      <c r="D36" s="37"/>
      <c r="E36" s="37"/>
      <c r="F36" s="37"/>
      <c r="G36" s="37"/>
      <c r="H36" s="116"/>
      <c r="I36" s="116"/>
      <c r="J36" s="116"/>
      <c r="K36" s="116"/>
      <c r="L36" s="116"/>
      <c r="M36" s="110"/>
    </row>
    <row r="37" spans="1:13" ht="17.399999999999999">
      <c r="A37" s="1"/>
      <c r="B37" s="37" t="str">
        <f>Stammdaten!A2</f>
        <v>Verkäuger Firma</v>
      </c>
      <c r="C37" s="37"/>
      <c r="D37" s="37"/>
      <c r="E37" s="37"/>
      <c r="F37" s="37"/>
      <c r="G37" s="37"/>
      <c r="H37" s="116"/>
      <c r="I37" s="116"/>
      <c r="J37" s="116"/>
      <c r="K37" s="116"/>
      <c r="L37" s="116"/>
      <c r="M37" s="110"/>
    </row>
    <row r="38" spans="1:13" ht="13.2">
      <c r="A38" s="1"/>
      <c r="B38" s="5"/>
      <c r="C38" s="5"/>
      <c r="D38" s="5"/>
      <c r="E38" s="5"/>
      <c r="F38" s="5"/>
      <c r="G38" s="5"/>
      <c r="H38" s="110"/>
      <c r="I38" s="110"/>
      <c r="J38" s="110"/>
      <c r="K38" s="110"/>
      <c r="L38" s="117"/>
      <c r="M38" s="117"/>
    </row>
    <row r="39" spans="1:13" ht="135.75" customHeight="1">
      <c r="A39" s="13"/>
      <c r="B39" s="14"/>
      <c r="C39" s="14"/>
      <c r="D39" s="14"/>
      <c r="E39" s="14"/>
      <c r="F39" s="14"/>
      <c r="G39" s="14"/>
      <c r="H39" s="118"/>
      <c r="I39" s="118"/>
      <c r="J39" s="118"/>
      <c r="K39" s="118"/>
      <c r="L39" s="119" t="s">
        <v>12</v>
      </c>
      <c r="M39" s="118"/>
    </row>
    <row r="40" spans="1:13" ht="13.2">
      <c r="A40" s="1"/>
      <c r="B40" s="5"/>
      <c r="C40" s="5"/>
      <c r="D40" s="5"/>
      <c r="E40" s="5"/>
      <c r="F40" s="5"/>
      <c r="G40" s="5"/>
      <c r="H40" s="1"/>
      <c r="I40" s="1"/>
      <c r="J40" s="1"/>
      <c r="K40" s="1"/>
      <c r="L40" s="1"/>
      <c r="M40" s="1"/>
    </row>
    <row r="41" spans="1:13" ht="13.2">
      <c r="A41" s="1"/>
      <c r="B41" s="150" t="str">
        <f>Stammdaten!A2&amp;" " &amp; "l" &amp;" "&amp; Stammdaten!G2&amp;" "&amp;"l" &amp;" "&amp; Stammdaten!H1 &amp; ":" &amp; " " &amp; Stammdaten!H2 &amp; " " &amp; "l" &amp;  " " &amp; Stammdaten!I1 &amp; ":" &amp; " " &amp; Stammdaten!I2 &amp; " " &amp; "l" &amp; " " &amp; Stammdaten!J1 &amp; " " &amp; ":"  &amp; " " &amp; Stammdaten!J2</f>
        <v>Verkäuger Firma l Verkaufbank l Iban: 115 l Geschäftsführerin: Verkaufson l USt-IdNr : 33:04432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"/>
    </row>
    <row r="42" spans="1:13" ht="13.2">
      <c r="A42" s="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"/>
    </row>
    <row r="43" spans="1:13" ht="13.2">
      <c r="A43" s="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"/>
    </row>
    <row r="44" spans="1:13" ht="13.2">
      <c r="A44" s="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"/>
    </row>
    <row r="45" spans="1:13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</sheetData>
  <mergeCells count="2">
    <mergeCell ref="B41:L44"/>
    <mergeCell ref="B35:L35"/>
  </mergeCells>
  <printOptions horizontalCentered="1" verticalCentered="1"/>
  <pageMargins left="0.7" right="0.7" top="0.75" bottom="0.75" header="0" footer="0"/>
  <pageSetup paperSize="9" scale="43" pageOrder="overThenDown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4A840-C755-4AB4-BCE3-2DCF025020BF}">
  <sheetPr codeName="Tabelle2"/>
  <dimension ref="A1:F22"/>
  <sheetViews>
    <sheetView workbookViewId="0">
      <selection activeCell="B6" sqref="B6"/>
    </sheetView>
  </sheetViews>
  <sheetFormatPr baseColWidth="10" defaultRowHeight="13.2"/>
  <cols>
    <col min="1" max="1" width="8.109375" bestFit="1" customWidth="1"/>
    <col min="2" max="2" width="19.109375" bestFit="1" customWidth="1"/>
    <col min="3" max="3" width="6.21875" bestFit="1" customWidth="1"/>
    <col min="4" max="4" width="11.77734375" bestFit="1" customWidth="1"/>
    <col min="5" max="5" width="9" bestFit="1" customWidth="1"/>
    <col min="6" max="6" width="13.77734375" bestFit="1" customWidth="1"/>
  </cols>
  <sheetData>
    <row r="1" spans="1:6">
      <c r="A1" s="24" t="s">
        <v>22</v>
      </c>
      <c r="B1" s="24" t="s">
        <v>23</v>
      </c>
      <c r="C1" s="24" t="s">
        <v>6</v>
      </c>
      <c r="D1" s="25" t="s">
        <v>26</v>
      </c>
      <c r="E1" s="26" t="s">
        <v>24</v>
      </c>
      <c r="F1" s="25" t="s">
        <v>25</v>
      </c>
    </row>
    <row r="2" spans="1:6">
      <c r="A2" s="107">
        <v>1</v>
      </c>
      <c r="B2" s="108" t="s">
        <v>114</v>
      </c>
      <c r="C2" s="107">
        <v>1</v>
      </c>
      <c r="D2" s="107">
        <v>100</v>
      </c>
      <c r="E2" s="109">
        <v>0.1</v>
      </c>
      <c r="F2" s="15">
        <f t="shared" ref="F2:F16" si="0">(D2*C2)-(D2*C2*E2)</f>
        <v>90</v>
      </c>
    </row>
    <row r="3" spans="1:6">
      <c r="A3" s="107">
        <v>2</v>
      </c>
      <c r="B3" s="108" t="s">
        <v>115</v>
      </c>
      <c r="C3" s="107">
        <v>2</v>
      </c>
      <c r="D3" s="107">
        <v>555</v>
      </c>
      <c r="E3" s="109">
        <v>0.4</v>
      </c>
      <c r="F3" s="15">
        <f t="shared" si="0"/>
        <v>666</v>
      </c>
    </row>
    <row r="4" spans="1:6">
      <c r="A4" s="107">
        <v>3</v>
      </c>
      <c r="B4" s="108" t="s">
        <v>116</v>
      </c>
      <c r="C4" s="107">
        <v>1</v>
      </c>
      <c r="D4" s="107">
        <v>55</v>
      </c>
      <c r="E4" s="109"/>
      <c r="F4" s="15">
        <f t="shared" si="0"/>
        <v>55</v>
      </c>
    </row>
    <row r="5" spans="1:6">
      <c r="A5" s="107">
        <v>4</v>
      </c>
      <c r="B5" s="108" t="s">
        <v>117</v>
      </c>
      <c r="C5" s="107">
        <v>1</v>
      </c>
      <c r="D5" s="107">
        <v>33</v>
      </c>
      <c r="E5" s="109"/>
      <c r="F5" s="15">
        <f t="shared" si="0"/>
        <v>33</v>
      </c>
    </row>
    <row r="6" spans="1:6">
      <c r="A6" s="107">
        <v>5</v>
      </c>
      <c r="B6" s="108" t="s">
        <v>114</v>
      </c>
      <c r="C6" s="107">
        <v>1</v>
      </c>
      <c r="D6" s="107">
        <v>53</v>
      </c>
      <c r="E6" s="109"/>
      <c r="F6" s="15">
        <f t="shared" si="0"/>
        <v>53</v>
      </c>
    </row>
    <row r="7" spans="1:6">
      <c r="A7" s="107">
        <v>6</v>
      </c>
      <c r="B7" s="108" t="s">
        <v>120</v>
      </c>
      <c r="C7" s="107">
        <v>6</v>
      </c>
      <c r="D7" s="107">
        <v>100</v>
      </c>
      <c r="E7" s="109">
        <v>0.02</v>
      </c>
      <c r="F7" s="15">
        <f t="shared" si="0"/>
        <v>588</v>
      </c>
    </row>
    <row r="8" spans="1:6">
      <c r="A8" s="107"/>
      <c r="B8" s="107"/>
      <c r="C8" s="107"/>
      <c r="D8" s="107"/>
      <c r="E8" s="109"/>
      <c r="F8" s="15">
        <f t="shared" si="0"/>
        <v>0</v>
      </c>
    </row>
    <row r="9" spans="1:6">
      <c r="A9" s="107"/>
      <c r="B9" s="107"/>
      <c r="C9" s="107"/>
      <c r="D9" s="107"/>
      <c r="E9" s="109"/>
      <c r="F9" s="15">
        <f t="shared" si="0"/>
        <v>0</v>
      </c>
    </row>
    <row r="10" spans="1:6">
      <c r="A10" s="107"/>
      <c r="B10" s="107"/>
      <c r="C10" s="107"/>
      <c r="D10" s="107"/>
      <c r="E10" s="109"/>
      <c r="F10" s="15">
        <f t="shared" si="0"/>
        <v>0</v>
      </c>
    </row>
    <row r="11" spans="1:6">
      <c r="A11" s="107"/>
      <c r="B11" s="107"/>
      <c r="C11" s="107"/>
      <c r="D11" s="107"/>
      <c r="E11" s="109"/>
      <c r="F11" s="15">
        <f t="shared" si="0"/>
        <v>0</v>
      </c>
    </row>
    <row r="12" spans="1:6">
      <c r="A12" s="107"/>
      <c r="B12" s="107"/>
      <c r="C12" s="107"/>
      <c r="D12" s="107"/>
      <c r="E12" s="109"/>
      <c r="F12" s="15">
        <f t="shared" si="0"/>
        <v>0</v>
      </c>
    </row>
    <row r="13" spans="1:6">
      <c r="A13" s="107"/>
      <c r="B13" s="107"/>
      <c r="C13" s="107"/>
      <c r="D13" s="107"/>
      <c r="E13" s="109"/>
      <c r="F13" s="15">
        <f t="shared" si="0"/>
        <v>0</v>
      </c>
    </row>
    <row r="14" spans="1:6">
      <c r="A14" s="107"/>
      <c r="B14" s="107"/>
      <c r="C14" s="107"/>
      <c r="D14" s="107"/>
      <c r="E14" s="109"/>
      <c r="F14" s="15">
        <f t="shared" si="0"/>
        <v>0</v>
      </c>
    </row>
    <row r="15" spans="1:6">
      <c r="A15" s="107"/>
      <c r="B15" s="107"/>
      <c r="C15" s="107"/>
      <c r="D15" s="107"/>
      <c r="E15" s="109"/>
      <c r="F15" s="15">
        <f t="shared" si="0"/>
        <v>0</v>
      </c>
    </row>
    <row r="16" spans="1:6">
      <c r="A16" s="107"/>
      <c r="B16" s="107"/>
      <c r="C16" s="107"/>
      <c r="D16" s="107"/>
      <c r="E16" s="109"/>
      <c r="F16" s="15">
        <f t="shared" si="0"/>
        <v>0</v>
      </c>
    </row>
    <row r="17" spans="1:6">
      <c r="A17" s="153" t="s">
        <v>118</v>
      </c>
      <c r="B17" s="154"/>
      <c r="C17" s="154"/>
      <c r="D17" s="154"/>
      <c r="E17" s="154"/>
      <c r="F17" s="154"/>
    </row>
    <row r="18" spans="1:6">
      <c r="A18" s="15"/>
      <c r="B18" s="15"/>
      <c r="C18" s="15"/>
      <c r="D18" s="15"/>
      <c r="E18" s="27"/>
      <c r="F18" s="15"/>
    </row>
    <row r="19" spans="1:6">
      <c r="A19" s="15"/>
      <c r="B19" s="15"/>
      <c r="C19" s="15"/>
      <c r="D19" s="15"/>
      <c r="E19" s="27"/>
      <c r="F19" s="15"/>
    </row>
    <row r="20" spans="1:6">
      <c r="A20" s="15"/>
      <c r="B20" s="15"/>
      <c r="C20" s="15"/>
      <c r="D20" s="15"/>
      <c r="E20" s="27"/>
      <c r="F20" s="15"/>
    </row>
    <row r="21" spans="1:6">
      <c r="A21" s="15"/>
      <c r="B21" s="15"/>
      <c r="C21" s="15"/>
      <c r="D21" s="15"/>
      <c r="E21" s="27"/>
      <c r="F21" s="15"/>
    </row>
    <row r="22" spans="1:6">
      <c r="A22" s="15"/>
      <c r="B22" s="15"/>
      <c r="C22" s="15"/>
      <c r="D22" s="15"/>
      <c r="E22" s="27"/>
      <c r="F22" s="15"/>
    </row>
  </sheetData>
  <sheetProtection password="CFF0" sheet="1" objects="1" scenarios="1"/>
  <mergeCells count="1">
    <mergeCell ref="A17:F17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D9E6C-935B-48F1-83D7-2268E81BAD37}">
  <sheetPr codeName="Tabelle5"/>
  <dimension ref="A1:H4"/>
  <sheetViews>
    <sheetView workbookViewId="0">
      <selection activeCell="C3" sqref="C3"/>
    </sheetView>
  </sheetViews>
  <sheetFormatPr baseColWidth="10" defaultRowHeight="13.2"/>
  <cols>
    <col min="4" max="4" width="12.21875" bestFit="1" customWidth="1"/>
    <col min="8" max="8" width="15.21875" bestFit="1" customWidth="1"/>
  </cols>
  <sheetData>
    <row r="1" spans="1:8">
      <c r="A1" s="28" t="s">
        <v>19</v>
      </c>
      <c r="B1" s="28" t="s">
        <v>20</v>
      </c>
      <c r="C1" s="28" t="s">
        <v>14</v>
      </c>
      <c r="D1" s="28" t="s">
        <v>21</v>
      </c>
      <c r="E1" s="28" t="s">
        <v>16</v>
      </c>
      <c r="F1" s="28" t="s">
        <v>17</v>
      </c>
      <c r="G1" s="28" t="s">
        <v>27</v>
      </c>
      <c r="H1" s="28" t="s">
        <v>87</v>
      </c>
    </row>
    <row r="2" spans="1:8">
      <c r="A2" s="15"/>
      <c r="B2" s="15"/>
      <c r="C2" s="15"/>
      <c r="D2" s="23"/>
      <c r="E2" s="15"/>
      <c r="F2" s="15"/>
      <c r="G2" s="15"/>
    </row>
    <row r="3" spans="1:8">
      <c r="A3" s="121" t="s">
        <v>97</v>
      </c>
      <c r="B3" s="121" t="s">
        <v>98</v>
      </c>
      <c r="C3" s="121" t="s">
        <v>99</v>
      </c>
      <c r="D3" s="122">
        <v>1</v>
      </c>
      <c r="E3" s="123">
        <v>11111</v>
      </c>
      <c r="F3" s="121" t="s">
        <v>100</v>
      </c>
      <c r="G3" s="121" t="s">
        <v>86</v>
      </c>
      <c r="H3" s="121" t="s">
        <v>67</v>
      </c>
    </row>
    <row r="4" spans="1:8">
      <c r="A4" s="15"/>
      <c r="B4" s="15"/>
      <c r="C4" s="15"/>
      <c r="D4" s="15"/>
      <c r="E4" s="15"/>
      <c r="F4" s="15"/>
      <c r="G4" s="15"/>
    </row>
  </sheetData>
  <sheetProtection password="CFF0"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83820</xdr:colOff>
                <xdr:row>7</xdr:row>
                <xdr:rowOff>7620</xdr:rowOff>
              </from>
              <to>
                <xdr:col>4</xdr:col>
                <xdr:colOff>304800</xdr:colOff>
                <xdr:row>10</xdr:row>
                <xdr:rowOff>129540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F1B469-B679-49A6-AB80-8029448C99B5}">
          <x14:formula1>
            <xm:f>Info!$A$2:$A$9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9C5A8-2A9D-46B2-AAFF-E27EF316369F}">
  <sheetPr codeName="Tabelle3"/>
  <dimension ref="A5:I14"/>
  <sheetViews>
    <sheetView tabSelected="1" workbookViewId="0">
      <selection activeCell="F21" sqref="F21"/>
    </sheetView>
  </sheetViews>
  <sheetFormatPr baseColWidth="10" defaultRowHeight="13.2"/>
  <sheetData>
    <row r="5" spans="1:9">
      <c r="A5" s="155" t="s">
        <v>119</v>
      </c>
      <c r="B5" s="154"/>
      <c r="C5" s="154"/>
      <c r="D5" s="154"/>
      <c r="E5" s="154"/>
      <c r="F5" s="154"/>
      <c r="G5" s="154"/>
      <c r="H5" s="154"/>
      <c r="I5" s="154"/>
    </row>
    <row r="6" spans="1:9">
      <c r="A6" s="154"/>
      <c r="B6" s="154"/>
      <c r="C6" s="154"/>
      <c r="D6" s="154"/>
      <c r="E6" s="154"/>
      <c r="F6" s="154"/>
      <c r="G6" s="154"/>
      <c r="H6" s="154"/>
      <c r="I6" s="154"/>
    </row>
    <row r="7" spans="1:9">
      <c r="A7" s="154"/>
      <c r="B7" s="154"/>
      <c r="C7" s="154"/>
      <c r="D7" s="154"/>
      <c r="E7" s="154"/>
      <c r="F7" s="154"/>
      <c r="G7" s="154"/>
      <c r="H7" s="154"/>
      <c r="I7" s="154"/>
    </row>
    <row r="8" spans="1:9">
      <c r="A8" s="154"/>
      <c r="B8" s="154"/>
      <c r="C8" s="154"/>
      <c r="D8" s="154"/>
      <c r="E8" s="154"/>
      <c r="F8" s="154"/>
      <c r="G8" s="154"/>
      <c r="H8" s="154"/>
      <c r="I8" s="154"/>
    </row>
    <row r="9" spans="1:9">
      <c r="A9" s="154"/>
      <c r="B9" s="154"/>
      <c r="C9" s="154"/>
      <c r="D9" s="154"/>
      <c r="E9" s="154"/>
      <c r="F9" s="154"/>
      <c r="G9" s="154"/>
      <c r="H9" s="154"/>
      <c r="I9" s="154"/>
    </row>
    <row r="10" spans="1:9">
      <c r="A10" s="154"/>
      <c r="B10" s="154"/>
      <c r="C10" s="154"/>
      <c r="D10" s="154"/>
      <c r="E10" s="154"/>
      <c r="F10" s="154"/>
      <c r="G10" s="154"/>
      <c r="H10" s="154"/>
      <c r="I10" s="154"/>
    </row>
    <row r="11" spans="1:9">
      <c r="A11" s="154"/>
      <c r="B11" s="154"/>
      <c r="C11" s="154"/>
      <c r="D11" s="154"/>
      <c r="E11" s="154"/>
      <c r="F11" s="154"/>
      <c r="G11" s="154"/>
      <c r="H11" s="154"/>
      <c r="I11" s="154"/>
    </row>
    <row r="12" spans="1:9">
      <c r="A12" s="154"/>
      <c r="B12" s="154"/>
      <c r="C12" s="154"/>
      <c r="D12" s="154"/>
      <c r="E12" s="154"/>
      <c r="F12" s="154"/>
      <c r="G12" s="154"/>
      <c r="H12" s="154"/>
      <c r="I12" s="154"/>
    </row>
    <row r="13" spans="1:9">
      <c r="A13" s="154"/>
      <c r="B13" s="154"/>
      <c r="C13" s="154"/>
      <c r="D13" s="154"/>
      <c r="E13" s="154"/>
      <c r="F13" s="154"/>
      <c r="G13" s="154"/>
      <c r="H13" s="154"/>
      <c r="I13" s="154"/>
    </row>
    <row r="14" spans="1:9">
      <c r="A14" s="154"/>
      <c r="B14" s="154"/>
      <c r="C14" s="154"/>
      <c r="D14" s="154"/>
      <c r="E14" s="154"/>
      <c r="F14" s="154"/>
      <c r="G14" s="154"/>
      <c r="H14" s="154"/>
      <c r="I14" s="154"/>
    </row>
  </sheetData>
  <mergeCells count="1">
    <mergeCell ref="A5:I14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AF0EC-DDC2-4C82-B0FD-A12EBA11B87F}">
  <sheetPr codeName="Tabelle7"/>
  <dimension ref="A1"/>
  <sheetViews>
    <sheetView workbookViewId="0">
      <selection activeCell="H15" sqref="H15"/>
    </sheetView>
  </sheetViews>
  <sheetFormatPr baseColWidth="10" defaultRowHeight="13.2"/>
  <sheetData>
    <row r="1" spans="1:1">
      <c r="A1" s="58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DC40-0123-4D96-B824-031047E64B51}">
  <sheetPr codeName="Tabelle4"/>
  <dimension ref="A1:L3"/>
  <sheetViews>
    <sheetView workbookViewId="0">
      <selection activeCell="L2" sqref="L2"/>
    </sheetView>
  </sheetViews>
  <sheetFormatPr baseColWidth="10" defaultRowHeight="13.2"/>
  <cols>
    <col min="1" max="1" width="16.77734375" bestFit="1" customWidth="1"/>
    <col min="2" max="2" width="12.33203125" bestFit="1" customWidth="1"/>
    <col min="3" max="3" width="12.77734375" bestFit="1" customWidth="1"/>
    <col min="5" max="5" width="11.88671875" bestFit="1" customWidth="1"/>
    <col min="6" max="6" width="23.6640625" customWidth="1"/>
    <col min="9" max="9" width="16.5546875" bestFit="1" customWidth="1"/>
    <col min="10" max="10" width="8.5546875" bestFit="1" customWidth="1"/>
    <col min="11" max="11" width="22.77734375" bestFit="1" customWidth="1"/>
  </cols>
  <sheetData>
    <row r="1" spans="1:12">
      <c r="A1" s="28" t="s">
        <v>13</v>
      </c>
      <c r="B1" s="28" t="s">
        <v>14</v>
      </c>
      <c r="C1" s="28" t="s">
        <v>15</v>
      </c>
      <c r="D1" s="28" t="s">
        <v>16</v>
      </c>
      <c r="E1" s="28" t="s">
        <v>17</v>
      </c>
      <c r="F1" s="28" t="s">
        <v>18</v>
      </c>
      <c r="G1" s="28" t="s">
        <v>71</v>
      </c>
      <c r="H1" s="28" t="s">
        <v>72</v>
      </c>
      <c r="I1" s="28" t="s">
        <v>73</v>
      </c>
      <c r="J1" s="28" t="s">
        <v>74</v>
      </c>
      <c r="K1" s="28" t="s">
        <v>85</v>
      </c>
      <c r="L1" s="28" t="s">
        <v>113</v>
      </c>
    </row>
    <row r="2" spans="1:12">
      <c r="A2" s="124" t="s">
        <v>91</v>
      </c>
      <c r="B2" s="124" t="s">
        <v>92</v>
      </c>
      <c r="C2" s="124">
        <v>2</v>
      </c>
      <c r="D2" s="124">
        <v>22222</v>
      </c>
      <c r="E2" s="124" t="s">
        <v>93</v>
      </c>
      <c r="F2" s="125" t="s">
        <v>94</v>
      </c>
      <c r="G2" s="149" t="s">
        <v>95</v>
      </c>
      <c r="H2" s="124">
        <v>115</v>
      </c>
      <c r="I2" s="124" t="s">
        <v>96</v>
      </c>
      <c r="J2" s="124" t="s">
        <v>75</v>
      </c>
      <c r="K2" s="124" t="s">
        <v>84</v>
      </c>
      <c r="L2" s="126">
        <f>IF(Stammdaten!K2="Nein",19%,0)</f>
        <v>0.19</v>
      </c>
    </row>
    <row r="3" spans="1:12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</row>
  </sheetData>
  <sheetProtection password="CFF0" sheet="1" objects="1" scenarios="1"/>
  <hyperlinks>
    <hyperlink ref="F2" r:id="rId1" xr:uid="{46852044-3FBA-44BA-826A-56B63731C873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76536-12FC-4619-A615-B8C56449E94B}">
          <x14:formula1>
            <xm:f>Info!$A$12:$A$13</xm:f>
          </x14:formula1>
          <xm:sqref>K2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29789-99B7-4563-AFCF-272A149319E9}">
  <sheetPr codeName="Tabelle6">
    <pageSetUpPr fitToPage="1"/>
  </sheetPr>
  <dimension ref="A1:I10"/>
  <sheetViews>
    <sheetView zoomScale="85" zoomScaleNormal="85" workbookViewId="0">
      <selection activeCell="C15" sqref="C15"/>
    </sheetView>
  </sheetViews>
  <sheetFormatPr baseColWidth="10" defaultColWidth="10.88671875" defaultRowHeight="14.4"/>
  <cols>
    <col min="1" max="1" width="45" style="18" customWidth="1"/>
    <col min="2" max="2" width="21.21875" style="18" bestFit="1" customWidth="1"/>
    <col min="3" max="3" width="28.77734375" style="18" bestFit="1" customWidth="1"/>
    <col min="4" max="4" width="9.44140625" style="18" bestFit="1" customWidth="1"/>
    <col min="5" max="5" width="12.21875" style="18" bestFit="1" customWidth="1"/>
    <col min="6" max="6" width="18.44140625" style="18" customWidth="1"/>
    <col min="7" max="7" width="5.5546875" style="18" bestFit="1" customWidth="1"/>
    <col min="8" max="8" width="16.44140625" style="18" bestFit="1" customWidth="1"/>
    <col min="9" max="16384" width="10.88671875" style="18"/>
  </cols>
  <sheetData>
    <row r="1" spans="1:9">
      <c r="A1" s="21" t="s">
        <v>38</v>
      </c>
      <c r="B1" s="21" t="s">
        <v>37</v>
      </c>
      <c r="C1" s="21" t="s">
        <v>36</v>
      </c>
      <c r="D1" s="21" t="s">
        <v>35</v>
      </c>
      <c r="E1" s="21" t="s">
        <v>16</v>
      </c>
      <c r="F1" s="21" t="s">
        <v>34</v>
      </c>
      <c r="G1" s="21" t="s">
        <v>33</v>
      </c>
      <c r="H1" s="21" t="s">
        <v>32</v>
      </c>
      <c r="I1" s="20" t="s">
        <v>31</v>
      </c>
    </row>
    <row r="2" spans="1:9">
      <c r="A2" s="19" t="str">
        <f>Stammdaten!A2</f>
        <v>Verkäuger Firma</v>
      </c>
      <c r="B2" s="19"/>
      <c r="C2" s="19" t="str">
        <f>Stammdaten!B2</f>
        <v>Verkauf str.</v>
      </c>
      <c r="D2" s="19">
        <f>Stammdaten!C2</f>
        <v>2</v>
      </c>
      <c r="E2" s="19">
        <f>Stammdaten!D2</f>
        <v>22222</v>
      </c>
      <c r="F2" s="19" t="str">
        <f>Stammdaten!E2</f>
        <v>Verkaufsdorn</v>
      </c>
      <c r="G2" s="19" t="s">
        <v>30</v>
      </c>
      <c r="H2" s="19" t="s">
        <v>29</v>
      </c>
      <c r="I2" s="19"/>
    </row>
    <row r="3" spans="1:9">
      <c r="A3" s="19" t="str">
        <f>Käufer!A3 &amp;" " &amp; Käufer!B3</f>
        <v>Käufer Kauf</v>
      </c>
      <c r="B3" s="19"/>
      <c r="C3" s="19" t="str">
        <f>Käufer!C3</f>
        <v>Kauf str.</v>
      </c>
      <c r="D3" s="19">
        <f>Käufer!D3</f>
        <v>1</v>
      </c>
      <c r="E3" s="19">
        <f>Stammdaten!D2</f>
        <v>22222</v>
      </c>
      <c r="F3" s="19" t="str">
        <f>Käufer!F3</f>
        <v>Kaufson</v>
      </c>
      <c r="G3" s="19" t="s">
        <v>30</v>
      </c>
      <c r="H3" s="19" t="s">
        <v>29</v>
      </c>
      <c r="I3" s="19"/>
    </row>
    <row r="4" spans="1:9">
      <c r="A4" s="29" t="s">
        <v>76</v>
      </c>
      <c r="B4" s="29" t="s">
        <v>76</v>
      </c>
      <c r="C4" s="29" t="s">
        <v>76</v>
      </c>
      <c r="D4" s="29" t="s">
        <v>76</v>
      </c>
      <c r="E4" s="29" t="s">
        <v>76</v>
      </c>
      <c r="F4" s="29" t="s">
        <v>76</v>
      </c>
      <c r="G4" s="29" t="s">
        <v>76</v>
      </c>
      <c r="H4" s="29" t="s">
        <v>76</v>
      </c>
      <c r="I4" s="29" t="s">
        <v>76</v>
      </c>
    </row>
    <row r="5" spans="1:9">
      <c r="A5" s="29" t="s">
        <v>77</v>
      </c>
      <c r="B5" s="29" t="s">
        <v>77</v>
      </c>
      <c r="C5" s="29" t="s">
        <v>77</v>
      </c>
      <c r="D5" s="29" t="s">
        <v>77</v>
      </c>
      <c r="E5" s="29" t="s">
        <v>77</v>
      </c>
      <c r="F5" s="29" t="s">
        <v>77</v>
      </c>
      <c r="G5" s="29" t="s">
        <v>77</v>
      </c>
      <c r="H5" s="29" t="s">
        <v>77</v>
      </c>
      <c r="I5" s="29" t="s">
        <v>77</v>
      </c>
    </row>
    <row r="6" spans="1:9">
      <c r="A6" s="29" t="s">
        <v>78</v>
      </c>
      <c r="B6" s="29" t="s">
        <v>78</v>
      </c>
      <c r="C6" s="29" t="s">
        <v>78</v>
      </c>
      <c r="D6" s="29" t="s">
        <v>78</v>
      </c>
      <c r="E6" s="29" t="s">
        <v>78</v>
      </c>
      <c r="F6" s="29" t="s">
        <v>78</v>
      </c>
      <c r="G6" s="29" t="s">
        <v>78</v>
      </c>
      <c r="H6" s="29" t="s">
        <v>78</v>
      </c>
      <c r="I6" s="29" t="s">
        <v>78</v>
      </c>
    </row>
    <row r="7" spans="1:9">
      <c r="A7" s="29" t="s">
        <v>79</v>
      </c>
      <c r="B7" s="29" t="s">
        <v>79</v>
      </c>
      <c r="C7" s="29" t="s">
        <v>79</v>
      </c>
      <c r="D7" s="29" t="s">
        <v>79</v>
      </c>
      <c r="E7" s="29" t="s">
        <v>79</v>
      </c>
      <c r="F7" s="29" t="s">
        <v>79</v>
      </c>
      <c r="G7" s="29" t="s">
        <v>79</v>
      </c>
      <c r="H7" s="29" t="s">
        <v>79</v>
      </c>
      <c r="I7" s="29" t="s">
        <v>79</v>
      </c>
    </row>
    <row r="8" spans="1:9">
      <c r="A8" s="29" t="s">
        <v>80</v>
      </c>
      <c r="B8" s="29" t="s">
        <v>80</v>
      </c>
      <c r="C8" s="29" t="s">
        <v>80</v>
      </c>
      <c r="D8" s="29" t="s">
        <v>80</v>
      </c>
      <c r="E8" s="29" t="s">
        <v>80</v>
      </c>
      <c r="F8" s="29" t="s">
        <v>80</v>
      </c>
      <c r="G8" s="29" t="s">
        <v>80</v>
      </c>
      <c r="H8" s="29" t="s">
        <v>80</v>
      </c>
      <c r="I8" s="29" t="s">
        <v>80</v>
      </c>
    </row>
    <row r="9" spans="1:9">
      <c r="A9" s="29" t="s">
        <v>81</v>
      </c>
      <c r="B9" s="29" t="s">
        <v>81</v>
      </c>
      <c r="C9" s="29" t="s">
        <v>81</v>
      </c>
      <c r="D9" s="29" t="s">
        <v>81</v>
      </c>
      <c r="E9" s="29" t="s">
        <v>81</v>
      </c>
      <c r="F9" s="29" t="s">
        <v>81</v>
      </c>
      <c r="G9" s="29" t="s">
        <v>81</v>
      </c>
      <c r="H9" s="29" t="s">
        <v>81</v>
      </c>
      <c r="I9" s="29" t="s">
        <v>81</v>
      </c>
    </row>
    <row r="10" spans="1:9">
      <c r="A10" s="29" t="s">
        <v>82</v>
      </c>
      <c r="B10" s="29" t="s">
        <v>82</v>
      </c>
      <c r="C10" s="29" t="s">
        <v>82</v>
      </c>
      <c r="D10" s="29" t="s">
        <v>82</v>
      </c>
      <c r="E10" s="29" t="s">
        <v>82</v>
      </c>
      <c r="F10" s="29" t="s">
        <v>82</v>
      </c>
      <c r="G10" s="29" t="s">
        <v>82</v>
      </c>
      <c r="H10" s="29" t="s">
        <v>82</v>
      </c>
      <c r="I10" s="29" t="s">
        <v>82</v>
      </c>
    </row>
  </sheetData>
  <sheetProtection password="CFF0" sheet="1" objects="1" scenarios="1"/>
  <phoneticPr fontId="15" type="noConversion"/>
  <pageMargins left="0.7" right="0.7" top="0.78740157499999996" bottom="0.78740157499999996" header="0.3" footer="0.3"/>
  <pageSetup paperSize="9" scale="8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9C2D-85AB-465B-82B7-F6D788116A05}">
  <sheetPr codeName="Tabelle9"/>
  <dimension ref="A1:Q2"/>
  <sheetViews>
    <sheetView topLeftCell="D1" workbookViewId="0">
      <selection activeCell="I2" sqref="I2"/>
    </sheetView>
  </sheetViews>
  <sheetFormatPr baseColWidth="10" defaultRowHeight="13.2"/>
  <cols>
    <col min="1" max="2" width="12.88671875" bestFit="1" customWidth="1"/>
    <col min="3" max="3" width="13.88671875" bestFit="1" customWidth="1"/>
    <col min="4" max="4" width="21.109375" bestFit="1" customWidth="1"/>
    <col min="5" max="5" width="10" bestFit="1" customWidth="1"/>
    <col min="6" max="6" width="10.77734375" bestFit="1" customWidth="1"/>
    <col min="7" max="7" width="15.6640625" bestFit="1" customWidth="1"/>
    <col min="8" max="9" width="12.88671875" bestFit="1" customWidth="1"/>
    <col min="10" max="10" width="13.88671875" bestFit="1" customWidth="1"/>
    <col min="11" max="11" width="21.109375" bestFit="1" customWidth="1"/>
    <col min="14" max="14" width="15.6640625" bestFit="1" customWidth="1"/>
    <col min="17" max="17" width="17.88671875" bestFit="1" customWidth="1"/>
  </cols>
  <sheetData>
    <row r="1" spans="1:17">
      <c r="A1" s="22" t="s">
        <v>55</v>
      </c>
      <c r="B1" s="22" t="s">
        <v>54</v>
      </c>
      <c r="C1" s="22" t="s">
        <v>53</v>
      </c>
      <c r="D1" s="22" t="s">
        <v>52</v>
      </c>
      <c r="E1" s="22" t="s">
        <v>51</v>
      </c>
      <c r="F1" s="22" t="s">
        <v>50</v>
      </c>
      <c r="G1" s="22" t="s">
        <v>49</v>
      </c>
      <c r="H1" s="22" t="s">
        <v>48</v>
      </c>
      <c r="I1" s="22" t="s">
        <v>47</v>
      </c>
      <c r="J1" s="22" t="s">
        <v>46</v>
      </c>
      <c r="K1" s="22" t="s">
        <v>45</v>
      </c>
      <c r="L1" s="22" t="s">
        <v>44</v>
      </c>
      <c r="M1" s="22" t="s">
        <v>43</v>
      </c>
      <c r="N1" s="22" t="s">
        <v>42</v>
      </c>
      <c r="O1" s="22" t="s">
        <v>41</v>
      </c>
      <c r="P1" s="22" t="s">
        <v>40</v>
      </c>
      <c r="Q1" s="22" t="s">
        <v>39</v>
      </c>
    </row>
    <row r="2" spans="1:17">
      <c r="A2" t="str">
        <f>Stammdaten!A2</f>
        <v>Verkäuger Firma</v>
      </c>
      <c r="C2" t="str">
        <f>Stammdaten!B2</f>
        <v>Verkauf str.</v>
      </c>
      <c r="D2">
        <f>Stammdaten!C2</f>
        <v>2</v>
      </c>
      <c r="E2">
        <f>Käufer!E3</f>
        <v>11111</v>
      </c>
      <c r="F2" t="str">
        <f>Stammdaten!E2</f>
        <v>Verkaufsdorn</v>
      </c>
      <c r="H2" t="str">
        <f>Käufer!A3 &amp; " " &amp; Käufer!B3</f>
        <v>Käufer Kauf</v>
      </c>
      <c r="J2" t="str">
        <f>Käufer!C3</f>
        <v>Kauf str.</v>
      </c>
      <c r="K2">
        <f>Käufer!D3</f>
        <v>1</v>
      </c>
      <c r="L2">
        <f>Käufer!E3</f>
        <v>11111</v>
      </c>
      <c r="M2" t="str">
        <f>Käufer!F3</f>
        <v>Kaufson</v>
      </c>
      <c r="O2" t="str">
        <f>Käufer!H3</f>
        <v>PAK05</v>
      </c>
      <c r="Q2" t="str">
        <f>Stammdaten!F2</f>
        <v>verkauf@muster.vom</v>
      </c>
    </row>
  </sheetData>
  <sheetProtection password="CFF0" sheet="1" objects="1" scenarios="1"/>
  <dataValidations count="1">
    <dataValidation allowBlank="1" showInputMessage="1" showErrorMessage="1" promptTitle="Versandart" sqref="O2" xr:uid="{F7038761-FC9B-4CB0-BED6-AC4C3C583945}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ersandart" xr:uid="{E0C8A08E-D576-4B9E-A6C3-3308C39C5144}">
          <x14:formula1>
            <xm:f>Info!$A$2:$A$8</xm:f>
          </x14:formula1>
          <xm:sqref>O3:O9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08B7A-4BBB-447E-BC83-A7094F499B10}">
  <sheetPr codeName="Tabelle10"/>
  <dimension ref="A1:C13"/>
  <sheetViews>
    <sheetView workbookViewId="0">
      <selection activeCell="D10" sqref="D10"/>
    </sheetView>
  </sheetViews>
  <sheetFormatPr baseColWidth="10" defaultRowHeight="13.2"/>
  <cols>
    <col min="1" max="1" width="18.88671875" bestFit="1" customWidth="1"/>
    <col min="2" max="2" width="19.33203125" bestFit="1" customWidth="1"/>
  </cols>
  <sheetData>
    <row r="1" spans="1:3">
      <c r="A1" s="15" t="s">
        <v>56</v>
      </c>
      <c r="B1" s="15"/>
    </row>
    <row r="2" spans="1:3">
      <c r="A2" s="108" t="s">
        <v>58</v>
      </c>
      <c r="B2" s="107" t="s">
        <v>57</v>
      </c>
      <c r="C2" s="127">
        <v>4.1900000000000004</v>
      </c>
    </row>
    <row r="3" spans="1:3">
      <c r="A3" s="108" t="s">
        <v>65</v>
      </c>
      <c r="B3" s="108" t="s">
        <v>59</v>
      </c>
      <c r="C3" s="127">
        <v>5.19</v>
      </c>
    </row>
    <row r="4" spans="1:3">
      <c r="A4" s="108" t="s">
        <v>66</v>
      </c>
      <c r="B4" s="108" t="s">
        <v>60</v>
      </c>
      <c r="C4" s="127">
        <v>6.19</v>
      </c>
    </row>
    <row r="5" spans="1:3">
      <c r="A5" s="108" t="s">
        <v>67</v>
      </c>
      <c r="B5" s="108" t="s">
        <v>61</v>
      </c>
      <c r="C5" s="127">
        <v>7.69</v>
      </c>
    </row>
    <row r="6" spans="1:3">
      <c r="A6" s="108" t="s">
        <v>68</v>
      </c>
      <c r="B6" s="108" t="s">
        <v>62</v>
      </c>
      <c r="C6" s="127">
        <v>10.49</v>
      </c>
    </row>
    <row r="7" spans="1:3">
      <c r="A7" s="108" t="s">
        <v>69</v>
      </c>
      <c r="B7" s="108" t="s">
        <v>63</v>
      </c>
      <c r="C7" s="127">
        <v>18.989999999999998</v>
      </c>
    </row>
    <row r="8" spans="1:3">
      <c r="A8" s="108" t="s">
        <v>70</v>
      </c>
      <c r="B8" s="108" t="s">
        <v>64</v>
      </c>
      <c r="C8" s="127">
        <v>23.99</v>
      </c>
    </row>
    <row r="9" spans="1:3">
      <c r="A9" s="108" t="s">
        <v>88</v>
      </c>
      <c r="B9" s="108" t="s">
        <v>88</v>
      </c>
      <c r="C9" s="127">
        <v>0</v>
      </c>
    </row>
    <row r="10" spans="1:3">
      <c r="A10" s="108"/>
      <c r="B10" s="108"/>
      <c r="C10" s="128"/>
    </row>
    <row r="11" spans="1:3">
      <c r="A11" s="128"/>
      <c r="B11" s="128"/>
      <c r="C11" s="128"/>
    </row>
    <row r="12" spans="1:3">
      <c r="A12" s="108" t="s">
        <v>83</v>
      </c>
      <c r="B12" s="128"/>
      <c r="C12" s="128"/>
    </row>
    <row r="13" spans="1:3">
      <c r="A13" s="108" t="s">
        <v>84</v>
      </c>
      <c r="B13" s="128"/>
      <c r="C13" s="128"/>
    </row>
  </sheetData>
  <sheetProtection password="CFF0" sheet="1" objects="1" scenarios="1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9BD17-43FB-46C2-95C4-069A43F5ECA9}">
  <sheetPr codeName="Tabelle8">
    <pageSetUpPr fitToPage="1"/>
  </sheetPr>
  <dimension ref="A1:K210"/>
  <sheetViews>
    <sheetView zoomScale="86" zoomScaleNormal="86" zoomScaleSheetLayoutView="110" workbookViewId="0">
      <selection activeCell="R14" sqref="R14"/>
    </sheetView>
  </sheetViews>
  <sheetFormatPr baseColWidth="10" defaultColWidth="11.44140625" defaultRowHeight="14.4"/>
  <cols>
    <col min="1" max="1" width="9.44140625" style="59" bestFit="1" customWidth="1"/>
    <col min="2" max="2" width="12.5546875" style="61" bestFit="1" customWidth="1"/>
    <col min="3" max="3" width="35.44140625" style="59" bestFit="1" customWidth="1"/>
    <col min="4" max="4" width="10.5546875" style="60" bestFit="1" customWidth="1"/>
    <col min="5" max="5" width="10.21875" style="60" bestFit="1" customWidth="1"/>
    <col min="6" max="6" width="10.5546875" style="60" bestFit="1" customWidth="1"/>
    <col min="7" max="7" width="9.6640625" style="60" bestFit="1" customWidth="1"/>
    <col min="8" max="8" width="8.109375" style="60" bestFit="1" customWidth="1"/>
    <col min="9" max="9" width="10.33203125" style="60" customWidth="1"/>
    <col min="10" max="10" width="13.33203125" style="60" bestFit="1" customWidth="1"/>
    <col min="11" max="11" width="11.109375" style="60" bestFit="1" customWidth="1"/>
    <col min="12" max="15" width="10" style="59" customWidth="1"/>
    <col min="16" max="16384" width="11.44140625" style="59"/>
  </cols>
  <sheetData>
    <row r="1" spans="1:11" ht="15.6" customHeight="1">
      <c r="A1" s="156" t="s">
        <v>101</v>
      </c>
      <c r="B1" s="156"/>
      <c r="C1" s="156"/>
      <c r="D1" s="156"/>
      <c r="E1" s="72"/>
      <c r="F1" s="72"/>
      <c r="G1" s="72"/>
      <c r="H1" s="72"/>
    </row>
    <row r="2" spans="1:11" ht="15.6" customHeight="1">
      <c r="A2" s="156"/>
      <c r="B2" s="156"/>
      <c r="C2" s="156"/>
      <c r="D2" s="156"/>
      <c r="E2" s="72"/>
      <c r="F2" s="72"/>
      <c r="G2" s="72"/>
      <c r="H2" s="72"/>
    </row>
    <row r="3" spans="1:11" ht="15.6" customHeight="1">
      <c r="A3" s="156"/>
      <c r="B3" s="156"/>
      <c r="C3" s="156"/>
      <c r="D3" s="156"/>
      <c r="E3" s="72"/>
      <c r="F3" s="72"/>
      <c r="G3" s="72"/>
      <c r="H3" s="72"/>
    </row>
    <row r="4" spans="1:11" ht="15.6" customHeight="1">
      <c r="A4" s="156"/>
      <c r="B4" s="156"/>
      <c r="C4" s="156"/>
      <c r="D4" s="156"/>
      <c r="E4" s="72"/>
      <c r="F4" s="72"/>
      <c r="G4" s="72"/>
      <c r="H4" s="72"/>
    </row>
    <row r="5" spans="1:11" ht="15.6" customHeight="1" thickBot="1">
      <c r="A5" s="157"/>
      <c r="B5" s="157"/>
      <c r="C5" s="157"/>
      <c r="D5" s="157"/>
      <c r="E5" s="71"/>
      <c r="F5" s="71"/>
      <c r="G5" s="71"/>
      <c r="H5" s="71"/>
      <c r="I5" s="70"/>
      <c r="J5" s="70"/>
      <c r="K5" s="70"/>
    </row>
    <row r="6" spans="1:11" ht="18.600000000000001" customHeight="1" thickTop="1">
      <c r="A6" s="63"/>
      <c r="B6" s="64"/>
      <c r="C6" s="63"/>
      <c r="D6" s="62"/>
      <c r="E6" s="62"/>
      <c r="F6" s="62"/>
      <c r="G6" s="62"/>
      <c r="H6" s="62"/>
      <c r="I6" s="62"/>
      <c r="J6" s="62"/>
      <c r="K6" s="62"/>
    </row>
    <row r="7" spans="1:11" ht="18.600000000000001" customHeight="1">
      <c r="A7" s="63"/>
      <c r="B7" s="64"/>
      <c r="C7" s="63"/>
      <c r="D7" s="62"/>
      <c r="E7" s="62"/>
      <c r="F7" s="62"/>
      <c r="G7" s="62"/>
      <c r="H7" s="62"/>
      <c r="I7" s="62"/>
      <c r="J7" s="62"/>
      <c r="K7" s="62"/>
    </row>
    <row r="8" spans="1:11" s="88" customFormat="1" ht="18.600000000000001" customHeight="1">
      <c r="A8" s="89"/>
      <c r="B8" s="90"/>
      <c r="C8" s="89"/>
      <c r="D8" s="158" t="s">
        <v>112</v>
      </c>
      <c r="E8" s="159"/>
      <c r="F8" s="160"/>
      <c r="G8" s="159" t="s">
        <v>111</v>
      </c>
      <c r="H8" s="159"/>
      <c r="I8" s="159"/>
      <c r="J8" s="158" t="s">
        <v>110</v>
      </c>
      <c r="K8" s="160"/>
    </row>
    <row r="9" spans="1:11" ht="18.600000000000001" customHeight="1" thickBot="1">
      <c r="A9" s="86" t="s">
        <v>109</v>
      </c>
      <c r="B9" s="87" t="s">
        <v>108</v>
      </c>
      <c r="C9" s="86" t="s">
        <v>107</v>
      </c>
      <c r="D9" s="83" t="s">
        <v>106</v>
      </c>
      <c r="E9" s="85" t="s">
        <v>105</v>
      </c>
      <c r="F9" s="106" t="s">
        <v>102</v>
      </c>
      <c r="G9" s="85" t="s">
        <v>106</v>
      </c>
      <c r="H9" s="85" t="s">
        <v>105</v>
      </c>
      <c r="I9" s="84" t="s">
        <v>102</v>
      </c>
      <c r="J9" s="83" t="s">
        <v>104</v>
      </c>
      <c r="K9" s="82" t="s">
        <v>103</v>
      </c>
    </row>
    <row r="10" spans="1:11" ht="18.600000000000001" customHeight="1">
      <c r="A10" s="129">
        <v>1</v>
      </c>
      <c r="B10" s="130">
        <v>46085</v>
      </c>
      <c r="C10" s="131">
        <v>130</v>
      </c>
      <c r="D10" s="132">
        <v>7.69</v>
      </c>
      <c r="E10" s="104">
        <f>D10*Stammdaten!L2</f>
        <v>1.4611000000000001</v>
      </c>
      <c r="F10" s="105">
        <f>IF(D10+E10&lt;&gt;0,D10+E10,"")</f>
        <v>9.1510999999999996</v>
      </c>
      <c r="G10" s="144"/>
      <c r="H10" s="81">
        <f>G10*Stammdaten!L2</f>
        <v>0</v>
      </c>
      <c r="I10" s="80" t="str">
        <f>IF(G10+H10&lt;&gt;0,G10+H10,"")</f>
        <v/>
      </c>
      <c r="J10" s="148"/>
      <c r="K10" s="79">
        <f t="shared" ref="K10:K160" si="0">IF(H10&lt;&gt;0,H10*-1,IF(E10&lt;&gt;0,E10,IF(J10&lt;&gt;0,J10,"")))</f>
        <v>1.4611000000000001</v>
      </c>
    </row>
    <row r="11" spans="1:11" ht="18.600000000000001" customHeight="1">
      <c r="A11" s="133">
        <v>2</v>
      </c>
      <c r="B11" s="134">
        <v>46085</v>
      </c>
      <c r="C11" s="135">
        <v>131</v>
      </c>
      <c r="D11" s="136">
        <v>904.69</v>
      </c>
      <c r="E11" s="104">
        <f>D11*Stammdaten!L2</f>
        <v>171.89110000000002</v>
      </c>
      <c r="F11" s="105">
        <f t="shared" ref="F11:F118" si="1">IF(D11+E11&lt;&gt;0,D11+E11,"")</f>
        <v>1076.5811000000001</v>
      </c>
      <c r="G11" s="145"/>
      <c r="H11" s="78">
        <f>G11*Stammdaten!L2</f>
        <v>0</v>
      </c>
      <c r="I11" s="77" t="str">
        <f>IF(G11+H11&lt;&gt;0,G11+H11,"")</f>
        <v/>
      </c>
      <c r="J11" s="137"/>
      <c r="K11" s="76">
        <f t="shared" si="0"/>
        <v>171.89110000000002</v>
      </c>
    </row>
    <row r="12" spans="1:11" ht="18.600000000000001" customHeight="1">
      <c r="A12" s="133">
        <v>3</v>
      </c>
      <c r="B12" s="134">
        <v>46085</v>
      </c>
      <c r="C12" s="135">
        <v>132</v>
      </c>
      <c r="D12" s="136">
        <v>1776.3011000000001</v>
      </c>
      <c r="E12" s="104">
        <f>D12*Stammdaten!L2</f>
        <v>337.49720900000005</v>
      </c>
      <c r="F12" s="105">
        <f t="shared" si="1"/>
        <v>2113.7983090000002</v>
      </c>
      <c r="G12" s="145"/>
      <c r="H12" s="78">
        <f>G12*Stammdaten!L2</f>
        <v>0</v>
      </c>
      <c r="I12" s="77" t="str">
        <f t="shared" ref="I12:I75" si="2">IF(G12+H12&lt;&gt;0,G12+H12,"")</f>
        <v/>
      </c>
      <c r="J12" s="137"/>
      <c r="K12" s="76">
        <f t="shared" si="0"/>
        <v>337.49720900000005</v>
      </c>
    </row>
    <row r="13" spans="1:11" ht="18.600000000000001" customHeight="1">
      <c r="A13" s="133">
        <v>4</v>
      </c>
      <c r="B13" s="134">
        <v>46085</v>
      </c>
      <c r="C13" s="135">
        <v>133</v>
      </c>
      <c r="D13" s="136">
        <v>1776.3011000000001</v>
      </c>
      <c r="E13" s="104">
        <f>D13*Stammdaten!L2</f>
        <v>337.49720900000005</v>
      </c>
      <c r="F13" s="105">
        <f t="shared" si="1"/>
        <v>2113.7983090000002</v>
      </c>
      <c r="G13" s="145"/>
      <c r="H13" s="78">
        <f>G13*Stammdaten!L2</f>
        <v>0</v>
      </c>
      <c r="I13" s="77" t="str">
        <f t="shared" si="2"/>
        <v/>
      </c>
      <c r="J13" s="137"/>
      <c r="K13" s="76">
        <f t="shared" si="0"/>
        <v>337.49720900000005</v>
      </c>
    </row>
    <row r="14" spans="1:11" ht="18.600000000000001" customHeight="1">
      <c r="A14" s="133"/>
      <c r="B14" s="134"/>
      <c r="C14" s="135"/>
      <c r="D14" s="136"/>
      <c r="E14" s="104">
        <f>D14*Stammdaten!L2</f>
        <v>0</v>
      </c>
      <c r="F14" s="105" t="str">
        <f t="shared" si="1"/>
        <v/>
      </c>
      <c r="G14" s="145"/>
      <c r="H14" s="78">
        <f>G14*Stammdaten!L2</f>
        <v>0</v>
      </c>
      <c r="I14" s="77" t="str">
        <f t="shared" si="2"/>
        <v/>
      </c>
      <c r="J14" s="137"/>
      <c r="K14" s="76" t="str">
        <f t="shared" si="0"/>
        <v/>
      </c>
    </row>
    <row r="15" spans="1:11" ht="18.600000000000001" customHeight="1">
      <c r="A15" s="133"/>
      <c r="B15" s="134"/>
      <c r="C15" s="135"/>
      <c r="D15" s="136"/>
      <c r="E15" s="104">
        <f>D15*Stammdaten!L2</f>
        <v>0</v>
      </c>
      <c r="F15" s="105" t="str">
        <f t="shared" si="1"/>
        <v/>
      </c>
      <c r="G15" s="145"/>
      <c r="H15" s="78">
        <f>G15*Stammdaten!L2</f>
        <v>0</v>
      </c>
      <c r="I15" s="77" t="str">
        <f t="shared" si="2"/>
        <v/>
      </c>
      <c r="J15" s="137"/>
      <c r="K15" s="76" t="str">
        <f t="shared" si="0"/>
        <v/>
      </c>
    </row>
    <row r="16" spans="1:11" ht="18.600000000000001" customHeight="1">
      <c r="A16" s="133"/>
      <c r="B16" s="134"/>
      <c r="C16" s="135"/>
      <c r="D16" s="136"/>
      <c r="E16" s="104">
        <f>D16*Stammdaten!L2</f>
        <v>0</v>
      </c>
      <c r="F16" s="105" t="str">
        <f t="shared" si="1"/>
        <v/>
      </c>
      <c r="G16" s="145"/>
      <c r="H16" s="78">
        <f>G16*Stammdaten!L2</f>
        <v>0</v>
      </c>
      <c r="I16" s="77" t="str">
        <f t="shared" si="2"/>
        <v/>
      </c>
      <c r="J16" s="137"/>
      <c r="K16" s="76" t="str">
        <f t="shared" si="0"/>
        <v/>
      </c>
    </row>
    <row r="17" spans="1:11" ht="18.600000000000001" customHeight="1">
      <c r="A17" s="133"/>
      <c r="B17" s="134"/>
      <c r="C17" s="135"/>
      <c r="D17" s="136"/>
      <c r="E17" s="104">
        <f>D17*Stammdaten!L2</f>
        <v>0</v>
      </c>
      <c r="F17" s="105" t="str">
        <f t="shared" si="1"/>
        <v/>
      </c>
      <c r="G17" s="145"/>
      <c r="H17" s="78">
        <f>G17*Stammdaten!L2</f>
        <v>0</v>
      </c>
      <c r="I17" s="77" t="str">
        <f t="shared" si="2"/>
        <v/>
      </c>
      <c r="J17" s="137"/>
      <c r="K17" s="76" t="str">
        <f t="shared" si="0"/>
        <v/>
      </c>
    </row>
    <row r="18" spans="1:11" ht="18.600000000000001" customHeight="1">
      <c r="A18" s="133"/>
      <c r="B18" s="134"/>
      <c r="C18" s="135"/>
      <c r="D18" s="136"/>
      <c r="E18" s="104">
        <f>D18*Stammdaten!L2</f>
        <v>0</v>
      </c>
      <c r="F18" s="105" t="str">
        <f t="shared" si="1"/>
        <v/>
      </c>
      <c r="G18" s="145"/>
      <c r="H18" s="78">
        <f>G18*Stammdaten!L2</f>
        <v>0</v>
      </c>
      <c r="I18" s="77" t="str">
        <f t="shared" si="2"/>
        <v/>
      </c>
      <c r="J18" s="137"/>
      <c r="K18" s="76" t="str">
        <f t="shared" si="0"/>
        <v/>
      </c>
    </row>
    <row r="19" spans="1:11" ht="18.600000000000001" customHeight="1">
      <c r="A19" s="133"/>
      <c r="B19" s="134"/>
      <c r="C19" s="135"/>
      <c r="D19" s="137"/>
      <c r="E19" s="104">
        <f>D19*Stammdaten!L2</f>
        <v>0</v>
      </c>
      <c r="F19" s="105" t="str">
        <f t="shared" si="1"/>
        <v/>
      </c>
      <c r="G19" s="145"/>
      <c r="H19" s="78">
        <f>G19*Stammdaten!L2</f>
        <v>0</v>
      </c>
      <c r="I19" s="77" t="str">
        <f t="shared" si="2"/>
        <v/>
      </c>
      <c r="J19" s="137"/>
      <c r="K19" s="76" t="str">
        <f t="shared" si="0"/>
        <v/>
      </c>
    </row>
    <row r="20" spans="1:11" ht="18.600000000000001" customHeight="1">
      <c r="A20" s="133"/>
      <c r="B20" s="134"/>
      <c r="C20" s="135"/>
      <c r="D20" s="137"/>
      <c r="E20" s="104">
        <f>D20*Stammdaten!L2</f>
        <v>0</v>
      </c>
      <c r="F20" s="105" t="str">
        <f t="shared" si="1"/>
        <v/>
      </c>
      <c r="G20" s="145"/>
      <c r="H20" s="78">
        <f>G20*Stammdaten!L2</f>
        <v>0</v>
      </c>
      <c r="I20" s="77" t="str">
        <f t="shared" si="2"/>
        <v/>
      </c>
      <c r="J20" s="137"/>
      <c r="K20" s="76" t="str">
        <f t="shared" si="0"/>
        <v/>
      </c>
    </row>
    <row r="21" spans="1:11" ht="18.600000000000001" customHeight="1">
      <c r="A21" s="133"/>
      <c r="B21" s="134"/>
      <c r="C21" s="135"/>
      <c r="D21" s="137"/>
      <c r="E21" s="104">
        <f>D21*Stammdaten!L2</f>
        <v>0</v>
      </c>
      <c r="F21" s="105" t="str">
        <f t="shared" si="1"/>
        <v/>
      </c>
      <c r="G21" s="145"/>
      <c r="H21" s="78">
        <f>G21*Stammdaten!L2</f>
        <v>0</v>
      </c>
      <c r="I21" s="77" t="str">
        <f t="shared" si="2"/>
        <v/>
      </c>
      <c r="J21" s="137"/>
      <c r="K21" s="76" t="str">
        <f t="shared" si="0"/>
        <v/>
      </c>
    </row>
    <row r="22" spans="1:11" ht="18.600000000000001" customHeight="1">
      <c r="A22" s="133"/>
      <c r="B22" s="134"/>
      <c r="C22" s="135"/>
      <c r="D22" s="137"/>
      <c r="E22" s="104">
        <f>D22*Stammdaten!L2</f>
        <v>0</v>
      </c>
      <c r="F22" s="105" t="str">
        <f t="shared" si="1"/>
        <v/>
      </c>
      <c r="G22" s="145"/>
      <c r="H22" s="78">
        <f>G22*Stammdaten!L2</f>
        <v>0</v>
      </c>
      <c r="I22" s="77" t="str">
        <f t="shared" si="2"/>
        <v/>
      </c>
      <c r="J22" s="137"/>
      <c r="K22" s="76" t="str">
        <f t="shared" si="0"/>
        <v/>
      </c>
    </row>
    <row r="23" spans="1:11" ht="18.600000000000001" customHeight="1">
      <c r="A23" s="133"/>
      <c r="B23" s="134"/>
      <c r="C23" s="135"/>
      <c r="D23" s="137"/>
      <c r="E23" s="104">
        <f>D23*Stammdaten!L2</f>
        <v>0</v>
      </c>
      <c r="F23" s="105" t="str">
        <f t="shared" si="1"/>
        <v/>
      </c>
      <c r="G23" s="145"/>
      <c r="H23" s="78">
        <f>G23*Stammdaten!L2</f>
        <v>0</v>
      </c>
      <c r="I23" s="77" t="str">
        <f t="shared" si="2"/>
        <v/>
      </c>
      <c r="J23" s="137"/>
      <c r="K23" s="76" t="str">
        <f t="shared" si="0"/>
        <v/>
      </c>
    </row>
    <row r="24" spans="1:11" ht="18.600000000000001" customHeight="1">
      <c r="A24" s="133"/>
      <c r="B24" s="134"/>
      <c r="C24" s="135"/>
      <c r="D24" s="137"/>
      <c r="E24" s="104">
        <f>D24*Stammdaten!L2</f>
        <v>0</v>
      </c>
      <c r="F24" s="105" t="str">
        <f t="shared" si="1"/>
        <v/>
      </c>
      <c r="G24" s="145"/>
      <c r="H24" s="78">
        <f>G24*Stammdaten!L2</f>
        <v>0</v>
      </c>
      <c r="I24" s="77" t="str">
        <f t="shared" si="2"/>
        <v/>
      </c>
      <c r="J24" s="137"/>
      <c r="K24" s="76" t="str">
        <f t="shared" si="0"/>
        <v/>
      </c>
    </row>
    <row r="25" spans="1:11" ht="18.600000000000001" customHeight="1">
      <c r="A25" s="133"/>
      <c r="B25" s="134"/>
      <c r="C25" s="135"/>
      <c r="D25" s="137"/>
      <c r="E25" s="104">
        <f>D25*Stammdaten!L2</f>
        <v>0</v>
      </c>
      <c r="F25" s="105" t="str">
        <f t="shared" si="1"/>
        <v/>
      </c>
      <c r="G25" s="145"/>
      <c r="H25" s="78">
        <f>G25*Stammdaten!L2</f>
        <v>0</v>
      </c>
      <c r="I25" s="77" t="str">
        <f t="shared" si="2"/>
        <v/>
      </c>
      <c r="J25" s="137"/>
      <c r="K25" s="76" t="str">
        <f t="shared" si="0"/>
        <v/>
      </c>
    </row>
    <row r="26" spans="1:11" ht="18.600000000000001" customHeight="1">
      <c r="A26" s="133"/>
      <c r="B26" s="134"/>
      <c r="C26" s="135"/>
      <c r="D26" s="137"/>
      <c r="E26" s="104">
        <f>D26*Stammdaten!L2</f>
        <v>0</v>
      </c>
      <c r="F26" s="105" t="str">
        <f t="shared" si="1"/>
        <v/>
      </c>
      <c r="G26" s="145"/>
      <c r="H26" s="78">
        <f>G26*Stammdaten!L2</f>
        <v>0</v>
      </c>
      <c r="I26" s="77" t="str">
        <f t="shared" si="2"/>
        <v/>
      </c>
      <c r="J26" s="137"/>
      <c r="K26" s="76" t="str">
        <f t="shared" si="0"/>
        <v/>
      </c>
    </row>
    <row r="27" spans="1:11" ht="18.600000000000001" customHeight="1">
      <c r="A27" s="133"/>
      <c r="B27" s="134"/>
      <c r="C27" s="135"/>
      <c r="D27" s="137"/>
      <c r="E27" s="104">
        <f>D27*Stammdaten!L2</f>
        <v>0</v>
      </c>
      <c r="F27" s="105" t="str">
        <f t="shared" si="1"/>
        <v/>
      </c>
      <c r="G27" s="145"/>
      <c r="H27" s="78">
        <f>G27*Stammdaten!L2</f>
        <v>0</v>
      </c>
      <c r="I27" s="77" t="str">
        <f t="shared" si="2"/>
        <v/>
      </c>
      <c r="J27" s="137"/>
      <c r="K27" s="76" t="str">
        <f t="shared" si="0"/>
        <v/>
      </c>
    </row>
    <row r="28" spans="1:11" ht="18.600000000000001" customHeight="1">
      <c r="A28" s="133"/>
      <c r="B28" s="134"/>
      <c r="C28" s="135"/>
      <c r="D28" s="137"/>
      <c r="E28" s="104">
        <f>D28*Stammdaten!L2</f>
        <v>0</v>
      </c>
      <c r="F28" s="105" t="str">
        <f t="shared" si="1"/>
        <v/>
      </c>
      <c r="G28" s="145"/>
      <c r="H28" s="78">
        <f>G28*Stammdaten!L2</f>
        <v>0</v>
      </c>
      <c r="I28" s="77" t="str">
        <f t="shared" si="2"/>
        <v/>
      </c>
      <c r="J28" s="137"/>
      <c r="K28" s="76" t="str">
        <f t="shared" si="0"/>
        <v/>
      </c>
    </row>
    <row r="29" spans="1:11" ht="18.600000000000001" customHeight="1">
      <c r="A29" s="133"/>
      <c r="B29" s="134"/>
      <c r="C29" s="135"/>
      <c r="D29" s="137"/>
      <c r="E29" s="104">
        <f>D29*Stammdaten!L2</f>
        <v>0</v>
      </c>
      <c r="F29" s="105" t="str">
        <f t="shared" si="1"/>
        <v/>
      </c>
      <c r="G29" s="145"/>
      <c r="H29" s="78">
        <f>G29*Stammdaten!L2</f>
        <v>0</v>
      </c>
      <c r="I29" s="77" t="str">
        <f t="shared" si="2"/>
        <v/>
      </c>
      <c r="J29" s="137"/>
      <c r="K29" s="76" t="str">
        <f t="shared" si="0"/>
        <v/>
      </c>
    </row>
    <row r="30" spans="1:11" ht="18.600000000000001" customHeight="1">
      <c r="A30" s="133"/>
      <c r="B30" s="134"/>
      <c r="C30" s="135"/>
      <c r="D30" s="137"/>
      <c r="E30" s="104">
        <f>D30*Stammdaten!L2</f>
        <v>0</v>
      </c>
      <c r="F30" s="105" t="str">
        <f t="shared" si="1"/>
        <v/>
      </c>
      <c r="G30" s="145"/>
      <c r="H30" s="78">
        <f>G30*Stammdaten!L2</f>
        <v>0</v>
      </c>
      <c r="I30" s="77" t="str">
        <f t="shared" si="2"/>
        <v/>
      </c>
      <c r="J30" s="137"/>
      <c r="K30" s="76" t="str">
        <f t="shared" si="0"/>
        <v/>
      </c>
    </row>
    <row r="31" spans="1:11" ht="18.600000000000001" customHeight="1">
      <c r="A31" s="133"/>
      <c r="B31" s="134"/>
      <c r="C31" s="135"/>
      <c r="D31" s="137"/>
      <c r="E31" s="104">
        <f>D31*Stammdaten!L2</f>
        <v>0</v>
      </c>
      <c r="F31" s="105" t="str">
        <f t="shared" si="1"/>
        <v/>
      </c>
      <c r="G31" s="145"/>
      <c r="H31" s="78">
        <f>G31*Stammdaten!L2</f>
        <v>0</v>
      </c>
      <c r="I31" s="77" t="str">
        <f t="shared" si="2"/>
        <v/>
      </c>
      <c r="J31" s="137"/>
      <c r="K31" s="76" t="str">
        <f t="shared" si="0"/>
        <v/>
      </c>
    </row>
    <row r="32" spans="1:11" ht="18.600000000000001" customHeight="1">
      <c r="A32" s="133"/>
      <c r="B32" s="134"/>
      <c r="C32" s="135"/>
      <c r="D32" s="137"/>
      <c r="E32" s="104">
        <f>D32*Stammdaten!L2</f>
        <v>0</v>
      </c>
      <c r="F32" s="105" t="str">
        <f t="shared" si="1"/>
        <v/>
      </c>
      <c r="G32" s="145"/>
      <c r="H32" s="78">
        <f>G32*Stammdaten!L2</f>
        <v>0</v>
      </c>
      <c r="I32" s="77" t="str">
        <f t="shared" si="2"/>
        <v/>
      </c>
      <c r="J32" s="137"/>
      <c r="K32" s="76" t="str">
        <f t="shared" si="0"/>
        <v/>
      </c>
    </row>
    <row r="33" spans="1:11" ht="18.600000000000001" customHeight="1">
      <c r="A33" s="133"/>
      <c r="B33" s="134"/>
      <c r="C33" s="135"/>
      <c r="D33" s="137"/>
      <c r="E33" s="104">
        <f>D33*Stammdaten!L2</f>
        <v>0</v>
      </c>
      <c r="F33" s="105" t="str">
        <f t="shared" si="1"/>
        <v/>
      </c>
      <c r="G33" s="145"/>
      <c r="H33" s="78">
        <f>G33*Stammdaten!L2</f>
        <v>0</v>
      </c>
      <c r="I33" s="77" t="str">
        <f t="shared" si="2"/>
        <v/>
      </c>
      <c r="J33" s="137"/>
      <c r="K33" s="76" t="str">
        <f t="shared" si="0"/>
        <v/>
      </c>
    </row>
    <row r="34" spans="1:11" ht="18.600000000000001" customHeight="1">
      <c r="A34" s="133"/>
      <c r="B34" s="134"/>
      <c r="C34" s="135"/>
      <c r="D34" s="137"/>
      <c r="E34" s="104">
        <f>D34*Stammdaten!L2</f>
        <v>0</v>
      </c>
      <c r="F34" s="105" t="str">
        <f t="shared" si="1"/>
        <v/>
      </c>
      <c r="G34" s="145"/>
      <c r="H34" s="78">
        <f>G34*Stammdaten!L2</f>
        <v>0</v>
      </c>
      <c r="I34" s="77" t="str">
        <f t="shared" si="2"/>
        <v/>
      </c>
      <c r="J34" s="137"/>
      <c r="K34" s="76" t="str">
        <f t="shared" si="0"/>
        <v/>
      </c>
    </row>
    <row r="35" spans="1:11" ht="18.600000000000001" customHeight="1">
      <c r="A35" s="133"/>
      <c r="B35" s="134"/>
      <c r="C35" s="135"/>
      <c r="D35" s="137"/>
      <c r="E35" s="104">
        <f>D35*Stammdaten!L2</f>
        <v>0</v>
      </c>
      <c r="F35" s="105" t="str">
        <f t="shared" si="1"/>
        <v/>
      </c>
      <c r="G35" s="145"/>
      <c r="H35" s="78">
        <f>G35*Stammdaten!L2</f>
        <v>0</v>
      </c>
      <c r="I35" s="77" t="str">
        <f t="shared" si="2"/>
        <v/>
      </c>
      <c r="J35" s="137"/>
      <c r="K35" s="76" t="str">
        <f t="shared" si="0"/>
        <v/>
      </c>
    </row>
    <row r="36" spans="1:11" ht="18.600000000000001" customHeight="1">
      <c r="A36" s="133"/>
      <c r="B36" s="134"/>
      <c r="C36" s="135"/>
      <c r="D36" s="137"/>
      <c r="E36" s="104">
        <f>D36*Stammdaten!L2</f>
        <v>0</v>
      </c>
      <c r="F36" s="105" t="str">
        <f t="shared" si="1"/>
        <v/>
      </c>
      <c r="G36" s="145"/>
      <c r="H36" s="78">
        <f>G36*Stammdaten!L2</f>
        <v>0</v>
      </c>
      <c r="I36" s="77" t="str">
        <f t="shared" si="2"/>
        <v/>
      </c>
      <c r="J36" s="137"/>
      <c r="K36" s="76" t="str">
        <f t="shared" si="0"/>
        <v/>
      </c>
    </row>
    <row r="37" spans="1:11" ht="18.600000000000001" customHeight="1">
      <c r="A37" s="133"/>
      <c r="B37" s="134"/>
      <c r="C37" s="135"/>
      <c r="D37" s="137"/>
      <c r="E37" s="104">
        <f>D37*Stammdaten!L2</f>
        <v>0</v>
      </c>
      <c r="F37" s="105" t="str">
        <f t="shared" si="1"/>
        <v/>
      </c>
      <c r="G37" s="145"/>
      <c r="H37" s="78">
        <f>G37*Stammdaten!L2</f>
        <v>0</v>
      </c>
      <c r="I37" s="77" t="str">
        <f t="shared" si="2"/>
        <v/>
      </c>
      <c r="J37" s="137"/>
      <c r="K37" s="76" t="str">
        <f t="shared" si="0"/>
        <v/>
      </c>
    </row>
    <row r="38" spans="1:11" ht="18.600000000000001" customHeight="1">
      <c r="A38" s="133"/>
      <c r="B38" s="134"/>
      <c r="C38" s="135"/>
      <c r="D38" s="137"/>
      <c r="E38" s="104">
        <f>D38*Stammdaten!L2</f>
        <v>0</v>
      </c>
      <c r="F38" s="105" t="str">
        <f t="shared" si="1"/>
        <v/>
      </c>
      <c r="G38" s="145"/>
      <c r="H38" s="78">
        <f>G38*Stammdaten!L2</f>
        <v>0</v>
      </c>
      <c r="I38" s="77" t="str">
        <f t="shared" si="2"/>
        <v/>
      </c>
      <c r="J38" s="137"/>
      <c r="K38" s="76" t="str">
        <f t="shared" si="0"/>
        <v/>
      </c>
    </row>
    <row r="39" spans="1:11" ht="18.600000000000001" customHeight="1">
      <c r="A39" s="133"/>
      <c r="B39" s="134"/>
      <c r="C39" s="135"/>
      <c r="D39" s="137"/>
      <c r="E39" s="104">
        <f>D39*Stammdaten!L2</f>
        <v>0</v>
      </c>
      <c r="F39" s="105" t="str">
        <f t="shared" si="1"/>
        <v/>
      </c>
      <c r="G39" s="145"/>
      <c r="H39" s="78">
        <f>G39*Stammdaten!L2</f>
        <v>0</v>
      </c>
      <c r="I39" s="77" t="str">
        <f t="shared" si="2"/>
        <v/>
      </c>
      <c r="J39" s="137"/>
      <c r="K39" s="76" t="str">
        <f t="shared" si="0"/>
        <v/>
      </c>
    </row>
    <row r="40" spans="1:11" ht="18.600000000000001" customHeight="1">
      <c r="A40" s="133"/>
      <c r="B40" s="134"/>
      <c r="C40" s="135"/>
      <c r="D40" s="137"/>
      <c r="E40" s="104">
        <f>D40*Stammdaten!L2</f>
        <v>0</v>
      </c>
      <c r="F40" s="105" t="str">
        <f t="shared" si="1"/>
        <v/>
      </c>
      <c r="G40" s="145"/>
      <c r="H40" s="78">
        <f>G40*Stammdaten!L2</f>
        <v>0</v>
      </c>
      <c r="I40" s="77" t="str">
        <f t="shared" si="2"/>
        <v/>
      </c>
      <c r="J40" s="137"/>
      <c r="K40" s="76" t="str">
        <f t="shared" si="0"/>
        <v/>
      </c>
    </row>
    <row r="41" spans="1:11" ht="18.600000000000001" customHeight="1">
      <c r="A41" s="133"/>
      <c r="B41" s="134"/>
      <c r="C41" s="135"/>
      <c r="D41" s="137"/>
      <c r="E41" s="104">
        <f>D41*Stammdaten!L2</f>
        <v>0</v>
      </c>
      <c r="F41" s="105" t="str">
        <f t="shared" si="1"/>
        <v/>
      </c>
      <c r="G41" s="145"/>
      <c r="H41" s="78">
        <f>G41*Stammdaten!L2</f>
        <v>0</v>
      </c>
      <c r="I41" s="77" t="str">
        <f t="shared" si="2"/>
        <v/>
      </c>
      <c r="J41" s="137"/>
      <c r="K41" s="76" t="str">
        <f t="shared" si="0"/>
        <v/>
      </c>
    </row>
    <row r="42" spans="1:11" ht="18.600000000000001" customHeight="1">
      <c r="A42" s="133"/>
      <c r="B42" s="134"/>
      <c r="C42" s="135"/>
      <c r="D42" s="137"/>
      <c r="E42" s="104">
        <f>D42*Stammdaten!L2</f>
        <v>0</v>
      </c>
      <c r="F42" s="105" t="str">
        <f t="shared" si="1"/>
        <v/>
      </c>
      <c r="G42" s="145"/>
      <c r="H42" s="78">
        <f>G42*Stammdaten!L2</f>
        <v>0</v>
      </c>
      <c r="I42" s="77" t="str">
        <f t="shared" si="2"/>
        <v/>
      </c>
      <c r="J42" s="137"/>
      <c r="K42" s="76" t="str">
        <f t="shared" si="0"/>
        <v/>
      </c>
    </row>
    <row r="43" spans="1:11" ht="18.600000000000001" customHeight="1">
      <c r="A43" s="133"/>
      <c r="B43" s="134"/>
      <c r="C43" s="135"/>
      <c r="D43" s="137"/>
      <c r="E43" s="104">
        <f>D43*Stammdaten!L2</f>
        <v>0</v>
      </c>
      <c r="F43" s="105" t="str">
        <f t="shared" si="1"/>
        <v/>
      </c>
      <c r="G43" s="145"/>
      <c r="H43" s="78">
        <f>G43*Stammdaten!L2</f>
        <v>0</v>
      </c>
      <c r="I43" s="77" t="str">
        <f t="shared" si="2"/>
        <v/>
      </c>
      <c r="J43" s="137"/>
      <c r="K43" s="76" t="str">
        <f t="shared" si="0"/>
        <v/>
      </c>
    </row>
    <row r="44" spans="1:11" ht="18.600000000000001" customHeight="1">
      <c r="A44" s="133"/>
      <c r="B44" s="134"/>
      <c r="C44" s="135"/>
      <c r="D44" s="137"/>
      <c r="E44" s="104">
        <f>D44*Stammdaten!L2</f>
        <v>0</v>
      </c>
      <c r="F44" s="105" t="str">
        <f t="shared" si="1"/>
        <v/>
      </c>
      <c r="G44" s="145"/>
      <c r="H44" s="78">
        <f>G44*Stammdaten!L2</f>
        <v>0</v>
      </c>
      <c r="I44" s="77" t="str">
        <f t="shared" si="2"/>
        <v/>
      </c>
      <c r="J44" s="137"/>
      <c r="K44" s="76" t="str">
        <f t="shared" si="0"/>
        <v/>
      </c>
    </row>
    <row r="45" spans="1:11" ht="18.600000000000001" customHeight="1">
      <c r="A45" s="133"/>
      <c r="B45" s="134"/>
      <c r="C45" s="135"/>
      <c r="D45" s="137"/>
      <c r="E45" s="104">
        <f>D45*Stammdaten!L2</f>
        <v>0</v>
      </c>
      <c r="F45" s="105" t="str">
        <f t="shared" si="1"/>
        <v/>
      </c>
      <c r="G45" s="145"/>
      <c r="H45" s="78">
        <f>G45*Stammdaten!L2</f>
        <v>0</v>
      </c>
      <c r="I45" s="77" t="str">
        <f t="shared" si="2"/>
        <v/>
      </c>
      <c r="J45" s="137"/>
      <c r="K45" s="76" t="str">
        <f t="shared" si="0"/>
        <v/>
      </c>
    </row>
    <row r="46" spans="1:11" ht="18.600000000000001" customHeight="1">
      <c r="A46" s="133"/>
      <c r="B46" s="134"/>
      <c r="C46" s="135"/>
      <c r="D46" s="137"/>
      <c r="E46" s="104">
        <f>D46*Stammdaten!L2</f>
        <v>0</v>
      </c>
      <c r="F46" s="105" t="str">
        <f t="shared" si="1"/>
        <v/>
      </c>
      <c r="G46" s="145"/>
      <c r="H46" s="78">
        <f>G46*Stammdaten!L2</f>
        <v>0</v>
      </c>
      <c r="I46" s="77" t="str">
        <f t="shared" si="2"/>
        <v/>
      </c>
      <c r="J46" s="137"/>
      <c r="K46" s="76" t="str">
        <f t="shared" si="0"/>
        <v/>
      </c>
    </row>
    <row r="47" spans="1:11" ht="18.600000000000001" customHeight="1">
      <c r="A47" s="133"/>
      <c r="B47" s="134"/>
      <c r="C47" s="135"/>
      <c r="D47" s="137"/>
      <c r="E47" s="104">
        <f>D47*Stammdaten!L2</f>
        <v>0</v>
      </c>
      <c r="F47" s="105" t="str">
        <f t="shared" si="1"/>
        <v/>
      </c>
      <c r="G47" s="145"/>
      <c r="H47" s="78">
        <f>G47*Stammdaten!L2</f>
        <v>0</v>
      </c>
      <c r="I47" s="77" t="str">
        <f t="shared" si="2"/>
        <v/>
      </c>
      <c r="J47" s="137"/>
      <c r="K47" s="76" t="str">
        <f t="shared" si="0"/>
        <v/>
      </c>
    </row>
    <row r="48" spans="1:11" ht="18.600000000000001" customHeight="1">
      <c r="A48" s="133"/>
      <c r="B48" s="134"/>
      <c r="C48" s="135"/>
      <c r="D48" s="137"/>
      <c r="E48" s="104">
        <f>D48*Stammdaten!L2</f>
        <v>0</v>
      </c>
      <c r="F48" s="105" t="str">
        <f t="shared" si="1"/>
        <v/>
      </c>
      <c r="G48" s="145"/>
      <c r="H48" s="78">
        <f>G48*Stammdaten!L2</f>
        <v>0</v>
      </c>
      <c r="I48" s="77" t="str">
        <f t="shared" si="2"/>
        <v/>
      </c>
      <c r="J48" s="137"/>
      <c r="K48" s="76" t="str">
        <f t="shared" si="0"/>
        <v/>
      </c>
    </row>
    <row r="49" spans="1:11" ht="18.600000000000001" customHeight="1">
      <c r="A49" s="133"/>
      <c r="B49" s="134"/>
      <c r="C49" s="135"/>
      <c r="D49" s="137"/>
      <c r="E49" s="104">
        <f>D49*Stammdaten!L2</f>
        <v>0</v>
      </c>
      <c r="F49" s="105" t="str">
        <f t="shared" si="1"/>
        <v/>
      </c>
      <c r="G49" s="145"/>
      <c r="H49" s="78">
        <f>G49*Stammdaten!L2</f>
        <v>0</v>
      </c>
      <c r="I49" s="77" t="str">
        <f t="shared" si="2"/>
        <v/>
      </c>
      <c r="J49" s="137"/>
      <c r="K49" s="76" t="str">
        <f t="shared" si="0"/>
        <v/>
      </c>
    </row>
    <row r="50" spans="1:11" ht="18.600000000000001" customHeight="1">
      <c r="A50" s="133"/>
      <c r="B50" s="134"/>
      <c r="C50" s="135"/>
      <c r="D50" s="137"/>
      <c r="E50" s="104">
        <f>D50*Stammdaten!L2</f>
        <v>0</v>
      </c>
      <c r="F50" s="105" t="str">
        <f t="shared" si="1"/>
        <v/>
      </c>
      <c r="G50" s="145"/>
      <c r="H50" s="78">
        <f>G50*Stammdaten!L2</f>
        <v>0</v>
      </c>
      <c r="I50" s="77" t="str">
        <f t="shared" si="2"/>
        <v/>
      </c>
      <c r="J50" s="137"/>
      <c r="K50" s="76" t="str">
        <f t="shared" si="0"/>
        <v/>
      </c>
    </row>
    <row r="51" spans="1:11" ht="18.600000000000001" customHeight="1">
      <c r="A51" s="133"/>
      <c r="B51" s="134"/>
      <c r="C51" s="135"/>
      <c r="D51" s="137"/>
      <c r="E51" s="104">
        <f>D51*Stammdaten!L2</f>
        <v>0</v>
      </c>
      <c r="F51" s="105" t="str">
        <f t="shared" si="1"/>
        <v/>
      </c>
      <c r="G51" s="145"/>
      <c r="H51" s="78">
        <f>G51*Stammdaten!L2</f>
        <v>0</v>
      </c>
      <c r="I51" s="77" t="str">
        <f t="shared" si="2"/>
        <v/>
      </c>
      <c r="J51" s="137"/>
      <c r="K51" s="76" t="str">
        <f t="shared" si="0"/>
        <v/>
      </c>
    </row>
    <row r="52" spans="1:11" ht="18.600000000000001" customHeight="1">
      <c r="A52" s="133"/>
      <c r="B52" s="134"/>
      <c r="C52" s="135"/>
      <c r="D52" s="137"/>
      <c r="E52" s="104">
        <f>D52*Stammdaten!L2</f>
        <v>0</v>
      </c>
      <c r="F52" s="105" t="str">
        <f t="shared" si="1"/>
        <v/>
      </c>
      <c r="G52" s="145"/>
      <c r="H52" s="78">
        <f>G52*Stammdaten!L2</f>
        <v>0</v>
      </c>
      <c r="I52" s="77" t="str">
        <f t="shared" si="2"/>
        <v/>
      </c>
      <c r="J52" s="137"/>
      <c r="K52" s="76" t="str">
        <f t="shared" si="0"/>
        <v/>
      </c>
    </row>
    <row r="53" spans="1:11" ht="18.600000000000001" customHeight="1">
      <c r="A53" s="133"/>
      <c r="B53" s="134"/>
      <c r="C53" s="135"/>
      <c r="D53" s="137"/>
      <c r="E53" s="104">
        <f>D53*Stammdaten!L2</f>
        <v>0</v>
      </c>
      <c r="F53" s="105" t="str">
        <f t="shared" si="1"/>
        <v/>
      </c>
      <c r="G53" s="145"/>
      <c r="H53" s="78">
        <f>G53*Stammdaten!L2</f>
        <v>0</v>
      </c>
      <c r="I53" s="77" t="str">
        <f t="shared" si="2"/>
        <v/>
      </c>
      <c r="J53" s="137"/>
      <c r="K53" s="76" t="str">
        <f t="shared" si="0"/>
        <v/>
      </c>
    </row>
    <row r="54" spans="1:11" ht="18.600000000000001" customHeight="1">
      <c r="A54" s="133"/>
      <c r="B54" s="134"/>
      <c r="C54" s="135"/>
      <c r="D54" s="137"/>
      <c r="E54" s="104">
        <f>D54*Stammdaten!L2</f>
        <v>0</v>
      </c>
      <c r="F54" s="105" t="str">
        <f t="shared" si="1"/>
        <v/>
      </c>
      <c r="G54" s="145"/>
      <c r="H54" s="78">
        <f>G54*Stammdaten!L2</f>
        <v>0</v>
      </c>
      <c r="I54" s="77" t="str">
        <f t="shared" si="2"/>
        <v/>
      </c>
      <c r="J54" s="137"/>
      <c r="K54" s="76" t="str">
        <f t="shared" si="0"/>
        <v/>
      </c>
    </row>
    <row r="55" spans="1:11" ht="18.600000000000001" customHeight="1">
      <c r="A55" s="133"/>
      <c r="B55" s="134"/>
      <c r="C55" s="135"/>
      <c r="D55" s="137"/>
      <c r="E55" s="104">
        <f>D55*Stammdaten!L2</f>
        <v>0</v>
      </c>
      <c r="F55" s="105" t="str">
        <f t="shared" si="1"/>
        <v/>
      </c>
      <c r="G55" s="145"/>
      <c r="H55" s="78">
        <f>G55*Stammdaten!L2</f>
        <v>0</v>
      </c>
      <c r="I55" s="77" t="str">
        <f t="shared" si="2"/>
        <v/>
      </c>
      <c r="J55" s="137"/>
      <c r="K55" s="76" t="str">
        <f t="shared" si="0"/>
        <v/>
      </c>
    </row>
    <row r="56" spans="1:11" ht="18.600000000000001" customHeight="1">
      <c r="A56" s="133"/>
      <c r="B56" s="134"/>
      <c r="C56" s="135"/>
      <c r="D56" s="137"/>
      <c r="E56" s="104">
        <f>D56*Stammdaten!L2</f>
        <v>0</v>
      </c>
      <c r="F56" s="105" t="str">
        <f t="shared" si="1"/>
        <v/>
      </c>
      <c r="G56" s="145"/>
      <c r="H56" s="78">
        <f>G56*Stammdaten!L2</f>
        <v>0</v>
      </c>
      <c r="I56" s="77" t="str">
        <f t="shared" si="2"/>
        <v/>
      </c>
      <c r="J56" s="137"/>
      <c r="K56" s="76" t="str">
        <f t="shared" si="0"/>
        <v/>
      </c>
    </row>
    <row r="57" spans="1:11" ht="18.600000000000001" customHeight="1">
      <c r="A57" s="133"/>
      <c r="B57" s="134"/>
      <c r="C57" s="135"/>
      <c r="D57" s="137"/>
      <c r="E57" s="104">
        <f>D57*Stammdaten!L2</f>
        <v>0</v>
      </c>
      <c r="F57" s="105" t="str">
        <f t="shared" si="1"/>
        <v/>
      </c>
      <c r="G57" s="145"/>
      <c r="H57" s="78">
        <f>G57*Stammdaten!L2</f>
        <v>0</v>
      </c>
      <c r="I57" s="77" t="str">
        <f t="shared" si="2"/>
        <v/>
      </c>
      <c r="J57" s="137"/>
      <c r="K57" s="76" t="str">
        <f t="shared" si="0"/>
        <v/>
      </c>
    </row>
    <row r="58" spans="1:11" ht="18.600000000000001" customHeight="1">
      <c r="A58" s="133"/>
      <c r="B58" s="134"/>
      <c r="C58" s="135"/>
      <c r="D58" s="137"/>
      <c r="E58" s="104">
        <f>D58*Stammdaten!L2</f>
        <v>0</v>
      </c>
      <c r="F58" s="105" t="str">
        <f t="shared" si="1"/>
        <v/>
      </c>
      <c r="G58" s="145"/>
      <c r="H58" s="78">
        <f>G58*Stammdaten!L2</f>
        <v>0</v>
      </c>
      <c r="I58" s="77" t="str">
        <f t="shared" si="2"/>
        <v/>
      </c>
      <c r="J58" s="137"/>
      <c r="K58" s="76" t="str">
        <f t="shared" si="0"/>
        <v/>
      </c>
    </row>
    <row r="59" spans="1:11" ht="18.600000000000001" customHeight="1">
      <c r="A59" s="133"/>
      <c r="B59" s="134"/>
      <c r="C59" s="135"/>
      <c r="D59" s="137"/>
      <c r="E59" s="104">
        <f>D59*Stammdaten!L2</f>
        <v>0</v>
      </c>
      <c r="F59" s="105" t="str">
        <f t="shared" si="1"/>
        <v/>
      </c>
      <c r="G59" s="145"/>
      <c r="H59" s="78">
        <f>G59*Stammdaten!L2</f>
        <v>0</v>
      </c>
      <c r="I59" s="77" t="str">
        <f t="shared" si="2"/>
        <v/>
      </c>
      <c r="J59" s="137"/>
      <c r="K59" s="76" t="str">
        <f t="shared" si="0"/>
        <v/>
      </c>
    </row>
    <row r="60" spans="1:11" ht="18.600000000000001" customHeight="1">
      <c r="A60" s="133"/>
      <c r="B60" s="134"/>
      <c r="C60" s="135"/>
      <c r="D60" s="137"/>
      <c r="E60" s="104">
        <f>D60*Stammdaten!L2</f>
        <v>0</v>
      </c>
      <c r="F60" s="105" t="str">
        <f t="shared" si="1"/>
        <v/>
      </c>
      <c r="G60" s="145"/>
      <c r="H60" s="78">
        <f>G60*Stammdaten!L2</f>
        <v>0</v>
      </c>
      <c r="I60" s="77" t="str">
        <f t="shared" si="2"/>
        <v/>
      </c>
      <c r="J60" s="137"/>
      <c r="K60" s="76" t="str">
        <f t="shared" si="0"/>
        <v/>
      </c>
    </row>
    <row r="61" spans="1:11" ht="18.600000000000001" customHeight="1">
      <c r="A61" s="133"/>
      <c r="B61" s="134"/>
      <c r="C61" s="135"/>
      <c r="D61" s="137"/>
      <c r="E61" s="104">
        <f>D61*Stammdaten!L2</f>
        <v>0</v>
      </c>
      <c r="F61" s="105" t="str">
        <f t="shared" si="1"/>
        <v/>
      </c>
      <c r="G61" s="145"/>
      <c r="H61" s="78">
        <f>G61*Stammdaten!L2</f>
        <v>0</v>
      </c>
      <c r="I61" s="77" t="str">
        <f t="shared" si="2"/>
        <v/>
      </c>
      <c r="J61" s="137"/>
      <c r="K61" s="76" t="str">
        <f t="shared" si="0"/>
        <v/>
      </c>
    </row>
    <row r="62" spans="1:11" ht="18.600000000000001" customHeight="1">
      <c r="A62" s="133"/>
      <c r="B62" s="134"/>
      <c r="C62" s="135"/>
      <c r="D62" s="137"/>
      <c r="E62" s="104">
        <f>D62*Stammdaten!L2</f>
        <v>0</v>
      </c>
      <c r="F62" s="105" t="str">
        <f t="shared" si="1"/>
        <v/>
      </c>
      <c r="G62" s="145"/>
      <c r="H62" s="78">
        <f>G62*Stammdaten!L2</f>
        <v>0</v>
      </c>
      <c r="I62" s="77" t="str">
        <f t="shared" si="2"/>
        <v/>
      </c>
      <c r="J62" s="137"/>
      <c r="K62" s="76" t="str">
        <f t="shared" si="0"/>
        <v/>
      </c>
    </row>
    <row r="63" spans="1:11" ht="18.600000000000001" customHeight="1">
      <c r="A63" s="133"/>
      <c r="B63" s="134"/>
      <c r="C63" s="135"/>
      <c r="D63" s="137"/>
      <c r="E63" s="104">
        <f>D63*Stammdaten!L2</f>
        <v>0</v>
      </c>
      <c r="F63" s="105" t="str">
        <f t="shared" si="1"/>
        <v/>
      </c>
      <c r="G63" s="145"/>
      <c r="H63" s="78">
        <f>G63*Stammdaten!L2</f>
        <v>0</v>
      </c>
      <c r="I63" s="77" t="str">
        <f t="shared" si="2"/>
        <v/>
      </c>
      <c r="J63" s="137"/>
      <c r="K63" s="76" t="str">
        <f t="shared" si="0"/>
        <v/>
      </c>
    </row>
    <row r="64" spans="1:11" ht="18.600000000000001" customHeight="1">
      <c r="A64" s="133"/>
      <c r="B64" s="134"/>
      <c r="C64" s="135"/>
      <c r="D64" s="137"/>
      <c r="E64" s="104">
        <f>D64*Stammdaten!L2</f>
        <v>0</v>
      </c>
      <c r="F64" s="105" t="str">
        <f t="shared" si="1"/>
        <v/>
      </c>
      <c r="G64" s="145"/>
      <c r="H64" s="78">
        <f>G64*Stammdaten!L2</f>
        <v>0</v>
      </c>
      <c r="I64" s="77" t="str">
        <f t="shared" si="2"/>
        <v/>
      </c>
      <c r="J64" s="137"/>
      <c r="K64" s="76" t="str">
        <f t="shared" si="0"/>
        <v/>
      </c>
    </row>
    <row r="65" spans="1:11" ht="18.600000000000001" customHeight="1">
      <c r="A65" s="133"/>
      <c r="B65" s="134"/>
      <c r="C65" s="135"/>
      <c r="D65" s="137"/>
      <c r="E65" s="104">
        <f>D65*Stammdaten!L2</f>
        <v>0</v>
      </c>
      <c r="F65" s="105" t="str">
        <f t="shared" si="1"/>
        <v/>
      </c>
      <c r="G65" s="145"/>
      <c r="H65" s="78">
        <f>G65*Stammdaten!L2</f>
        <v>0</v>
      </c>
      <c r="I65" s="77" t="str">
        <f t="shared" si="2"/>
        <v/>
      </c>
      <c r="J65" s="137"/>
      <c r="K65" s="76" t="str">
        <f t="shared" si="0"/>
        <v/>
      </c>
    </row>
    <row r="66" spans="1:11" ht="18.600000000000001" customHeight="1">
      <c r="A66" s="133"/>
      <c r="B66" s="134"/>
      <c r="C66" s="135"/>
      <c r="D66" s="137"/>
      <c r="E66" s="104">
        <f>D66*Stammdaten!L2</f>
        <v>0</v>
      </c>
      <c r="F66" s="105" t="str">
        <f t="shared" si="1"/>
        <v/>
      </c>
      <c r="G66" s="145"/>
      <c r="H66" s="78">
        <f>G66*Stammdaten!L2</f>
        <v>0</v>
      </c>
      <c r="I66" s="77" t="str">
        <f t="shared" si="2"/>
        <v/>
      </c>
      <c r="J66" s="137"/>
      <c r="K66" s="76" t="str">
        <f t="shared" si="0"/>
        <v/>
      </c>
    </row>
    <row r="67" spans="1:11" ht="18.600000000000001" customHeight="1">
      <c r="A67" s="133"/>
      <c r="B67" s="134"/>
      <c r="C67" s="135"/>
      <c r="D67" s="137"/>
      <c r="E67" s="104">
        <f>D67*Stammdaten!L2</f>
        <v>0</v>
      </c>
      <c r="F67" s="105" t="str">
        <f t="shared" si="1"/>
        <v/>
      </c>
      <c r="G67" s="145"/>
      <c r="H67" s="78">
        <f>G67*Stammdaten!L2</f>
        <v>0</v>
      </c>
      <c r="I67" s="77" t="str">
        <f t="shared" si="2"/>
        <v/>
      </c>
      <c r="J67" s="137"/>
      <c r="K67" s="76" t="str">
        <f t="shared" si="0"/>
        <v/>
      </c>
    </row>
    <row r="68" spans="1:11" ht="18.600000000000001" customHeight="1">
      <c r="A68" s="133"/>
      <c r="B68" s="134"/>
      <c r="C68" s="135"/>
      <c r="D68" s="137"/>
      <c r="E68" s="104">
        <f>D68*Stammdaten!L2</f>
        <v>0</v>
      </c>
      <c r="F68" s="105" t="str">
        <f t="shared" si="1"/>
        <v/>
      </c>
      <c r="G68" s="145"/>
      <c r="H68" s="78">
        <f>G68*Stammdaten!L2</f>
        <v>0</v>
      </c>
      <c r="I68" s="77" t="str">
        <f t="shared" si="2"/>
        <v/>
      </c>
      <c r="J68" s="137"/>
      <c r="K68" s="76" t="str">
        <f t="shared" si="0"/>
        <v/>
      </c>
    </row>
    <row r="69" spans="1:11" ht="18.600000000000001" customHeight="1">
      <c r="A69" s="133"/>
      <c r="B69" s="134"/>
      <c r="C69" s="135"/>
      <c r="D69" s="137"/>
      <c r="E69" s="104">
        <f>D69*Stammdaten!L2</f>
        <v>0</v>
      </c>
      <c r="F69" s="105" t="str">
        <f t="shared" si="1"/>
        <v/>
      </c>
      <c r="G69" s="145"/>
      <c r="H69" s="78">
        <f>G69*Stammdaten!L2</f>
        <v>0</v>
      </c>
      <c r="I69" s="77" t="str">
        <f t="shared" si="2"/>
        <v/>
      </c>
      <c r="J69" s="137"/>
      <c r="K69" s="76" t="str">
        <f t="shared" si="0"/>
        <v/>
      </c>
    </row>
    <row r="70" spans="1:11" ht="18.600000000000001" customHeight="1">
      <c r="A70" s="133"/>
      <c r="B70" s="134"/>
      <c r="C70" s="135"/>
      <c r="D70" s="137"/>
      <c r="E70" s="104">
        <f>D70*Stammdaten!L2</f>
        <v>0</v>
      </c>
      <c r="F70" s="105" t="str">
        <f t="shared" si="1"/>
        <v/>
      </c>
      <c r="G70" s="145"/>
      <c r="H70" s="78">
        <f>G70*Stammdaten!L2</f>
        <v>0</v>
      </c>
      <c r="I70" s="77" t="str">
        <f t="shared" si="2"/>
        <v/>
      </c>
      <c r="J70" s="137"/>
      <c r="K70" s="76" t="str">
        <f t="shared" si="0"/>
        <v/>
      </c>
    </row>
    <row r="71" spans="1:11" ht="18.600000000000001" customHeight="1">
      <c r="A71" s="133"/>
      <c r="B71" s="134"/>
      <c r="C71" s="135"/>
      <c r="D71" s="137"/>
      <c r="E71" s="104">
        <f>D71*Stammdaten!L2</f>
        <v>0</v>
      </c>
      <c r="F71" s="105" t="str">
        <f t="shared" si="1"/>
        <v/>
      </c>
      <c r="G71" s="145"/>
      <c r="H71" s="78">
        <f>G71*Stammdaten!L2</f>
        <v>0</v>
      </c>
      <c r="I71" s="77" t="str">
        <f t="shared" si="2"/>
        <v/>
      </c>
      <c r="J71" s="137"/>
      <c r="K71" s="76" t="str">
        <f t="shared" si="0"/>
        <v/>
      </c>
    </row>
    <row r="72" spans="1:11" ht="18.600000000000001" customHeight="1">
      <c r="A72" s="133"/>
      <c r="B72" s="134"/>
      <c r="C72" s="135"/>
      <c r="D72" s="137"/>
      <c r="E72" s="104">
        <f>D72*Stammdaten!L2</f>
        <v>0</v>
      </c>
      <c r="F72" s="105" t="str">
        <f t="shared" si="1"/>
        <v/>
      </c>
      <c r="G72" s="145"/>
      <c r="H72" s="78">
        <f>G72*Stammdaten!L2</f>
        <v>0</v>
      </c>
      <c r="I72" s="77" t="str">
        <f t="shared" si="2"/>
        <v/>
      </c>
      <c r="J72" s="137"/>
      <c r="K72" s="76" t="str">
        <f t="shared" si="0"/>
        <v/>
      </c>
    </row>
    <row r="73" spans="1:11" ht="18.600000000000001" customHeight="1">
      <c r="A73" s="133"/>
      <c r="B73" s="134"/>
      <c r="C73" s="135"/>
      <c r="D73" s="137"/>
      <c r="E73" s="104">
        <f>D73*Stammdaten!L2</f>
        <v>0</v>
      </c>
      <c r="F73" s="105" t="str">
        <f t="shared" si="1"/>
        <v/>
      </c>
      <c r="G73" s="145"/>
      <c r="H73" s="78">
        <f>G73*Stammdaten!L2</f>
        <v>0</v>
      </c>
      <c r="I73" s="77" t="str">
        <f t="shared" si="2"/>
        <v/>
      </c>
      <c r="J73" s="137"/>
      <c r="K73" s="76" t="str">
        <f t="shared" si="0"/>
        <v/>
      </c>
    </row>
    <row r="74" spans="1:11" ht="18.600000000000001" customHeight="1">
      <c r="A74" s="133"/>
      <c r="B74" s="134"/>
      <c r="C74" s="135"/>
      <c r="D74" s="137"/>
      <c r="E74" s="104">
        <f>D74*Stammdaten!L2</f>
        <v>0</v>
      </c>
      <c r="F74" s="105" t="str">
        <f t="shared" si="1"/>
        <v/>
      </c>
      <c r="G74" s="145"/>
      <c r="H74" s="78">
        <f>G74*Stammdaten!L2</f>
        <v>0</v>
      </c>
      <c r="I74" s="77" t="str">
        <f t="shared" si="2"/>
        <v/>
      </c>
      <c r="J74" s="137"/>
      <c r="K74" s="76" t="str">
        <f t="shared" si="0"/>
        <v/>
      </c>
    </row>
    <row r="75" spans="1:11" ht="18.600000000000001" customHeight="1">
      <c r="A75" s="133"/>
      <c r="B75" s="134"/>
      <c r="C75" s="135"/>
      <c r="D75" s="137"/>
      <c r="E75" s="104">
        <f>D75*Stammdaten!L2</f>
        <v>0</v>
      </c>
      <c r="F75" s="105" t="str">
        <f t="shared" si="1"/>
        <v/>
      </c>
      <c r="G75" s="145"/>
      <c r="H75" s="78">
        <f>G75*Stammdaten!L2</f>
        <v>0</v>
      </c>
      <c r="I75" s="77" t="str">
        <f t="shared" si="2"/>
        <v/>
      </c>
      <c r="J75" s="137"/>
      <c r="K75" s="76" t="str">
        <f t="shared" si="0"/>
        <v/>
      </c>
    </row>
    <row r="76" spans="1:11" ht="18.600000000000001" customHeight="1">
      <c r="A76" s="133"/>
      <c r="B76" s="134"/>
      <c r="C76" s="135"/>
      <c r="D76" s="137"/>
      <c r="E76" s="104">
        <f>D76*Stammdaten!L2</f>
        <v>0</v>
      </c>
      <c r="F76" s="105" t="str">
        <f t="shared" si="1"/>
        <v/>
      </c>
      <c r="G76" s="145"/>
      <c r="H76" s="78">
        <f>G76*Stammdaten!L2</f>
        <v>0</v>
      </c>
      <c r="I76" s="77" t="str">
        <f t="shared" ref="I76:I139" si="3">IF(G76+H76&lt;&gt;0,G76+H76,"")</f>
        <v/>
      </c>
      <c r="J76" s="137"/>
      <c r="K76" s="76" t="str">
        <f t="shared" si="0"/>
        <v/>
      </c>
    </row>
    <row r="77" spans="1:11" ht="18.600000000000001" customHeight="1">
      <c r="A77" s="133"/>
      <c r="B77" s="134"/>
      <c r="C77" s="135"/>
      <c r="D77" s="137"/>
      <c r="E77" s="104">
        <f>D77*Stammdaten!L2</f>
        <v>0</v>
      </c>
      <c r="F77" s="105" t="str">
        <f t="shared" si="1"/>
        <v/>
      </c>
      <c r="G77" s="145"/>
      <c r="H77" s="78">
        <f>G77*Stammdaten!L2</f>
        <v>0</v>
      </c>
      <c r="I77" s="77" t="str">
        <f t="shared" si="3"/>
        <v/>
      </c>
      <c r="J77" s="137"/>
      <c r="K77" s="76" t="str">
        <f t="shared" si="0"/>
        <v/>
      </c>
    </row>
    <row r="78" spans="1:11" ht="18.600000000000001" customHeight="1">
      <c r="A78" s="133"/>
      <c r="B78" s="134"/>
      <c r="C78" s="135"/>
      <c r="D78" s="137"/>
      <c r="E78" s="104">
        <f>D78*Stammdaten!L2</f>
        <v>0</v>
      </c>
      <c r="F78" s="105" t="str">
        <f t="shared" si="1"/>
        <v/>
      </c>
      <c r="G78" s="145"/>
      <c r="H78" s="78">
        <f>G78*Stammdaten!L2</f>
        <v>0</v>
      </c>
      <c r="I78" s="77" t="str">
        <f t="shared" si="3"/>
        <v/>
      </c>
      <c r="J78" s="137"/>
      <c r="K78" s="76" t="str">
        <f t="shared" si="0"/>
        <v/>
      </c>
    </row>
    <row r="79" spans="1:11" ht="18.600000000000001" customHeight="1">
      <c r="A79" s="133"/>
      <c r="B79" s="134"/>
      <c r="C79" s="135"/>
      <c r="D79" s="137"/>
      <c r="E79" s="104">
        <f>D79*Stammdaten!L2</f>
        <v>0</v>
      </c>
      <c r="F79" s="105" t="str">
        <f t="shared" si="1"/>
        <v/>
      </c>
      <c r="G79" s="145"/>
      <c r="H79" s="78">
        <f>G79*Stammdaten!L2</f>
        <v>0</v>
      </c>
      <c r="I79" s="77" t="str">
        <f t="shared" si="3"/>
        <v/>
      </c>
      <c r="J79" s="137"/>
      <c r="K79" s="76" t="str">
        <f t="shared" si="0"/>
        <v/>
      </c>
    </row>
    <row r="80" spans="1:11" ht="18.600000000000001" customHeight="1">
      <c r="A80" s="133"/>
      <c r="B80" s="134"/>
      <c r="C80" s="135"/>
      <c r="D80" s="137"/>
      <c r="E80" s="104">
        <f>D80*Stammdaten!L2</f>
        <v>0</v>
      </c>
      <c r="F80" s="105" t="str">
        <f t="shared" si="1"/>
        <v/>
      </c>
      <c r="G80" s="145"/>
      <c r="H80" s="78">
        <f>G80*Stammdaten!L2</f>
        <v>0</v>
      </c>
      <c r="I80" s="77" t="str">
        <f t="shared" si="3"/>
        <v/>
      </c>
      <c r="J80" s="137"/>
      <c r="K80" s="76" t="str">
        <f t="shared" si="0"/>
        <v/>
      </c>
    </row>
    <row r="81" spans="1:11" ht="18.600000000000001" customHeight="1">
      <c r="A81" s="133"/>
      <c r="B81" s="134"/>
      <c r="C81" s="135"/>
      <c r="D81" s="137"/>
      <c r="E81" s="104">
        <f>D81*Stammdaten!L2</f>
        <v>0</v>
      </c>
      <c r="F81" s="105" t="str">
        <f t="shared" si="1"/>
        <v/>
      </c>
      <c r="G81" s="145"/>
      <c r="H81" s="78">
        <f>G81*Stammdaten!L2</f>
        <v>0</v>
      </c>
      <c r="I81" s="77" t="str">
        <f t="shared" si="3"/>
        <v/>
      </c>
      <c r="J81" s="137"/>
      <c r="K81" s="76" t="str">
        <f t="shared" si="0"/>
        <v/>
      </c>
    </row>
    <row r="82" spans="1:11" ht="18.600000000000001" customHeight="1">
      <c r="A82" s="133"/>
      <c r="B82" s="134"/>
      <c r="C82" s="135"/>
      <c r="D82" s="137"/>
      <c r="E82" s="104">
        <f>D82*Stammdaten!L2</f>
        <v>0</v>
      </c>
      <c r="F82" s="105" t="str">
        <f t="shared" si="1"/>
        <v/>
      </c>
      <c r="G82" s="145"/>
      <c r="H82" s="78">
        <f>G82*Stammdaten!L2</f>
        <v>0</v>
      </c>
      <c r="I82" s="77" t="str">
        <f t="shared" si="3"/>
        <v/>
      </c>
      <c r="J82" s="137"/>
      <c r="K82" s="76" t="str">
        <f t="shared" si="0"/>
        <v/>
      </c>
    </row>
    <row r="83" spans="1:11" ht="18.600000000000001" customHeight="1">
      <c r="A83" s="133"/>
      <c r="B83" s="134"/>
      <c r="C83" s="135"/>
      <c r="D83" s="137"/>
      <c r="E83" s="104">
        <f>D83*Stammdaten!L2</f>
        <v>0</v>
      </c>
      <c r="F83" s="105" t="str">
        <f t="shared" si="1"/>
        <v/>
      </c>
      <c r="G83" s="145"/>
      <c r="H83" s="78">
        <f>G83*Stammdaten!L2</f>
        <v>0</v>
      </c>
      <c r="I83" s="77" t="str">
        <f t="shared" si="3"/>
        <v/>
      </c>
      <c r="J83" s="137"/>
      <c r="K83" s="76" t="str">
        <f t="shared" si="0"/>
        <v/>
      </c>
    </row>
    <row r="84" spans="1:11" ht="18.600000000000001" customHeight="1">
      <c r="A84" s="133"/>
      <c r="B84" s="134"/>
      <c r="C84" s="135"/>
      <c r="D84" s="137"/>
      <c r="E84" s="104">
        <f>D84*Stammdaten!L2</f>
        <v>0</v>
      </c>
      <c r="F84" s="105" t="str">
        <f t="shared" si="1"/>
        <v/>
      </c>
      <c r="G84" s="145"/>
      <c r="H84" s="78">
        <f>G84*Stammdaten!L2</f>
        <v>0</v>
      </c>
      <c r="I84" s="77" t="str">
        <f t="shared" si="3"/>
        <v/>
      </c>
      <c r="J84" s="137"/>
      <c r="K84" s="76" t="str">
        <f t="shared" si="0"/>
        <v/>
      </c>
    </row>
    <row r="85" spans="1:11" ht="18.600000000000001" customHeight="1">
      <c r="A85" s="133"/>
      <c r="B85" s="134"/>
      <c r="C85" s="135"/>
      <c r="D85" s="137"/>
      <c r="E85" s="104">
        <f>D85*Stammdaten!L2</f>
        <v>0</v>
      </c>
      <c r="F85" s="105" t="str">
        <f t="shared" si="1"/>
        <v/>
      </c>
      <c r="G85" s="145"/>
      <c r="H85" s="78">
        <f>G85*Stammdaten!L2</f>
        <v>0</v>
      </c>
      <c r="I85" s="77" t="str">
        <f t="shared" si="3"/>
        <v/>
      </c>
      <c r="J85" s="137"/>
      <c r="K85" s="76" t="str">
        <f t="shared" si="0"/>
        <v/>
      </c>
    </row>
    <row r="86" spans="1:11" ht="18.600000000000001" customHeight="1">
      <c r="A86" s="133"/>
      <c r="B86" s="134"/>
      <c r="C86" s="135"/>
      <c r="D86" s="137"/>
      <c r="E86" s="104">
        <f>D86*Stammdaten!L2</f>
        <v>0</v>
      </c>
      <c r="F86" s="105" t="str">
        <f t="shared" si="1"/>
        <v/>
      </c>
      <c r="G86" s="145"/>
      <c r="H86" s="78">
        <f>G86*Stammdaten!L2</f>
        <v>0</v>
      </c>
      <c r="I86" s="77" t="str">
        <f t="shared" si="3"/>
        <v/>
      </c>
      <c r="J86" s="137"/>
      <c r="K86" s="76" t="str">
        <f t="shared" si="0"/>
        <v/>
      </c>
    </row>
    <row r="87" spans="1:11" ht="18.600000000000001" customHeight="1">
      <c r="A87" s="133"/>
      <c r="B87" s="134"/>
      <c r="C87" s="135"/>
      <c r="D87" s="137"/>
      <c r="E87" s="104">
        <f>D87*Stammdaten!L2</f>
        <v>0</v>
      </c>
      <c r="F87" s="105" t="str">
        <f t="shared" si="1"/>
        <v/>
      </c>
      <c r="G87" s="145"/>
      <c r="H87" s="78">
        <f>G87*Stammdaten!L2</f>
        <v>0</v>
      </c>
      <c r="I87" s="77" t="str">
        <f t="shared" si="3"/>
        <v/>
      </c>
      <c r="J87" s="137"/>
      <c r="K87" s="76" t="str">
        <f t="shared" si="0"/>
        <v/>
      </c>
    </row>
    <row r="88" spans="1:11" ht="18.600000000000001" customHeight="1">
      <c r="A88" s="133"/>
      <c r="B88" s="134"/>
      <c r="C88" s="135"/>
      <c r="D88" s="137"/>
      <c r="E88" s="104">
        <f>D88*Stammdaten!L2</f>
        <v>0</v>
      </c>
      <c r="F88" s="105" t="str">
        <f t="shared" si="1"/>
        <v/>
      </c>
      <c r="G88" s="145"/>
      <c r="H88" s="78">
        <f>G88*Stammdaten!L2</f>
        <v>0</v>
      </c>
      <c r="I88" s="77" t="str">
        <f t="shared" si="3"/>
        <v/>
      </c>
      <c r="J88" s="137"/>
      <c r="K88" s="76" t="str">
        <f t="shared" si="0"/>
        <v/>
      </c>
    </row>
    <row r="89" spans="1:11" ht="18.600000000000001" customHeight="1">
      <c r="A89" s="133"/>
      <c r="B89" s="134"/>
      <c r="C89" s="135"/>
      <c r="D89" s="137"/>
      <c r="E89" s="104">
        <f>D89*Stammdaten!L2</f>
        <v>0</v>
      </c>
      <c r="F89" s="105" t="str">
        <f t="shared" si="1"/>
        <v/>
      </c>
      <c r="G89" s="145"/>
      <c r="H89" s="78">
        <f>G89*Stammdaten!L2</f>
        <v>0</v>
      </c>
      <c r="I89" s="77" t="str">
        <f t="shared" si="3"/>
        <v/>
      </c>
      <c r="J89" s="137"/>
      <c r="K89" s="76" t="str">
        <f t="shared" si="0"/>
        <v/>
      </c>
    </row>
    <row r="90" spans="1:11" ht="18.600000000000001" customHeight="1">
      <c r="A90" s="133"/>
      <c r="B90" s="134"/>
      <c r="C90" s="135"/>
      <c r="D90" s="137"/>
      <c r="E90" s="104">
        <f>D90*Stammdaten!L2</f>
        <v>0</v>
      </c>
      <c r="F90" s="105" t="str">
        <f t="shared" si="1"/>
        <v/>
      </c>
      <c r="G90" s="145"/>
      <c r="H90" s="78">
        <f>G90*Stammdaten!L2</f>
        <v>0</v>
      </c>
      <c r="I90" s="77" t="str">
        <f t="shared" si="3"/>
        <v/>
      </c>
      <c r="J90" s="137"/>
      <c r="K90" s="76" t="str">
        <f t="shared" si="0"/>
        <v/>
      </c>
    </row>
    <row r="91" spans="1:11" ht="18.600000000000001" customHeight="1">
      <c r="A91" s="133"/>
      <c r="B91" s="134"/>
      <c r="C91" s="135"/>
      <c r="D91" s="137"/>
      <c r="E91" s="104">
        <f>D91*Stammdaten!L2</f>
        <v>0</v>
      </c>
      <c r="F91" s="105" t="str">
        <f t="shared" si="1"/>
        <v/>
      </c>
      <c r="G91" s="145"/>
      <c r="H91" s="78">
        <f>G91*Stammdaten!L2</f>
        <v>0</v>
      </c>
      <c r="I91" s="77" t="str">
        <f t="shared" si="3"/>
        <v/>
      </c>
      <c r="J91" s="137"/>
      <c r="K91" s="76" t="str">
        <f t="shared" si="0"/>
        <v/>
      </c>
    </row>
    <row r="92" spans="1:11" ht="18.600000000000001" customHeight="1">
      <c r="A92" s="133"/>
      <c r="B92" s="134"/>
      <c r="C92" s="135"/>
      <c r="D92" s="137"/>
      <c r="E92" s="104">
        <f>D92*Stammdaten!L2</f>
        <v>0</v>
      </c>
      <c r="F92" s="105" t="str">
        <f t="shared" si="1"/>
        <v/>
      </c>
      <c r="G92" s="145"/>
      <c r="H92" s="78">
        <f>G92*Stammdaten!L2</f>
        <v>0</v>
      </c>
      <c r="I92" s="77" t="str">
        <f t="shared" si="3"/>
        <v/>
      </c>
      <c r="J92" s="137"/>
      <c r="K92" s="76" t="str">
        <f t="shared" si="0"/>
        <v/>
      </c>
    </row>
    <row r="93" spans="1:11" ht="18.600000000000001" customHeight="1">
      <c r="A93" s="133"/>
      <c r="B93" s="134"/>
      <c r="C93" s="135"/>
      <c r="D93" s="137"/>
      <c r="E93" s="104">
        <f>D93*Stammdaten!L2</f>
        <v>0</v>
      </c>
      <c r="F93" s="105" t="str">
        <f t="shared" si="1"/>
        <v/>
      </c>
      <c r="G93" s="145"/>
      <c r="H93" s="78">
        <f>G93*Stammdaten!L2</f>
        <v>0</v>
      </c>
      <c r="I93" s="77" t="str">
        <f t="shared" si="3"/>
        <v/>
      </c>
      <c r="J93" s="137"/>
      <c r="K93" s="76" t="str">
        <f t="shared" si="0"/>
        <v/>
      </c>
    </row>
    <row r="94" spans="1:11" ht="18.600000000000001" customHeight="1">
      <c r="A94" s="133"/>
      <c r="B94" s="134"/>
      <c r="C94" s="135"/>
      <c r="D94" s="137"/>
      <c r="E94" s="104">
        <f>D94*Stammdaten!L2</f>
        <v>0</v>
      </c>
      <c r="F94" s="105" t="str">
        <f t="shared" si="1"/>
        <v/>
      </c>
      <c r="G94" s="145"/>
      <c r="H94" s="78">
        <f>G94*Stammdaten!L2</f>
        <v>0</v>
      </c>
      <c r="I94" s="77" t="str">
        <f t="shared" si="3"/>
        <v/>
      </c>
      <c r="J94" s="137"/>
      <c r="K94" s="76" t="str">
        <f t="shared" si="0"/>
        <v/>
      </c>
    </row>
    <row r="95" spans="1:11" ht="18.600000000000001" customHeight="1">
      <c r="A95" s="133"/>
      <c r="B95" s="134"/>
      <c r="C95" s="135"/>
      <c r="D95" s="137"/>
      <c r="E95" s="104">
        <f>D95*Stammdaten!L2</f>
        <v>0</v>
      </c>
      <c r="F95" s="105" t="str">
        <f t="shared" si="1"/>
        <v/>
      </c>
      <c r="G95" s="145"/>
      <c r="H95" s="78">
        <f>G95*Stammdaten!L2</f>
        <v>0</v>
      </c>
      <c r="I95" s="77" t="str">
        <f t="shared" si="3"/>
        <v/>
      </c>
      <c r="J95" s="137"/>
      <c r="K95" s="76" t="str">
        <f t="shared" si="0"/>
        <v/>
      </c>
    </row>
    <row r="96" spans="1:11" ht="18.600000000000001" customHeight="1">
      <c r="A96" s="133"/>
      <c r="B96" s="134"/>
      <c r="C96" s="135"/>
      <c r="D96" s="137"/>
      <c r="E96" s="104">
        <f>D96*Stammdaten!L2</f>
        <v>0</v>
      </c>
      <c r="F96" s="105" t="str">
        <f t="shared" si="1"/>
        <v/>
      </c>
      <c r="G96" s="145"/>
      <c r="H96" s="78">
        <f>G96*Stammdaten!L2</f>
        <v>0</v>
      </c>
      <c r="I96" s="77" t="str">
        <f t="shared" si="3"/>
        <v/>
      </c>
      <c r="J96" s="137"/>
      <c r="K96" s="76" t="str">
        <f t="shared" si="0"/>
        <v/>
      </c>
    </row>
    <row r="97" spans="1:11" ht="18.600000000000001" customHeight="1">
      <c r="A97" s="133"/>
      <c r="B97" s="134"/>
      <c r="C97" s="135"/>
      <c r="D97" s="137"/>
      <c r="E97" s="104">
        <f>D97*Stammdaten!L2</f>
        <v>0</v>
      </c>
      <c r="F97" s="105" t="str">
        <f t="shared" si="1"/>
        <v/>
      </c>
      <c r="G97" s="145"/>
      <c r="H97" s="78">
        <f>G97*Stammdaten!L2</f>
        <v>0</v>
      </c>
      <c r="I97" s="77" t="str">
        <f t="shared" si="3"/>
        <v/>
      </c>
      <c r="J97" s="137"/>
      <c r="K97" s="76" t="str">
        <f t="shared" si="0"/>
        <v/>
      </c>
    </row>
    <row r="98" spans="1:11" ht="18.600000000000001" customHeight="1">
      <c r="A98" s="133"/>
      <c r="B98" s="134"/>
      <c r="C98" s="135"/>
      <c r="D98" s="137"/>
      <c r="E98" s="104">
        <f>D98*Stammdaten!L2</f>
        <v>0</v>
      </c>
      <c r="F98" s="105" t="str">
        <f t="shared" si="1"/>
        <v/>
      </c>
      <c r="G98" s="145"/>
      <c r="H98" s="78">
        <f>G98*Stammdaten!L2</f>
        <v>0</v>
      </c>
      <c r="I98" s="77" t="str">
        <f t="shared" si="3"/>
        <v/>
      </c>
      <c r="J98" s="137"/>
      <c r="K98" s="76" t="str">
        <f t="shared" si="0"/>
        <v/>
      </c>
    </row>
    <row r="99" spans="1:11" ht="18.600000000000001" customHeight="1">
      <c r="A99" s="133"/>
      <c r="B99" s="134"/>
      <c r="C99" s="135"/>
      <c r="D99" s="137"/>
      <c r="E99" s="104">
        <f>D99*Stammdaten!L2</f>
        <v>0</v>
      </c>
      <c r="F99" s="105" t="str">
        <f t="shared" si="1"/>
        <v/>
      </c>
      <c r="G99" s="145"/>
      <c r="H99" s="78">
        <f>G99*Stammdaten!L2</f>
        <v>0</v>
      </c>
      <c r="I99" s="77" t="str">
        <f t="shared" si="3"/>
        <v/>
      </c>
      <c r="J99" s="137"/>
      <c r="K99" s="76" t="str">
        <f t="shared" si="0"/>
        <v/>
      </c>
    </row>
    <row r="100" spans="1:11" ht="18.600000000000001" customHeight="1">
      <c r="A100" s="133"/>
      <c r="B100" s="134"/>
      <c r="C100" s="135"/>
      <c r="D100" s="137"/>
      <c r="E100" s="104">
        <f>D100*Stammdaten!L2</f>
        <v>0</v>
      </c>
      <c r="F100" s="105" t="str">
        <f t="shared" si="1"/>
        <v/>
      </c>
      <c r="G100" s="145"/>
      <c r="H100" s="78">
        <f>G100*Stammdaten!L2</f>
        <v>0</v>
      </c>
      <c r="I100" s="77" t="str">
        <f t="shared" si="3"/>
        <v/>
      </c>
      <c r="J100" s="137"/>
      <c r="K100" s="76" t="str">
        <f t="shared" si="0"/>
        <v/>
      </c>
    </row>
    <row r="101" spans="1:11" ht="18.600000000000001" customHeight="1">
      <c r="A101" s="133"/>
      <c r="B101" s="134"/>
      <c r="C101" s="135"/>
      <c r="D101" s="137"/>
      <c r="E101" s="104">
        <f>D101*Stammdaten!L2</f>
        <v>0</v>
      </c>
      <c r="F101" s="105" t="str">
        <f t="shared" si="1"/>
        <v/>
      </c>
      <c r="G101" s="145"/>
      <c r="H101" s="78">
        <f>G101*Stammdaten!L2</f>
        <v>0</v>
      </c>
      <c r="I101" s="77" t="str">
        <f t="shared" si="3"/>
        <v/>
      </c>
      <c r="J101" s="137"/>
      <c r="K101" s="76" t="str">
        <f t="shared" si="0"/>
        <v/>
      </c>
    </row>
    <row r="102" spans="1:11" ht="18.600000000000001" customHeight="1">
      <c r="A102" s="133"/>
      <c r="B102" s="134"/>
      <c r="C102" s="135"/>
      <c r="D102" s="137"/>
      <c r="E102" s="104">
        <f>D102*Stammdaten!L2</f>
        <v>0</v>
      </c>
      <c r="F102" s="105" t="str">
        <f t="shared" si="1"/>
        <v/>
      </c>
      <c r="G102" s="145"/>
      <c r="H102" s="78">
        <f>G102*Stammdaten!L2</f>
        <v>0</v>
      </c>
      <c r="I102" s="77" t="str">
        <f t="shared" si="3"/>
        <v/>
      </c>
      <c r="J102" s="137"/>
      <c r="K102" s="76" t="str">
        <f t="shared" si="0"/>
        <v/>
      </c>
    </row>
    <row r="103" spans="1:11" ht="18.600000000000001" customHeight="1">
      <c r="A103" s="133"/>
      <c r="B103" s="134"/>
      <c r="C103" s="135"/>
      <c r="D103" s="137"/>
      <c r="E103" s="104">
        <f>D103*Stammdaten!L2</f>
        <v>0</v>
      </c>
      <c r="F103" s="105" t="str">
        <f t="shared" si="1"/>
        <v/>
      </c>
      <c r="G103" s="145"/>
      <c r="H103" s="78">
        <f>G103*Stammdaten!L2</f>
        <v>0</v>
      </c>
      <c r="I103" s="77" t="str">
        <f t="shared" si="3"/>
        <v/>
      </c>
      <c r="J103" s="137"/>
      <c r="K103" s="76" t="str">
        <f t="shared" si="0"/>
        <v/>
      </c>
    </row>
    <row r="104" spans="1:11" ht="18.600000000000001" customHeight="1">
      <c r="A104" s="133"/>
      <c r="B104" s="134"/>
      <c r="C104" s="135"/>
      <c r="D104" s="137"/>
      <c r="E104" s="104">
        <f>D104*Stammdaten!L2</f>
        <v>0</v>
      </c>
      <c r="F104" s="105" t="str">
        <f t="shared" si="1"/>
        <v/>
      </c>
      <c r="G104" s="145"/>
      <c r="H104" s="78">
        <f>G104*Stammdaten!L2</f>
        <v>0</v>
      </c>
      <c r="I104" s="77" t="str">
        <f t="shared" si="3"/>
        <v/>
      </c>
      <c r="J104" s="137"/>
      <c r="K104" s="76" t="str">
        <f t="shared" si="0"/>
        <v/>
      </c>
    </row>
    <row r="105" spans="1:11" ht="18.600000000000001" customHeight="1">
      <c r="A105" s="133"/>
      <c r="B105" s="134"/>
      <c r="C105" s="135"/>
      <c r="D105" s="137"/>
      <c r="E105" s="104">
        <f>D105*Stammdaten!L2</f>
        <v>0</v>
      </c>
      <c r="F105" s="105" t="str">
        <f t="shared" si="1"/>
        <v/>
      </c>
      <c r="G105" s="145"/>
      <c r="H105" s="78">
        <f>G105*Stammdaten!L2</f>
        <v>0</v>
      </c>
      <c r="I105" s="77" t="str">
        <f t="shared" si="3"/>
        <v/>
      </c>
      <c r="J105" s="137"/>
      <c r="K105" s="76" t="str">
        <f t="shared" si="0"/>
        <v/>
      </c>
    </row>
    <row r="106" spans="1:11" ht="18.600000000000001" customHeight="1">
      <c r="A106" s="133"/>
      <c r="B106" s="134"/>
      <c r="C106" s="135"/>
      <c r="D106" s="137"/>
      <c r="E106" s="104">
        <f>D106*Stammdaten!L2</f>
        <v>0</v>
      </c>
      <c r="F106" s="105" t="str">
        <f t="shared" si="1"/>
        <v/>
      </c>
      <c r="G106" s="145"/>
      <c r="H106" s="78">
        <f>G106*Stammdaten!L2</f>
        <v>0</v>
      </c>
      <c r="I106" s="77" t="str">
        <f t="shared" si="3"/>
        <v/>
      </c>
      <c r="J106" s="137"/>
      <c r="K106" s="76" t="str">
        <f t="shared" si="0"/>
        <v/>
      </c>
    </row>
    <row r="107" spans="1:11" ht="18.600000000000001" customHeight="1">
      <c r="A107" s="133"/>
      <c r="B107" s="134"/>
      <c r="C107" s="135"/>
      <c r="D107" s="137"/>
      <c r="E107" s="104">
        <f>D107*Stammdaten!L2</f>
        <v>0</v>
      </c>
      <c r="F107" s="105" t="str">
        <f t="shared" si="1"/>
        <v/>
      </c>
      <c r="G107" s="145"/>
      <c r="H107" s="78">
        <f>G107*Stammdaten!L2</f>
        <v>0</v>
      </c>
      <c r="I107" s="77" t="str">
        <f t="shared" si="3"/>
        <v/>
      </c>
      <c r="J107" s="137"/>
      <c r="K107" s="76" t="str">
        <f t="shared" si="0"/>
        <v/>
      </c>
    </row>
    <row r="108" spans="1:11" ht="18.600000000000001" customHeight="1">
      <c r="A108" s="133"/>
      <c r="B108" s="134"/>
      <c r="C108" s="135"/>
      <c r="D108" s="137"/>
      <c r="E108" s="104">
        <f>D108*Stammdaten!L2</f>
        <v>0</v>
      </c>
      <c r="F108" s="105" t="str">
        <f t="shared" si="1"/>
        <v/>
      </c>
      <c r="G108" s="145"/>
      <c r="H108" s="78">
        <f>G108*Stammdaten!L2</f>
        <v>0</v>
      </c>
      <c r="I108" s="77" t="str">
        <f t="shared" si="3"/>
        <v/>
      </c>
      <c r="J108" s="137"/>
      <c r="K108" s="76" t="str">
        <f t="shared" si="0"/>
        <v/>
      </c>
    </row>
    <row r="109" spans="1:11" ht="18.600000000000001" customHeight="1">
      <c r="A109" s="133"/>
      <c r="B109" s="134"/>
      <c r="C109" s="135"/>
      <c r="D109" s="137"/>
      <c r="E109" s="104">
        <f>D109*Stammdaten!L2</f>
        <v>0</v>
      </c>
      <c r="F109" s="105" t="str">
        <f t="shared" si="1"/>
        <v/>
      </c>
      <c r="G109" s="145"/>
      <c r="H109" s="78">
        <f>G109*Stammdaten!L2</f>
        <v>0</v>
      </c>
      <c r="I109" s="77" t="str">
        <f t="shared" si="3"/>
        <v/>
      </c>
      <c r="J109" s="137"/>
      <c r="K109" s="76" t="str">
        <f t="shared" si="0"/>
        <v/>
      </c>
    </row>
    <row r="110" spans="1:11" ht="18.600000000000001" customHeight="1">
      <c r="A110" s="133"/>
      <c r="B110" s="134"/>
      <c r="C110" s="135"/>
      <c r="D110" s="137"/>
      <c r="E110" s="104">
        <f>D110*Stammdaten!L2</f>
        <v>0</v>
      </c>
      <c r="F110" s="105" t="str">
        <f t="shared" si="1"/>
        <v/>
      </c>
      <c r="G110" s="145"/>
      <c r="H110" s="78">
        <f>G110*Stammdaten!L2</f>
        <v>0</v>
      </c>
      <c r="I110" s="77" t="str">
        <f t="shared" si="3"/>
        <v/>
      </c>
      <c r="J110" s="137"/>
      <c r="K110" s="76" t="str">
        <f t="shared" si="0"/>
        <v/>
      </c>
    </row>
    <row r="111" spans="1:11" ht="18.600000000000001" customHeight="1">
      <c r="A111" s="133"/>
      <c r="B111" s="134"/>
      <c r="C111" s="135"/>
      <c r="D111" s="137"/>
      <c r="E111" s="104">
        <f>D111*Stammdaten!L2</f>
        <v>0</v>
      </c>
      <c r="F111" s="105" t="str">
        <f t="shared" si="1"/>
        <v/>
      </c>
      <c r="G111" s="145"/>
      <c r="H111" s="78">
        <f>G111*Stammdaten!L2</f>
        <v>0</v>
      </c>
      <c r="I111" s="77" t="str">
        <f t="shared" si="3"/>
        <v/>
      </c>
      <c r="J111" s="137"/>
      <c r="K111" s="76" t="str">
        <f t="shared" si="0"/>
        <v/>
      </c>
    </row>
    <row r="112" spans="1:11" ht="18.600000000000001" customHeight="1">
      <c r="A112" s="133"/>
      <c r="B112" s="134"/>
      <c r="C112" s="135"/>
      <c r="D112" s="137"/>
      <c r="E112" s="104">
        <f>D112*Stammdaten!L2</f>
        <v>0</v>
      </c>
      <c r="F112" s="105" t="str">
        <f t="shared" si="1"/>
        <v/>
      </c>
      <c r="G112" s="145"/>
      <c r="H112" s="78">
        <f>G112*Stammdaten!L2</f>
        <v>0</v>
      </c>
      <c r="I112" s="77" t="str">
        <f t="shared" si="3"/>
        <v/>
      </c>
      <c r="J112" s="137"/>
      <c r="K112" s="76" t="str">
        <f t="shared" si="0"/>
        <v/>
      </c>
    </row>
    <row r="113" spans="1:11" ht="18.600000000000001" customHeight="1">
      <c r="A113" s="133"/>
      <c r="B113" s="134"/>
      <c r="C113" s="135"/>
      <c r="D113" s="137"/>
      <c r="E113" s="104">
        <f>D113*Stammdaten!L2</f>
        <v>0</v>
      </c>
      <c r="F113" s="105" t="str">
        <f t="shared" si="1"/>
        <v/>
      </c>
      <c r="G113" s="145"/>
      <c r="H113" s="78">
        <f>G113*Stammdaten!L2</f>
        <v>0</v>
      </c>
      <c r="I113" s="77" t="str">
        <f t="shared" si="3"/>
        <v/>
      </c>
      <c r="J113" s="137"/>
      <c r="K113" s="76" t="str">
        <f t="shared" si="0"/>
        <v/>
      </c>
    </row>
    <row r="114" spans="1:11" ht="18.600000000000001" customHeight="1">
      <c r="A114" s="133"/>
      <c r="B114" s="134"/>
      <c r="C114" s="135"/>
      <c r="D114" s="137"/>
      <c r="E114" s="104">
        <f>D114*Stammdaten!L2</f>
        <v>0</v>
      </c>
      <c r="F114" s="105" t="str">
        <f t="shared" si="1"/>
        <v/>
      </c>
      <c r="G114" s="145"/>
      <c r="H114" s="78">
        <f>G114*Stammdaten!L2</f>
        <v>0</v>
      </c>
      <c r="I114" s="77" t="str">
        <f t="shared" si="3"/>
        <v/>
      </c>
      <c r="J114" s="137"/>
      <c r="K114" s="76" t="str">
        <f t="shared" si="0"/>
        <v/>
      </c>
    </row>
    <row r="115" spans="1:11" ht="18.600000000000001" customHeight="1">
      <c r="A115" s="133"/>
      <c r="B115" s="134"/>
      <c r="C115" s="135"/>
      <c r="D115" s="137"/>
      <c r="E115" s="104">
        <f>D115*Stammdaten!L2</f>
        <v>0</v>
      </c>
      <c r="F115" s="105" t="str">
        <f t="shared" si="1"/>
        <v/>
      </c>
      <c r="G115" s="145"/>
      <c r="H115" s="78">
        <f>G115*Stammdaten!L2</f>
        <v>0</v>
      </c>
      <c r="I115" s="77" t="str">
        <f t="shared" si="3"/>
        <v/>
      </c>
      <c r="J115" s="137"/>
      <c r="K115" s="76" t="str">
        <f t="shared" si="0"/>
        <v/>
      </c>
    </row>
    <row r="116" spans="1:11" ht="18.600000000000001" customHeight="1">
      <c r="A116" s="133"/>
      <c r="B116" s="134"/>
      <c r="C116" s="135"/>
      <c r="D116" s="137"/>
      <c r="E116" s="104">
        <f>D116*Stammdaten!L2</f>
        <v>0</v>
      </c>
      <c r="F116" s="105" t="str">
        <f t="shared" si="1"/>
        <v/>
      </c>
      <c r="G116" s="145"/>
      <c r="H116" s="78">
        <f>G116*Stammdaten!L2</f>
        <v>0</v>
      </c>
      <c r="I116" s="77" t="str">
        <f t="shared" si="3"/>
        <v/>
      </c>
      <c r="J116" s="137"/>
      <c r="K116" s="76" t="str">
        <f t="shared" si="0"/>
        <v/>
      </c>
    </row>
    <row r="117" spans="1:11" ht="18.600000000000001" customHeight="1">
      <c r="A117" s="133"/>
      <c r="B117" s="134"/>
      <c r="C117" s="135"/>
      <c r="D117" s="137"/>
      <c r="E117" s="104">
        <f>D117*Stammdaten!L2</f>
        <v>0</v>
      </c>
      <c r="F117" s="105" t="str">
        <f t="shared" si="1"/>
        <v/>
      </c>
      <c r="G117" s="145"/>
      <c r="H117" s="78">
        <f>G117*Stammdaten!L2</f>
        <v>0</v>
      </c>
      <c r="I117" s="77" t="str">
        <f t="shared" si="3"/>
        <v/>
      </c>
      <c r="J117" s="137"/>
      <c r="K117" s="76" t="str">
        <f t="shared" si="0"/>
        <v/>
      </c>
    </row>
    <row r="118" spans="1:11" ht="18.600000000000001" customHeight="1">
      <c r="A118" s="133"/>
      <c r="B118" s="134"/>
      <c r="C118" s="135"/>
      <c r="D118" s="137"/>
      <c r="E118" s="104">
        <f>D118*Stammdaten!L2</f>
        <v>0</v>
      </c>
      <c r="F118" s="105" t="str">
        <f t="shared" si="1"/>
        <v/>
      </c>
      <c r="G118" s="145"/>
      <c r="H118" s="78">
        <f>G118*Stammdaten!L2</f>
        <v>0</v>
      </c>
      <c r="I118" s="77" t="str">
        <f t="shared" si="3"/>
        <v/>
      </c>
      <c r="J118" s="137"/>
      <c r="K118" s="76" t="str">
        <f t="shared" si="0"/>
        <v/>
      </c>
    </row>
    <row r="119" spans="1:11" ht="18.600000000000001" customHeight="1">
      <c r="A119" s="133"/>
      <c r="B119" s="134"/>
      <c r="C119" s="135"/>
      <c r="D119" s="137"/>
      <c r="E119" s="104">
        <f>D119*Stammdaten!L2</f>
        <v>0</v>
      </c>
      <c r="F119" s="105" t="str">
        <f t="shared" ref="F119:F160" si="4">IF(D119+E119&lt;&gt;0,D119+E119,"")</f>
        <v/>
      </c>
      <c r="G119" s="145"/>
      <c r="H119" s="78">
        <f>G119*Stammdaten!L2</f>
        <v>0</v>
      </c>
      <c r="I119" s="77" t="str">
        <f t="shared" si="3"/>
        <v/>
      </c>
      <c r="J119" s="137"/>
      <c r="K119" s="76" t="str">
        <f t="shared" si="0"/>
        <v/>
      </c>
    </row>
    <row r="120" spans="1:11" ht="18.600000000000001" customHeight="1">
      <c r="A120" s="133"/>
      <c r="B120" s="134"/>
      <c r="C120" s="135"/>
      <c r="D120" s="137"/>
      <c r="E120" s="104">
        <f>D120*Stammdaten!L2</f>
        <v>0</v>
      </c>
      <c r="F120" s="105" t="str">
        <f t="shared" si="4"/>
        <v/>
      </c>
      <c r="G120" s="145"/>
      <c r="H120" s="78">
        <f>G120*Stammdaten!L2</f>
        <v>0</v>
      </c>
      <c r="I120" s="77" t="str">
        <f t="shared" si="3"/>
        <v/>
      </c>
      <c r="J120" s="137"/>
      <c r="K120" s="76" t="str">
        <f t="shared" si="0"/>
        <v/>
      </c>
    </row>
    <row r="121" spans="1:11" ht="18.600000000000001" customHeight="1">
      <c r="A121" s="133"/>
      <c r="B121" s="134"/>
      <c r="C121" s="135"/>
      <c r="D121" s="137"/>
      <c r="E121" s="104">
        <f>D121*Stammdaten!L2</f>
        <v>0</v>
      </c>
      <c r="F121" s="105" t="str">
        <f t="shared" si="4"/>
        <v/>
      </c>
      <c r="G121" s="145"/>
      <c r="H121" s="78">
        <f>G121*Stammdaten!L2</f>
        <v>0</v>
      </c>
      <c r="I121" s="77" t="str">
        <f t="shared" si="3"/>
        <v/>
      </c>
      <c r="J121" s="137"/>
      <c r="K121" s="76" t="str">
        <f t="shared" si="0"/>
        <v/>
      </c>
    </row>
    <row r="122" spans="1:11" ht="18.600000000000001" customHeight="1">
      <c r="A122" s="133"/>
      <c r="B122" s="134"/>
      <c r="C122" s="135"/>
      <c r="D122" s="137"/>
      <c r="E122" s="104">
        <f>D122*Stammdaten!L2</f>
        <v>0</v>
      </c>
      <c r="F122" s="105" t="str">
        <f t="shared" si="4"/>
        <v/>
      </c>
      <c r="G122" s="145"/>
      <c r="H122" s="78">
        <f>G122*Stammdaten!L2</f>
        <v>0</v>
      </c>
      <c r="I122" s="77" t="str">
        <f t="shared" si="3"/>
        <v/>
      </c>
      <c r="J122" s="137"/>
      <c r="K122" s="76" t="str">
        <f t="shared" si="0"/>
        <v/>
      </c>
    </row>
    <row r="123" spans="1:11" ht="18.600000000000001" customHeight="1">
      <c r="A123" s="133"/>
      <c r="B123" s="134"/>
      <c r="C123" s="135"/>
      <c r="D123" s="137"/>
      <c r="E123" s="104">
        <f>D123*Stammdaten!L2</f>
        <v>0</v>
      </c>
      <c r="F123" s="105" t="str">
        <f t="shared" si="4"/>
        <v/>
      </c>
      <c r="G123" s="145"/>
      <c r="H123" s="78">
        <f>G123*Stammdaten!L2</f>
        <v>0</v>
      </c>
      <c r="I123" s="77" t="str">
        <f t="shared" si="3"/>
        <v/>
      </c>
      <c r="J123" s="137"/>
      <c r="K123" s="76" t="str">
        <f t="shared" si="0"/>
        <v/>
      </c>
    </row>
    <row r="124" spans="1:11" ht="18.600000000000001" customHeight="1">
      <c r="A124" s="133"/>
      <c r="B124" s="134"/>
      <c r="C124" s="135"/>
      <c r="D124" s="137"/>
      <c r="E124" s="104">
        <f>D124*Stammdaten!L2</f>
        <v>0</v>
      </c>
      <c r="F124" s="105" t="str">
        <f t="shared" si="4"/>
        <v/>
      </c>
      <c r="G124" s="145"/>
      <c r="H124" s="78">
        <f>G124*Stammdaten!L2</f>
        <v>0</v>
      </c>
      <c r="I124" s="77" t="str">
        <f t="shared" si="3"/>
        <v/>
      </c>
      <c r="J124" s="137"/>
      <c r="K124" s="76" t="str">
        <f t="shared" si="0"/>
        <v/>
      </c>
    </row>
    <row r="125" spans="1:11" ht="18.600000000000001" customHeight="1">
      <c r="A125" s="133"/>
      <c r="B125" s="134"/>
      <c r="C125" s="135"/>
      <c r="D125" s="137"/>
      <c r="E125" s="104">
        <f>D125*Stammdaten!L2</f>
        <v>0</v>
      </c>
      <c r="F125" s="105" t="str">
        <f t="shared" si="4"/>
        <v/>
      </c>
      <c r="G125" s="145"/>
      <c r="H125" s="78">
        <f>G125*Stammdaten!L2</f>
        <v>0</v>
      </c>
      <c r="I125" s="77" t="str">
        <f t="shared" si="3"/>
        <v/>
      </c>
      <c r="J125" s="137"/>
      <c r="K125" s="76" t="str">
        <f t="shared" si="0"/>
        <v/>
      </c>
    </row>
    <row r="126" spans="1:11" ht="18.600000000000001" customHeight="1">
      <c r="A126" s="133"/>
      <c r="B126" s="134"/>
      <c r="C126" s="135"/>
      <c r="D126" s="137"/>
      <c r="E126" s="104">
        <f>D126*Stammdaten!L2</f>
        <v>0</v>
      </c>
      <c r="F126" s="105" t="str">
        <f t="shared" si="4"/>
        <v/>
      </c>
      <c r="G126" s="145"/>
      <c r="H126" s="78">
        <f>G126*Stammdaten!L2</f>
        <v>0</v>
      </c>
      <c r="I126" s="77" t="str">
        <f t="shared" si="3"/>
        <v/>
      </c>
      <c r="J126" s="137"/>
      <c r="K126" s="76" t="str">
        <f t="shared" si="0"/>
        <v/>
      </c>
    </row>
    <row r="127" spans="1:11" ht="18.600000000000001" customHeight="1">
      <c r="A127" s="133"/>
      <c r="B127" s="134"/>
      <c r="C127" s="135"/>
      <c r="D127" s="137"/>
      <c r="E127" s="104">
        <f>D127*Stammdaten!L2</f>
        <v>0</v>
      </c>
      <c r="F127" s="105" t="str">
        <f t="shared" si="4"/>
        <v/>
      </c>
      <c r="G127" s="145"/>
      <c r="H127" s="78">
        <f>G127*Stammdaten!L2</f>
        <v>0</v>
      </c>
      <c r="I127" s="77" t="str">
        <f t="shared" si="3"/>
        <v/>
      </c>
      <c r="J127" s="137"/>
      <c r="K127" s="76" t="str">
        <f t="shared" si="0"/>
        <v/>
      </c>
    </row>
    <row r="128" spans="1:11" ht="18.600000000000001" customHeight="1">
      <c r="A128" s="133"/>
      <c r="B128" s="134"/>
      <c r="C128" s="135"/>
      <c r="D128" s="137"/>
      <c r="E128" s="104">
        <f>D128*Stammdaten!L2</f>
        <v>0</v>
      </c>
      <c r="F128" s="105" t="str">
        <f t="shared" si="4"/>
        <v/>
      </c>
      <c r="G128" s="145"/>
      <c r="H128" s="78">
        <f>G128*Stammdaten!L2</f>
        <v>0</v>
      </c>
      <c r="I128" s="77" t="str">
        <f t="shared" si="3"/>
        <v/>
      </c>
      <c r="J128" s="137"/>
      <c r="K128" s="76" t="str">
        <f t="shared" si="0"/>
        <v/>
      </c>
    </row>
    <row r="129" spans="1:11" ht="18.600000000000001" customHeight="1">
      <c r="A129" s="133"/>
      <c r="B129" s="134"/>
      <c r="C129" s="135"/>
      <c r="D129" s="137"/>
      <c r="E129" s="104">
        <f>D129*Stammdaten!L2</f>
        <v>0</v>
      </c>
      <c r="F129" s="105" t="str">
        <f t="shared" si="4"/>
        <v/>
      </c>
      <c r="G129" s="145"/>
      <c r="H129" s="78">
        <f>G129*Stammdaten!L2</f>
        <v>0</v>
      </c>
      <c r="I129" s="77" t="str">
        <f t="shared" si="3"/>
        <v/>
      </c>
      <c r="J129" s="137"/>
      <c r="K129" s="76" t="str">
        <f t="shared" si="0"/>
        <v/>
      </c>
    </row>
    <row r="130" spans="1:11" ht="18.600000000000001" customHeight="1">
      <c r="A130" s="133"/>
      <c r="B130" s="134"/>
      <c r="C130" s="135"/>
      <c r="D130" s="137"/>
      <c r="E130" s="104">
        <f>D130*Stammdaten!L2</f>
        <v>0</v>
      </c>
      <c r="F130" s="105" t="str">
        <f t="shared" si="4"/>
        <v/>
      </c>
      <c r="G130" s="145"/>
      <c r="H130" s="78">
        <f>G130*Stammdaten!L2</f>
        <v>0</v>
      </c>
      <c r="I130" s="77" t="str">
        <f t="shared" si="3"/>
        <v/>
      </c>
      <c r="J130" s="137"/>
      <c r="K130" s="76" t="str">
        <f t="shared" si="0"/>
        <v/>
      </c>
    </row>
    <row r="131" spans="1:11" ht="18.600000000000001" customHeight="1">
      <c r="A131" s="133"/>
      <c r="B131" s="134"/>
      <c r="C131" s="135"/>
      <c r="D131" s="137"/>
      <c r="E131" s="104">
        <f>D131*Stammdaten!L2</f>
        <v>0</v>
      </c>
      <c r="F131" s="105" t="str">
        <f t="shared" si="4"/>
        <v/>
      </c>
      <c r="G131" s="145"/>
      <c r="H131" s="78">
        <f>G131*Stammdaten!L2</f>
        <v>0</v>
      </c>
      <c r="I131" s="77" t="str">
        <f t="shared" si="3"/>
        <v/>
      </c>
      <c r="J131" s="137"/>
      <c r="K131" s="76" t="str">
        <f t="shared" si="0"/>
        <v/>
      </c>
    </row>
    <row r="132" spans="1:11" ht="18.600000000000001" customHeight="1">
      <c r="A132" s="133"/>
      <c r="B132" s="134"/>
      <c r="C132" s="135"/>
      <c r="D132" s="137"/>
      <c r="E132" s="104">
        <f>D132*Stammdaten!L2</f>
        <v>0</v>
      </c>
      <c r="F132" s="105" t="str">
        <f t="shared" si="4"/>
        <v/>
      </c>
      <c r="G132" s="145"/>
      <c r="H132" s="78">
        <f>G132*Stammdaten!L2</f>
        <v>0</v>
      </c>
      <c r="I132" s="77" t="str">
        <f t="shared" si="3"/>
        <v/>
      </c>
      <c r="J132" s="137"/>
      <c r="K132" s="76" t="str">
        <f t="shared" si="0"/>
        <v/>
      </c>
    </row>
    <row r="133" spans="1:11" ht="18.600000000000001" customHeight="1">
      <c r="A133" s="133"/>
      <c r="B133" s="134"/>
      <c r="C133" s="135"/>
      <c r="D133" s="137"/>
      <c r="E133" s="104">
        <f>D133*Stammdaten!L2</f>
        <v>0</v>
      </c>
      <c r="F133" s="105" t="str">
        <f t="shared" si="4"/>
        <v/>
      </c>
      <c r="G133" s="145"/>
      <c r="H133" s="78">
        <f>G133*Stammdaten!L2</f>
        <v>0</v>
      </c>
      <c r="I133" s="77" t="str">
        <f t="shared" si="3"/>
        <v/>
      </c>
      <c r="J133" s="137"/>
      <c r="K133" s="76" t="str">
        <f t="shared" si="0"/>
        <v/>
      </c>
    </row>
    <row r="134" spans="1:11" ht="18.600000000000001" customHeight="1">
      <c r="A134" s="133"/>
      <c r="B134" s="134"/>
      <c r="C134" s="135"/>
      <c r="D134" s="137"/>
      <c r="E134" s="104">
        <f>D134*Stammdaten!L2</f>
        <v>0</v>
      </c>
      <c r="F134" s="105" t="str">
        <f t="shared" si="4"/>
        <v/>
      </c>
      <c r="G134" s="145"/>
      <c r="H134" s="78">
        <f>G134*Stammdaten!L2</f>
        <v>0</v>
      </c>
      <c r="I134" s="77" t="str">
        <f t="shared" si="3"/>
        <v/>
      </c>
      <c r="J134" s="137"/>
      <c r="K134" s="76" t="str">
        <f t="shared" si="0"/>
        <v/>
      </c>
    </row>
    <row r="135" spans="1:11" ht="18.600000000000001" customHeight="1">
      <c r="A135" s="133"/>
      <c r="B135" s="134"/>
      <c r="C135" s="135"/>
      <c r="D135" s="137"/>
      <c r="E135" s="104">
        <f>D135*Stammdaten!L2</f>
        <v>0</v>
      </c>
      <c r="F135" s="105" t="str">
        <f t="shared" si="4"/>
        <v/>
      </c>
      <c r="G135" s="145"/>
      <c r="H135" s="78">
        <f>G135*Stammdaten!L2</f>
        <v>0</v>
      </c>
      <c r="I135" s="77" t="str">
        <f t="shared" si="3"/>
        <v/>
      </c>
      <c r="J135" s="137"/>
      <c r="K135" s="76" t="str">
        <f t="shared" si="0"/>
        <v/>
      </c>
    </row>
    <row r="136" spans="1:11" ht="18.600000000000001" customHeight="1">
      <c r="A136" s="133"/>
      <c r="B136" s="134"/>
      <c r="C136" s="135"/>
      <c r="D136" s="137"/>
      <c r="E136" s="104">
        <f>D136*Stammdaten!L2</f>
        <v>0</v>
      </c>
      <c r="F136" s="105" t="str">
        <f t="shared" si="4"/>
        <v/>
      </c>
      <c r="G136" s="145"/>
      <c r="H136" s="78">
        <f>G136*Stammdaten!L2</f>
        <v>0</v>
      </c>
      <c r="I136" s="77" t="str">
        <f t="shared" si="3"/>
        <v/>
      </c>
      <c r="J136" s="137"/>
      <c r="K136" s="76" t="str">
        <f t="shared" si="0"/>
        <v/>
      </c>
    </row>
    <row r="137" spans="1:11" ht="18.600000000000001" customHeight="1">
      <c r="A137" s="133"/>
      <c r="B137" s="134"/>
      <c r="C137" s="135"/>
      <c r="D137" s="137"/>
      <c r="E137" s="104">
        <f>D137*Stammdaten!L2</f>
        <v>0</v>
      </c>
      <c r="F137" s="105" t="str">
        <f t="shared" si="4"/>
        <v/>
      </c>
      <c r="G137" s="145"/>
      <c r="H137" s="78">
        <f>G137*Stammdaten!L2</f>
        <v>0</v>
      </c>
      <c r="I137" s="77" t="str">
        <f t="shared" si="3"/>
        <v/>
      </c>
      <c r="J137" s="137"/>
      <c r="K137" s="76" t="str">
        <f t="shared" si="0"/>
        <v/>
      </c>
    </row>
    <row r="138" spans="1:11" ht="18.600000000000001" customHeight="1">
      <c r="A138" s="133"/>
      <c r="B138" s="134"/>
      <c r="C138" s="135"/>
      <c r="D138" s="137"/>
      <c r="E138" s="104">
        <f>D138*Stammdaten!L2</f>
        <v>0</v>
      </c>
      <c r="F138" s="105" t="str">
        <f t="shared" si="4"/>
        <v/>
      </c>
      <c r="G138" s="145"/>
      <c r="H138" s="78">
        <f>G138*Stammdaten!L2</f>
        <v>0</v>
      </c>
      <c r="I138" s="77" t="str">
        <f t="shared" si="3"/>
        <v/>
      </c>
      <c r="J138" s="137"/>
      <c r="K138" s="76" t="str">
        <f t="shared" si="0"/>
        <v/>
      </c>
    </row>
    <row r="139" spans="1:11" ht="18.600000000000001" customHeight="1">
      <c r="A139" s="133"/>
      <c r="B139" s="134"/>
      <c r="C139" s="135"/>
      <c r="D139" s="137"/>
      <c r="E139" s="104">
        <f>D139*Stammdaten!L2</f>
        <v>0</v>
      </c>
      <c r="F139" s="105" t="str">
        <f t="shared" si="4"/>
        <v/>
      </c>
      <c r="G139" s="145"/>
      <c r="H139" s="78">
        <f>G139*Stammdaten!L2</f>
        <v>0</v>
      </c>
      <c r="I139" s="77" t="str">
        <f t="shared" si="3"/>
        <v/>
      </c>
      <c r="J139" s="137"/>
      <c r="K139" s="76" t="str">
        <f t="shared" si="0"/>
        <v/>
      </c>
    </row>
    <row r="140" spans="1:11" ht="18.600000000000001" customHeight="1">
      <c r="A140" s="133"/>
      <c r="B140" s="134"/>
      <c r="C140" s="135"/>
      <c r="D140" s="137"/>
      <c r="E140" s="104">
        <f>D140*Stammdaten!L2</f>
        <v>0</v>
      </c>
      <c r="F140" s="105" t="str">
        <f t="shared" si="4"/>
        <v/>
      </c>
      <c r="G140" s="145"/>
      <c r="H140" s="78">
        <f>G140*Stammdaten!L2</f>
        <v>0</v>
      </c>
      <c r="I140" s="77" t="str">
        <f t="shared" ref="I140:I160" si="5">IF(G140+H140&lt;&gt;0,G140+H140,"")</f>
        <v/>
      </c>
      <c r="J140" s="137"/>
      <c r="K140" s="76" t="str">
        <f t="shared" si="0"/>
        <v/>
      </c>
    </row>
    <row r="141" spans="1:11" ht="18.600000000000001" customHeight="1">
      <c r="A141" s="133"/>
      <c r="B141" s="134"/>
      <c r="C141" s="135"/>
      <c r="D141" s="137"/>
      <c r="E141" s="104">
        <f>D141*Stammdaten!L2</f>
        <v>0</v>
      </c>
      <c r="F141" s="105" t="str">
        <f t="shared" si="4"/>
        <v/>
      </c>
      <c r="G141" s="145"/>
      <c r="H141" s="78">
        <f>G141*Stammdaten!L2</f>
        <v>0</v>
      </c>
      <c r="I141" s="77" t="str">
        <f t="shared" si="5"/>
        <v/>
      </c>
      <c r="J141" s="137"/>
      <c r="K141" s="76" t="str">
        <f t="shared" si="0"/>
        <v/>
      </c>
    </row>
    <row r="142" spans="1:11" ht="18.600000000000001" customHeight="1">
      <c r="A142" s="133"/>
      <c r="B142" s="134"/>
      <c r="C142" s="135"/>
      <c r="D142" s="137"/>
      <c r="E142" s="104">
        <f>D142*Stammdaten!L2</f>
        <v>0</v>
      </c>
      <c r="F142" s="105" t="str">
        <f t="shared" si="4"/>
        <v/>
      </c>
      <c r="G142" s="145"/>
      <c r="H142" s="78">
        <f>G142*Stammdaten!L2</f>
        <v>0</v>
      </c>
      <c r="I142" s="77" t="str">
        <f t="shared" si="5"/>
        <v/>
      </c>
      <c r="J142" s="137"/>
      <c r="K142" s="76" t="str">
        <f t="shared" si="0"/>
        <v/>
      </c>
    </row>
    <row r="143" spans="1:11" ht="18.600000000000001" customHeight="1">
      <c r="A143" s="133"/>
      <c r="B143" s="134"/>
      <c r="C143" s="135"/>
      <c r="D143" s="137"/>
      <c r="E143" s="104">
        <f>D143*Stammdaten!L2</f>
        <v>0</v>
      </c>
      <c r="F143" s="105" t="str">
        <f t="shared" si="4"/>
        <v/>
      </c>
      <c r="G143" s="145"/>
      <c r="H143" s="78">
        <f>G143*Stammdaten!L2</f>
        <v>0</v>
      </c>
      <c r="I143" s="77" t="str">
        <f t="shared" si="5"/>
        <v/>
      </c>
      <c r="J143" s="137"/>
      <c r="K143" s="76" t="str">
        <f t="shared" si="0"/>
        <v/>
      </c>
    </row>
    <row r="144" spans="1:11" ht="18.600000000000001" customHeight="1">
      <c r="A144" s="133"/>
      <c r="B144" s="134"/>
      <c r="C144" s="135"/>
      <c r="D144" s="137"/>
      <c r="E144" s="104">
        <f>D144*Stammdaten!L2</f>
        <v>0</v>
      </c>
      <c r="F144" s="105" t="str">
        <f t="shared" si="4"/>
        <v/>
      </c>
      <c r="G144" s="145"/>
      <c r="H144" s="78">
        <f>G144*Stammdaten!L2</f>
        <v>0</v>
      </c>
      <c r="I144" s="77" t="str">
        <f t="shared" si="5"/>
        <v/>
      </c>
      <c r="J144" s="137"/>
      <c r="K144" s="76" t="str">
        <f t="shared" si="0"/>
        <v/>
      </c>
    </row>
    <row r="145" spans="1:11" ht="18.600000000000001" customHeight="1">
      <c r="A145" s="133"/>
      <c r="B145" s="134"/>
      <c r="C145" s="135"/>
      <c r="D145" s="137"/>
      <c r="E145" s="104">
        <f>D145*Stammdaten!L2</f>
        <v>0</v>
      </c>
      <c r="F145" s="105" t="str">
        <f t="shared" si="4"/>
        <v/>
      </c>
      <c r="G145" s="145"/>
      <c r="H145" s="78">
        <f>G145*Stammdaten!L2</f>
        <v>0</v>
      </c>
      <c r="I145" s="77" t="str">
        <f t="shared" si="5"/>
        <v/>
      </c>
      <c r="J145" s="137"/>
      <c r="K145" s="76" t="str">
        <f t="shared" si="0"/>
        <v/>
      </c>
    </row>
    <row r="146" spans="1:11" ht="18.600000000000001" customHeight="1">
      <c r="A146" s="133"/>
      <c r="B146" s="134"/>
      <c r="C146" s="135"/>
      <c r="D146" s="137"/>
      <c r="E146" s="104">
        <f>D146*Stammdaten!L2</f>
        <v>0</v>
      </c>
      <c r="F146" s="105" t="str">
        <f t="shared" si="4"/>
        <v/>
      </c>
      <c r="G146" s="145"/>
      <c r="H146" s="78">
        <f>G146*Stammdaten!L2</f>
        <v>0</v>
      </c>
      <c r="I146" s="77" t="str">
        <f t="shared" si="5"/>
        <v/>
      </c>
      <c r="J146" s="137"/>
      <c r="K146" s="76" t="str">
        <f t="shared" si="0"/>
        <v/>
      </c>
    </row>
    <row r="147" spans="1:11" ht="18.600000000000001" customHeight="1">
      <c r="A147" s="133"/>
      <c r="B147" s="134"/>
      <c r="C147" s="135"/>
      <c r="D147" s="137"/>
      <c r="E147" s="104">
        <f>D147*Stammdaten!L2</f>
        <v>0</v>
      </c>
      <c r="F147" s="105" t="str">
        <f t="shared" si="4"/>
        <v/>
      </c>
      <c r="G147" s="145"/>
      <c r="H147" s="78">
        <f>G147*Stammdaten!L2</f>
        <v>0</v>
      </c>
      <c r="I147" s="77" t="str">
        <f t="shared" si="5"/>
        <v/>
      </c>
      <c r="J147" s="137"/>
      <c r="K147" s="76" t="str">
        <f t="shared" si="0"/>
        <v/>
      </c>
    </row>
    <row r="148" spans="1:11" ht="18.600000000000001" customHeight="1">
      <c r="A148" s="133"/>
      <c r="B148" s="134"/>
      <c r="C148" s="135"/>
      <c r="D148" s="137"/>
      <c r="E148" s="104">
        <f>D148*Stammdaten!L2</f>
        <v>0</v>
      </c>
      <c r="F148" s="105" t="str">
        <f t="shared" si="4"/>
        <v/>
      </c>
      <c r="G148" s="145"/>
      <c r="H148" s="78">
        <f>G148*Stammdaten!L2</f>
        <v>0</v>
      </c>
      <c r="I148" s="77" t="str">
        <f t="shared" si="5"/>
        <v/>
      </c>
      <c r="J148" s="137"/>
      <c r="K148" s="76" t="str">
        <f t="shared" si="0"/>
        <v/>
      </c>
    </row>
    <row r="149" spans="1:11" ht="18.600000000000001" customHeight="1">
      <c r="A149" s="133"/>
      <c r="B149" s="134"/>
      <c r="C149" s="135"/>
      <c r="D149" s="137"/>
      <c r="E149" s="104">
        <f>D149*Stammdaten!L2</f>
        <v>0</v>
      </c>
      <c r="F149" s="105" t="str">
        <f t="shared" si="4"/>
        <v/>
      </c>
      <c r="G149" s="145"/>
      <c r="H149" s="78">
        <f>G149*Stammdaten!L2</f>
        <v>0</v>
      </c>
      <c r="I149" s="77" t="str">
        <f t="shared" si="5"/>
        <v/>
      </c>
      <c r="J149" s="137"/>
      <c r="K149" s="76" t="str">
        <f t="shared" si="0"/>
        <v/>
      </c>
    </row>
    <row r="150" spans="1:11" ht="18.600000000000001" customHeight="1">
      <c r="A150" s="133"/>
      <c r="B150" s="134"/>
      <c r="C150" s="135"/>
      <c r="D150" s="137"/>
      <c r="E150" s="104">
        <f>D150*Stammdaten!L2</f>
        <v>0</v>
      </c>
      <c r="F150" s="105" t="str">
        <f t="shared" si="4"/>
        <v/>
      </c>
      <c r="G150" s="145"/>
      <c r="H150" s="78">
        <f>G150*Stammdaten!L2</f>
        <v>0</v>
      </c>
      <c r="I150" s="77" t="str">
        <f t="shared" si="5"/>
        <v/>
      </c>
      <c r="J150" s="137"/>
      <c r="K150" s="76" t="str">
        <f t="shared" si="0"/>
        <v/>
      </c>
    </row>
    <row r="151" spans="1:11" ht="18.600000000000001" customHeight="1">
      <c r="A151" s="133"/>
      <c r="B151" s="134"/>
      <c r="C151" s="135"/>
      <c r="D151" s="137"/>
      <c r="E151" s="104">
        <f>D151*Stammdaten!L2</f>
        <v>0</v>
      </c>
      <c r="F151" s="105" t="str">
        <f t="shared" si="4"/>
        <v/>
      </c>
      <c r="G151" s="145"/>
      <c r="H151" s="78">
        <f>G151*Stammdaten!L2</f>
        <v>0</v>
      </c>
      <c r="I151" s="77" t="str">
        <f t="shared" si="5"/>
        <v/>
      </c>
      <c r="J151" s="137"/>
      <c r="K151" s="76" t="str">
        <f t="shared" si="0"/>
        <v/>
      </c>
    </row>
    <row r="152" spans="1:11" ht="18.600000000000001" customHeight="1">
      <c r="A152" s="133"/>
      <c r="B152" s="134"/>
      <c r="C152" s="135"/>
      <c r="D152" s="137"/>
      <c r="E152" s="104">
        <f>D152*Stammdaten!L2</f>
        <v>0</v>
      </c>
      <c r="F152" s="105" t="str">
        <f t="shared" si="4"/>
        <v/>
      </c>
      <c r="G152" s="145"/>
      <c r="H152" s="78">
        <f>G152*Stammdaten!L2</f>
        <v>0</v>
      </c>
      <c r="I152" s="77" t="str">
        <f t="shared" si="5"/>
        <v/>
      </c>
      <c r="J152" s="137"/>
      <c r="K152" s="76" t="str">
        <f t="shared" si="0"/>
        <v/>
      </c>
    </row>
    <row r="153" spans="1:11" ht="18.600000000000001" customHeight="1">
      <c r="A153" s="133"/>
      <c r="B153" s="134"/>
      <c r="C153" s="135"/>
      <c r="D153" s="137"/>
      <c r="E153" s="104">
        <f>D153*Stammdaten!L2</f>
        <v>0</v>
      </c>
      <c r="F153" s="105" t="str">
        <f t="shared" si="4"/>
        <v/>
      </c>
      <c r="G153" s="145"/>
      <c r="H153" s="78">
        <f>G153*Stammdaten!L2</f>
        <v>0</v>
      </c>
      <c r="I153" s="77" t="str">
        <f t="shared" si="5"/>
        <v/>
      </c>
      <c r="J153" s="137"/>
      <c r="K153" s="76" t="str">
        <f t="shared" si="0"/>
        <v/>
      </c>
    </row>
    <row r="154" spans="1:11" ht="18.600000000000001" customHeight="1">
      <c r="A154" s="133"/>
      <c r="B154" s="134"/>
      <c r="C154" s="135"/>
      <c r="D154" s="137"/>
      <c r="E154" s="104">
        <f>D154*Stammdaten!L2</f>
        <v>0</v>
      </c>
      <c r="F154" s="105" t="str">
        <f t="shared" si="4"/>
        <v/>
      </c>
      <c r="G154" s="145"/>
      <c r="H154" s="78">
        <f>G154*Stammdaten!L2</f>
        <v>0</v>
      </c>
      <c r="I154" s="77" t="str">
        <f t="shared" si="5"/>
        <v/>
      </c>
      <c r="J154" s="137"/>
      <c r="K154" s="76" t="str">
        <f t="shared" si="0"/>
        <v/>
      </c>
    </row>
    <row r="155" spans="1:11" ht="18.600000000000001" customHeight="1">
      <c r="A155" s="133"/>
      <c r="B155" s="134"/>
      <c r="C155" s="135"/>
      <c r="D155" s="137"/>
      <c r="E155" s="104">
        <f>D155*Stammdaten!L2</f>
        <v>0</v>
      </c>
      <c r="F155" s="105" t="str">
        <f t="shared" si="4"/>
        <v/>
      </c>
      <c r="G155" s="145"/>
      <c r="H155" s="78">
        <f>G155*Stammdaten!L2</f>
        <v>0</v>
      </c>
      <c r="I155" s="77" t="str">
        <f t="shared" si="5"/>
        <v/>
      </c>
      <c r="J155" s="137"/>
      <c r="K155" s="76" t="str">
        <f t="shared" si="0"/>
        <v/>
      </c>
    </row>
    <row r="156" spans="1:11" ht="18.600000000000001" customHeight="1">
      <c r="A156" s="133"/>
      <c r="B156" s="134"/>
      <c r="C156" s="135"/>
      <c r="D156" s="137"/>
      <c r="E156" s="104">
        <f>D156*Stammdaten!L2</f>
        <v>0</v>
      </c>
      <c r="F156" s="105" t="str">
        <f t="shared" si="4"/>
        <v/>
      </c>
      <c r="G156" s="145"/>
      <c r="H156" s="78">
        <f>G156*Stammdaten!L2</f>
        <v>0</v>
      </c>
      <c r="I156" s="77" t="str">
        <f t="shared" si="5"/>
        <v/>
      </c>
      <c r="J156" s="137"/>
      <c r="K156" s="76" t="str">
        <f t="shared" si="0"/>
        <v/>
      </c>
    </row>
    <row r="157" spans="1:11" ht="18.600000000000001" customHeight="1">
      <c r="A157" s="133"/>
      <c r="B157" s="134"/>
      <c r="C157" s="135"/>
      <c r="D157" s="137"/>
      <c r="E157" s="104">
        <f>D157*Stammdaten!L2</f>
        <v>0</v>
      </c>
      <c r="F157" s="105" t="str">
        <f t="shared" si="4"/>
        <v/>
      </c>
      <c r="G157" s="145"/>
      <c r="H157" s="78">
        <f>G157*Stammdaten!L2</f>
        <v>0</v>
      </c>
      <c r="I157" s="77" t="str">
        <f t="shared" si="5"/>
        <v/>
      </c>
      <c r="J157" s="137"/>
      <c r="K157" s="76" t="str">
        <f t="shared" si="0"/>
        <v/>
      </c>
    </row>
    <row r="158" spans="1:11" ht="18.600000000000001" customHeight="1">
      <c r="A158" s="133"/>
      <c r="B158" s="134"/>
      <c r="C158" s="135"/>
      <c r="D158" s="137"/>
      <c r="E158" s="104">
        <f>D158*Stammdaten!L2</f>
        <v>0</v>
      </c>
      <c r="F158" s="105" t="str">
        <f t="shared" si="4"/>
        <v/>
      </c>
      <c r="G158" s="145"/>
      <c r="H158" s="78">
        <f>G158*Stammdaten!L2</f>
        <v>0</v>
      </c>
      <c r="I158" s="77" t="str">
        <f t="shared" si="5"/>
        <v/>
      </c>
      <c r="J158" s="137"/>
      <c r="K158" s="76" t="str">
        <f t="shared" si="0"/>
        <v/>
      </c>
    </row>
    <row r="159" spans="1:11" ht="18.600000000000001" customHeight="1">
      <c r="A159" s="133"/>
      <c r="B159" s="134"/>
      <c r="C159" s="135"/>
      <c r="D159" s="137"/>
      <c r="E159" s="104">
        <f>D159*Stammdaten!L2</f>
        <v>0</v>
      </c>
      <c r="F159" s="105" t="str">
        <f t="shared" si="4"/>
        <v/>
      </c>
      <c r="G159" s="145"/>
      <c r="H159" s="78">
        <f>G159*Stammdaten!L2</f>
        <v>0</v>
      </c>
      <c r="I159" s="77" t="str">
        <f t="shared" si="5"/>
        <v/>
      </c>
      <c r="J159" s="137"/>
      <c r="K159" s="76" t="str">
        <f t="shared" si="0"/>
        <v/>
      </c>
    </row>
    <row r="160" spans="1:11" ht="18.600000000000001" customHeight="1" thickBot="1">
      <c r="A160" s="133"/>
      <c r="B160" s="134"/>
      <c r="C160" s="138"/>
      <c r="D160" s="139"/>
      <c r="E160" s="104">
        <f>D160*Stammdaten!L2</f>
        <v>0</v>
      </c>
      <c r="F160" s="105" t="str">
        <f t="shared" si="4"/>
        <v/>
      </c>
      <c r="G160" s="146"/>
      <c r="H160" s="78">
        <f>G160*Stammdaten!L2</f>
        <v>0</v>
      </c>
      <c r="I160" s="77" t="str">
        <f t="shared" si="5"/>
        <v/>
      </c>
      <c r="J160" s="139"/>
      <c r="K160" s="76" t="str">
        <f t="shared" si="0"/>
        <v/>
      </c>
    </row>
    <row r="161" spans="1:11" ht="18.600000000000001" customHeight="1">
      <c r="A161" s="140"/>
      <c r="B161" s="141"/>
      <c r="C161" s="142" t="s">
        <v>102</v>
      </c>
      <c r="D161" s="143">
        <f t="shared" ref="D161:K161" si="6">SUM(D10:D160)</f>
        <v>4464.9822000000004</v>
      </c>
      <c r="E161" s="73">
        <f t="shared" si="6"/>
        <v>848.34661800000003</v>
      </c>
      <c r="F161" s="75">
        <f t="shared" si="6"/>
        <v>5313.328818</v>
      </c>
      <c r="G161" s="147">
        <f t="shared" si="6"/>
        <v>0</v>
      </c>
      <c r="H161" s="73">
        <f t="shared" si="6"/>
        <v>0</v>
      </c>
      <c r="I161" s="74">
        <f t="shared" si="6"/>
        <v>0</v>
      </c>
      <c r="J161" s="147">
        <f t="shared" si="6"/>
        <v>0</v>
      </c>
      <c r="K161" s="73">
        <f t="shared" si="6"/>
        <v>848.34661800000003</v>
      </c>
    </row>
    <row r="162" spans="1:11" ht="18.600000000000001" customHeight="1">
      <c r="A162" s="63"/>
      <c r="B162" s="97"/>
      <c r="C162" s="63"/>
      <c r="D162" s="62"/>
      <c r="E162" s="62"/>
      <c r="F162" s="62"/>
      <c r="G162" s="62"/>
      <c r="H162" s="62"/>
      <c r="I162" s="62"/>
      <c r="J162" s="62"/>
      <c r="K162" s="62"/>
    </row>
    <row r="163" spans="1:11" ht="18.600000000000001" customHeight="1">
      <c r="A163" s="63"/>
      <c r="B163" s="97"/>
      <c r="C163" s="63"/>
      <c r="D163" s="62"/>
      <c r="E163" s="62"/>
      <c r="F163" s="62"/>
      <c r="G163" s="62"/>
      <c r="H163" s="62"/>
      <c r="I163" s="62"/>
      <c r="J163" s="62"/>
      <c r="K163" s="62"/>
    </row>
    <row r="164" spans="1:11" ht="18.600000000000001" customHeight="1">
      <c r="A164" s="91"/>
      <c r="B164" s="98"/>
      <c r="C164" s="91"/>
      <c r="D164" s="92"/>
      <c r="E164" s="92"/>
      <c r="F164" s="92"/>
      <c r="G164" s="92"/>
      <c r="H164" s="92"/>
      <c r="I164" s="92"/>
      <c r="J164" s="92"/>
      <c r="K164" s="92"/>
    </row>
    <row r="165" spans="1:11" ht="18.600000000000001" customHeight="1">
      <c r="A165" s="91"/>
      <c r="B165" s="98"/>
      <c r="C165" s="91"/>
      <c r="D165" s="92"/>
      <c r="E165" s="92"/>
      <c r="F165" s="92"/>
      <c r="G165" s="92"/>
      <c r="H165" s="92"/>
      <c r="I165" s="92"/>
      <c r="J165" s="92"/>
      <c r="K165" s="92"/>
    </row>
    <row r="166" spans="1:11" ht="18.600000000000001" customHeight="1">
      <c r="A166" s="91"/>
      <c r="B166" s="98"/>
      <c r="C166" s="91"/>
      <c r="D166" s="92"/>
      <c r="E166" s="92"/>
      <c r="F166" s="92"/>
      <c r="G166" s="92"/>
      <c r="H166" s="92"/>
      <c r="I166" s="92"/>
      <c r="J166" s="92"/>
      <c r="K166" s="92"/>
    </row>
    <row r="167" spans="1:11" ht="15.6" customHeight="1">
      <c r="A167" s="93"/>
      <c r="B167" s="99"/>
      <c r="C167" s="93"/>
      <c r="D167" s="93"/>
      <c r="E167" s="94"/>
      <c r="F167" s="94"/>
      <c r="G167" s="94"/>
      <c r="H167" s="94"/>
      <c r="I167" s="95"/>
      <c r="J167" s="95"/>
      <c r="K167" s="95"/>
    </row>
    <row r="168" spans="1:11" ht="15.6" customHeight="1">
      <c r="A168" s="93"/>
      <c r="B168" s="99"/>
      <c r="C168" s="93"/>
      <c r="D168" s="93"/>
      <c r="E168" s="94"/>
      <c r="F168" s="94"/>
      <c r="G168" s="94"/>
      <c r="H168" s="94"/>
      <c r="I168" s="95"/>
      <c r="J168" s="95"/>
      <c r="K168" s="95"/>
    </row>
    <row r="169" spans="1:11" ht="15.6" customHeight="1">
      <c r="A169" s="93"/>
      <c r="B169" s="99"/>
      <c r="C169" s="93"/>
      <c r="D169" s="93"/>
      <c r="E169" s="94"/>
      <c r="F169" s="94"/>
      <c r="G169" s="94"/>
      <c r="H169" s="94"/>
      <c r="I169" s="95"/>
      <c r="J169" s="95"/>
      <c r="K169" s="95"/>
    </row>
    <row r="170" spans="1:11" ht="15.6" customHeight="1">
      <c r="A170" s="93"/>
      <c r="B170" s="99"/>
      <c r="C170" s="93"/>
      <c r="D170" s="93"/>
      <c r="E170" s="94"/>
      <c r="F170" s="94"/>
      <c r="G170" s="94"/>
      <c r="H170" s="94"/>
      <c r="I170" s="95"/>
      <c r="J170" s="95"/>
      <c r="K170" s="95"/>
    </row>
    <row r="171" spans="1:11" ht="15.6" customHeight="1">
      <c r="A171" s="93"/>
      <c r="B171" s="99"/>
      <c r="C171" s="93"/>
      <c r="D171" s="93"/>
      <c r="E171" s="94"/>
      <c r="F171" s="94"/>
      <c r="G171" s="94"/>
      <c r="H171" s="94"/>
      <c r="I171" s="95"/>
      <c r="J171" s="95"/>
      <c r="K171" s="95"/>
    </row>
    <row r="172" spans="1:11" ht="18.600000000000001" customHeight="1">
      <c r="A172" s="91"/>
      <c r="B172" s="98"/>
      <c r="C172" s="91"/>
      <c r="D172" s="92"/>
      <c r="E172" s="92"/>
      <c r="F172" s="92"/>
      <c r="G172" s="92"/>
      <c r="H172" s="92"/>
      <c r="I172" s="92"/>
      <c r="J172" s="92"/>
      <c r="K172" s="92"/>
    </row>
    <row r="173" spans="1:11" ht="18.600000000000001" customHeight="1">
      <c r="A173" s="91"/>
      <c r="B173" s="98"/>
      <c r="C173" s="91"/>
      <c r="D173" s="92"/>
      <c r="E173" s="92"/>
      <c r="F173" s="92"/>
      <c r="G173" s="92"/>
      <c r="H173" s="92"/>
      <c r="I173" s="92"/>
      <c r="J173" s="92"/>
      <c r="K173" s="92"/>
    </row>
    <row r="174" spans="1:11" ht="18.600000000000001" customHeight="1">
      <c r="A174" s="96"/>
      <c r="B174" s="100"/>
      <c r="C174" s="96"/>
      <c r="D174" s="96"/>
      <c r="E174" s="96"/>
      <c r="F174" s="96"/>
      <c r="G174" s="96"/>
      <c r="H174" s="96"/>
      <c r="I174" s="92"/>
      <c r="J174" s="92"/>
      <c r="K174" s="92"/>
    </row>
    <row r="175" spans="1:11" ht="18.600000000000001" customHeight="1">
      <c r="A175" s="96"/>
      <c r="B175" s="100"/>
      <c r="C175" s="96"/>
      <c r="D175" s="96"/>
      <c r="E175" s="96"/>
      <c r="F175" s="96"/>
      <c r="G175" s="96"/>
      <c r="H175" s="96"/>
      <c r="I175" s="92"/>
      <c r="J175" s="92"/>
      <c r="K175" s="92"/>
    </row>
    <row r="176" spans="1:11" ht="18.600000000000001" customHeight="1">
      <c r="A176" s="68"/>
      <c r="B176" s="101"/>
      <c r="C176" s="68"/>
      <c r="D176" s="68"/>
      <c r="E176" s="68"/>
      <c r="F176" s="68"/>
      <c r="G176" s="68"/>
      <c r="H176" s="68"/>
      <c r="I176" s="62"/>
      <c r="J176" s="62"/>
      <c r="K176" s="62"/>
    </row>
    <row r="177" spans="1:11" ht="18.600000000000001" customHeight="1">
      <c r="A177" s="68"/>
      <c r="B177" s="101"/>
      <c r="C177" s="68"/>
      <c r="D177" s="68"/>
      <c r="E177" s="68"/>
      <c r="F177" s="68"/>
      <c r="G177" s="68"/>
      <c r="H177" s="68"/>
      <c r="I177" s="62"/>
      <c r="J177" s="62"/>
      <c r="K177" s="62"/>
    </row>
    <row r="178" spans="1:11" ht="18.600000000000001" customHeight="1">
      <c r="A178" s="68"/>
      <c r="B178" s="101"/>
      <c r="C178" s="68"/>
      <c r="D178" s="68"/>
      <c r="E178" s="68"/>
      <c r="F178" s="68"/>
      <c r="G178" s="68"/>
      <c r="H178" s="68"/>
      <c r="I178" s="62"/>
      <c r="J178" s="62"/>
      <c r="K178" s="62"/>
    </row>
    <row r="179" spans="1:11" ht="18.600000000000001" customHeight="1">
      <c r="A179" s="68"/>
      <c r="B179" s="101"/>
      <c r="C179" s="68"/>
      <c r="D179" s="68"/>
      <c r="E179" s="68"/>
      <c r="F179" s="68"/>
      <c r="G179" s="68"/>
      <c r="H179" s="68"/>
      <c r="I179" s="62"/>
      <c r="J179" s="62"/>
      <c r="K179" s="62"/>
    </row>
    <row r="180" spans="1:11" ht="18.600000000000001" customHeight="1">
      <c r="A180" s="68"/>
      <c r="B180" s="101"/>
      <c r="C180" s="68"/>
      <c r="D180" s="68"/>
      <c r="E180" s="68"/>
      <c r="F180" s="68"/>
      <c r="G180" s="68"/>
      <c r="H180" s="68"/>
      <c r="I180" s="62"/>
      <c r="J180" s="62"/>
      <c r="K180" s="62"/>
    </row>
    <row r="181" spans="1:11" ht="18.600000000000001" customHeight="1">
      <c r="A181" s="68"/>
      <c r="B181" s="101"/>
      <c r="C181" s="68"/>
      <c r="D181" s="68"/>
      <c r="E181" s="68"/>
      <c r="F181" s="68"/>
      <c r="G181" s="68"/>
      <c r="H181" s="68"/>
      <c r="I181" s="62"/>
      <c r="J181" s="62"/>
      <c r="K181" s="62"/>
    </row>
    <row r="182" spans="1:11" ht="18.600000000000001" customHeight="1">
      <c r="A182" s="68"/>
      <c r="B182" s="101"/>
      <c r="C182" s="68"/>
      <c r="D182" s="68"/>
      <c r="E182" s="68"/>
      <c r="F182" s="68"/>
      <c r="G182" s="68"/>
      <c r="H182" s="68"/>
      <c r="I182" s="62"/>
      <c r="J182" s="62"/>
      <c r="K182" s="62"/>
    </row>
    <row r="183" spans="1:11" ht="18.600000000000001" customHeight="1">
      <c r="A183" s="68"/>
      <c r="B183" s="101"/>
      <c r="C183" s="68"/>
      <c r="D183" s="68"/>
      <c r="E183" s="68"/>
      <c r="F183" s="68"/>
      <c r="G183" s="68"/>
      <c r="H183" s="68"/>
      <c r="I183" s="62"/>
      <c r="J183" s="62"/>
      <c r="K183" s="62"/>
    </row>
    <row r="184" spans="1:11" ht="18.600000000000001" customHeight="1">
      <c r="A184" s="68"/>
      <c r="B184" s="101"/>
      <c r="C184" s="68"/>
      <c r="D184" s="68"/>
      <c r="E184" s="68"/>
      <c r="F184" s="68"/>
      <c r="G184" s="68"/>
      <c r="H184" s="68"/>
      <c r="I184" s="62"/>
      <c r="J184" s="62"/>
      <c r="K184" s="62"/>
    </row>
    <row r="185" spans="1:11" ht="18.600000000000001" customHeight="1">
      <c r="A185" s="69"/>
      <c r="B185" s="101"/>
      <c r="C185" s="68"/>
      <c r="D185" s="68"/>
      <c r="E185" s="68"/>
      <c r="F185" s="68"/>
      <c r="G185" s="68"/>
      <c r="H185" s="68"/>
      <c r="I185" s="62"/>
      <c r="J185" s="62"/>
      <c r="K185" s="62"/>
    </row>
    <row r="186" spans="1:11" ht="18.600000000000001" customHeight="1">
      <c r="A186" s="69"/>
      <c r="B186" s="101"/>
      <c r="C186" s="68"/>
      <c r="D186" s="68"/>
      <c r="E186" s="68"/>
      <c r="F186" s="68"/>
      <c r="G186" s="68"/>
      <c r="H186" s="68"/>
      <c r="I186" s="62"/>
      <c r="J186" s="62"/>
      <c r="K186" s="62"/>
    </row>
    <row r="187" spans="1:11" ht="18.600000000000001" customHeight="1">
      <c r="A187" s="68"/>
      <c r="B187" s="101"/>
      <c r="C187" s="68"/>
      <c r="D187" s="68"/>
      <c r="E187" s="68"/>
      <c r="F187" s="68"/>
      <c r="G187" s="68"/>
      <c r="H187" s="68"/>
      <c r="I187" s="62"/>
      <c r="J187" s="62"/>
      <c r="K187" s="62"/>
    </row>
    <row r="188" spans="1:11" ht="18.600000000000001" customHeight="1">
      <c r="A188" s="67"/>
      <c r="B188" s="97"/>
      <c r="C188" s="63"/>
      <c r="D188" s="62"/>
      <c r="E188" s="62"/>
      <c r="F188" s="62"/>
      <c r="G188" s="62"/>
      <c r="H188" s="62"/>
      <c r="I188" s="62"/>
      <c r="J188" s="62"/>
      <c r="K188" s="62"/>
    </row>
    <row r="189" spans="1:11" ht="18.600000000000001" customHeight="1">
      <c r="A189" s="63"/>
      <c r="B189" s="97"/>
      <c r="C189" s="63"/>
      <c r="D189" s="62"/>
      <c r="E189" s="62"/>
      <c r="F189" s="62"/>
      <c r="G189" s="62"/>
      <c r="H189" s="62"/>
      <c r="I189" s="62"/>
      <c r="J189" s="62"/>
      <c r="K189" s="62"/>
    </row>
    <row r="190" spans="1:11" ht="18.600000000000001" customHeight="1">
      <c r="A190" s="63"/>
      <c r="B190" s="97"/>
      <c r="C190" s="63"/>
      <c r="D190" s="62"/>
      <c r="E190" s="62"/>
      <c r="F190" s="62"/>
      <c r="G190" s="62"/>
      <c r="H190" s="62"/>
      <c r="I190" s="62"/>
      <c r="J190" s="62"/>
      <c r="K190" s="62"/>
    </row>
    <row r="191" spans="1:11" ht="18.600000000000001" customHeight="1">
      <c r="A191" s="63"/>
      <c r="B191" s="97"/>
      <c r="C191" s="63"/>
      <c r="D191" s="62"/>
      <c r="E191" s="62"/>
      <c r="F191" s="62"/>
      <c r="G191" s="62"/>
      <c r="H191" s="62"/>
      <c r="I191" s="62"/>
      <c r="J191" s="62"/>
      <c r="K191" s="62"/>
    </row>
    <row r="192" spans="1:11" ht="18.600000000000001" customHeight="1">
      <c r="A192" s="63"/>
      <c r="B192" s="97"/>
      <c r="C192" s="63"/>
      <c r="D192" s="62"/>
      <c r="E192" s="62"/>
      <c r="F192" s="62"/>
      <c r="G192" s="62"/>
      <c r="H192" s="62"/>
      <c r="I192" s="62"/>
      <c r="J192" s="62"/>
      <c r="K192" s="62"/>
    </row>
    <row r="193" spans="1:11" ht="18.600000000000001" customHeight="1">
      <c r="A193" s="63"/>
      <c r="B193" s="97"/>
      <c r="C193" s="63"/>
      <c r="D193" s="62"/>
      <c r="E193" s="62"/>
      <c r="F193" s="62"/>
      <c r="G193" s="62"/>
      <c r="H193" s="62"/>
      <c r="I193" s="62"/>
      <c r="J193" s="62"/>
      <c r="K193" s="62"/>
    </row>
    <row r="194" spans="1:11" ht="18.600000000000001" customHeight="1">
      <c r="A194" s="63"/>
      <c r="B194" s="97"/>
      <c r="C194" s="63"/>
      <c r="D194" s="62"/>
      <c r="E194" s="62"/>
      <c r="F194" s="62"/>
      <c r="G194" s="62"/>
      <c r="H194" s="62"/>
      <c r="I194" s="62"/>
      <c r="J194" s="62"/>
      <c r="K194" s="62"/>
    </row>
    <row r="195" spans="1:11" ht="18.600000000000001" customHeight="1" thickBot="1">
      <c r="A195" s="66"/>
      <c r="B195" s="102"/>
      <c r="C195" s="66"/>
      <c r="D195" s="65"/>
      <c r="E195" s="65"/>
      <c r="F195" s="65"/>
      <c r="G195" s="65"/>
      <c r="H195" s="65"/>
      <c r="I195" s="65"/>
      <c r="J195" s="65"/>
      <c r="K195" s="65"/>
    </row>
    <row r="196" spans="1:11" ht="18.600000000000001" customHeight="1" thickTop="1">
      <c r="A196" s="63"/>
      <c r="B196" s="97"/>
      <c r="C196" s="63"/>
      <c r="D196" s="62"/>
      <c r="E196" s="62"/>
      <c r="F196" s="62"/>
      <c r="G196" s="62"/>
      <c r="H196" s="62"/>
      <c r="I196" s="62"/>
      <c r="J196" s="62"/>
      <c r="K196" s="62"/>
    </row>
    <row r="197" spans="1:11" ht="18.600000000000001" customHeight="1">
      <c r="A197" s="63"/>
      <c r="B197" s="97"/>
      <c r="C197" s="63"/>
      <c r="D197" s="62"/>
      <c r="E197" s="62"/>
      <c r="F197" s="62"/>
      <c r="G197" s="62"/>
      <c r="H197" s="62"/>
      <c r="I197" s="62"/>
      <c r="J197" s="62"/>
      <c r="K197" s="62"/>
    </row>
    <row r="198" spans="1:11" ht="18.600000000000001" customHeight="1">
      <c r="A198" s="63"/>
      <c r="B198" s="97"/>
      <c r="C198" s="63"/>
      <c r="D198" s="62"/>
      <c r="E198" s="62"/>
      <c r="F198" s="62"/>
      <c r="G198" s="62"/>
      <c r="H198" s="62"/>
      <c r="I198" s="62"/>
      <c r="J198" s="62"/>
      <c r="K198" s="62"/>
    </row>
    <row r="199" spans="1:11">
      <c r="B199" s="103"/>
    </row>
    <row r="200" spans="1:11">
      <c r="B200" s="103"/>
    </row>
    <row r="201" spans="1:11">
      <c r="B201" s="103"/>
    </row>
    <row r="202" spans="1:11">
      <c r="B202" s="103"/>
    </row>
    <row r="203" spans="1:11">
      <c r="B203" s="103"/>
    </row>
    <row r="204" spans="1:11">
      <c r="B204" s="103"/>
    </row>
    <row r="205" spans="1:11">
      <c r="B205" s="103"/>
    </row>
    <row r="206" spans="1:11">
      <c r="B206" s="103"/>
    </row>
    <row r="207" spans="1:11">
      <c r="B207" s="103"/>
    </row>
    <row r="208" spans="1:11">
      <c r="B208" s="103"/>
    </row>
    <row r="209" spans="2:2">
      <c r="B209" s="103"/>
    </row>
    <row r="210" spans="2:2">
      <c r="B210" s="103"/>
    </row>
  </sheetData>
  <sheetProtection password="CFF0" sheet="1" objects="1" scenarios="1"/>
  <mergeCells count="4">
    <mergeCell ref="A1:D5"/>
    <mergeCell ref="D8:F8"/>
    <mergeCell ref="G8:I8"/>
    <mergeCell ref="J8:K8"/>
  </mergeCells>
  <printOptions horizontalCentered="1" verticalCentered="1"/>
  <pageMargins left="0.51181102362204722" right="0.39370078740157483" top="0.39370078740157483" bottom="0.39370078740157483" header="0.31496062992125984" footer="0.31496062992125984"/>
  <pageSetup paperSize="9" fitToHeight="0" orientation="landscape" horizontalDpi="360" verticalDpi="360" r:id="rId1"/>
  <rowBreaks count="1" manualBreakCount="1">
    <brk id="166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Start</vt:lpstr>
      <vt:lpstr>EÜR!Druckbereich</vt:lpstr>
      <vt:lpstr>Rechnung!Druckbereich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Vigliotti</dc:creator>
  <cp:lastModifiedBy>Vigliotti HauptPC</cp:lastModifiedBy>
  <cp:lastPrinted>2026-03-04T21:18:13Z</cp:lastPrinted>
  <dcterms:created xsi:type="dcterms:W3CDTF">2025-01-25T11:15:14Z</dcterms:created>
  <dcterms:modified xsi:type="dcterms:W3CDTF">2026-03-04T21:21:01Z</dcterms:modified>
</cp:coreProperties>
</file>